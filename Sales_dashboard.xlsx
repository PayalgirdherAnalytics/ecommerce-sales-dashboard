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7aa7bcd0c356f731/Desktop/Excel_Sales_Dashboard/"/>
    </mc:Choice>
  </mc:AlternateContent>
  <xr:revisionPtr revIDLastSave="11" documentId="8_{C95DD1DB-6DA9-43A3-BC67-8B427DF43C49}" xr6:coauthVersionLast="47" xr6:coauthVersionMax="47" xr10:uidLastSave="{9D737862-26DC-4F8D-A5B8-49D4F228BAF8}"/>
  <bookViews>
    <workbookView xWindow="-108" yWindow="-108" windowWidth="23256" windowHeight="12456" activeTab="2" xr2:uid="{00000000-000D-0000-FFFF-FFFF00000000}"/>
  </bookViews>
  <sheets>
    <sheet name="Raw_Data" sheetId="2" r:id="rId1"/>
    <sheet name="Cleaned_Data" sheetId="1" r:id="rId2"/>
    <sheet name="Pivot" sheetId="4" r:id="rId3"/>
    <sheet name="Dashboard" sheetId="5" r:id="rId4"/>
  </sheets>
  <definedNames>
    <definedName name="Slicer_OrderYear">#N/A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G2" i="5"/>
  <c r="D2" i="5"/>
  <c r="F2" i="5"/>
  <c r="E2" i="5"/>
</calcChain>
</file>

<file path=xl/sharedStrings.xml><?xml version="1.0" encoding="utf-8"?>
<sst xmlns="http://schemas.openxmlformats.org/spreadsheetml/2006/main" count="35791" uniqueCount="3442">
  <si>
    <t>OrderID</t>
  </si>
  <si>
    <t>CustomerName</t>
  </si>
  <si>
    <t>Age</t>
  </si>
  <si>
    <t>Gender</t>
  </si>
  <si>
    <t>City</t>
  </si>
  <si>
    <t>State</t>
  </si>
  <si>
    <t>OrderDate</t>
  </si>
  <si>
    <t>DeliveryDate</t>
  </si>
  <si>
    <t>Product</t>
  </si>
  <si>
    <t>Category</t>
  </si>
  <si>
    <t>Quantity</t>
  </si>
  <si>
    <t>Price</t>
  </si>
  <si>
    <t>Discount</t>
  </si>
  <si>
    <t>PaymentMethod</t>
  </si>
  <si>
    <t>SalesRep</t>
  </si>
  <si>
    <t>Region</t>
  </si>
  <si>
    <t>Email</t>
  </si>
  <si>
    <t>Phone</t>
  </si>
  <si>
    <t>Rating</t>
  </si>
  <si>
    <t>Feedback</t>
  </si>
  <si>
    <t>ShippingCost</t>
  </si>
  <si>
    <t>OrderStatus</t>
  </si>
  <si>
    <t>ORD1</t>
  </si>
  <si>
    <t>Pooja Mehta</t>
  </si>
  <si>
    <t>Male</t>
  </si>
  <si>
    <t>Amritsar</t>
  </si>
  <si>
    <t>Delhi</t>
  </si>
  <si>
    <t>28-01-2023</t>
  </si>
  <si>
    <t>05-02-2023</t>
  </si>
  <si>
    <t>Mobile</t>
  </si>
  <si>
    <t>Accessories</t>
  </si>
  <si>
    <t>UPI</t>
  </si>
  <si>
    <t>Rohit</t>
  </si>
  <si>
    <t>South</t>
  </si>
  <si>
    <t>poojamehta@gmail.com</t>
  </si>
  <si>
    <t>7477331342</t>
  </si>
  <si>
    <t>Good</t>
  </si>
  <si>
    <t>Delivered</t>
  </si>
  <si>
    <t>ORD2</t>
  </si>
  <si>
    <t>Pooja Gupta</t>
  </si>
  <si>
    <t>Ludhiana</t>
  </si>
  <si>
    <t>16-04-2023</t>
  </si>
  <si>
    <t>19-04-2023</t>
  </si>
  <si>
    <t>Headphones</t>
  </si>
  <si>
    <t>Electronics</t>
  </si>
  <si>
    <t>Card</t>
  </si>
  <si>
    <t>Sneha</t>
  </si>
  <si>
    <t>poojagupta@gmail.com</t>
  </si>
  <si>
    <t>9445783077</t>
  </si>
  <si>
    <t>ORD3</t>
  </si>
  <si>
    <t>Neha Patel</t>
  </si>
  <si>
    <t>Female</t>
  </si>
  <si>
    <t>Jaipur</t>
  </si>
  <si>
    <t>Maharashtra</t>
  </si>
  <si>
    <t>2024/04/29</t>
  </si>
  <si>
    <t>08-05-2024</t>
  </si>
  <si>
    <t>Cash</t>
  </si>
  <si>
    <t>Neha</t>
  </si>
  <si>
    <t>West</t>
  </si>
  <si>
    <t>nehapatel@gmail.com</t>
  </si>
  <si>
    <t>6496927099</t>
  </si>
  <si>
    <t>Average</t>
  </si>
  <si>
    <t>Cancelled</t>
  </si>
  <si>
    <t>ORD4</t>
  </si>
  <si>
    <t>Anjali Patel</t>
  </si>
  <si>
    <t>Punjab</t>
  </si>
  <si>
    <t>10-09-2024</t>
  </si>
  <si>
    <t>18-09-2024</t>
  </si>
  <si>
    <t>Amit</t>
  </si>
  <si>
    <t>North</t>
  </si>
  <si>
    <t>anjalipatel@gmail.com</t>
  </si>
  <si>
    <t>6515988699</t>
  </si>
  <si>
    <t>Bad</t>
  </si>
  <si>
    <t>ORD5</t>
  </si>
  <si>
    <t>Rahul Yadav</t>
  </si>
  <si>
    <t>17-08-2024</t>
  </si>
  <si>
    <t>21-08-2024</t>
  </si>
  <si>
    <t>Laptop</t>
  </si>
  <si>
    <t>rahulyadav@gmail.com</t>
  </si>
  <si>
    <t>Returned</t>
  </si>
  <si>
    <t>ORD6</t>
  </si>
  <si>
    <t>karan verma</t>
  </si>
  <si>
    <t>Rajasthan</t>
  </si>
  <si>
    <t>14-07-2023</t>
  </si>
  <si>
    <t>15-07-2023</t>
  </si>
  <si>
    <t>Monitor</t>
  </si>
  <si>
    <t>Karan</t>
  </si>
  <si>
    <t>karanverma@gmail.com</t>
  </si>
  <si>
    <t>6256157868</t>
  </si>
  <si>
    <t>ORD7</t>
  </si>
  <si>
    <t>Pooja Yadav</t>
  </si>
  <si>
    <t>Gujarat</t>
  </si>
  <si>
    <t>17-04-2023</t>
  </si>
  <si>
    <t>Tablet</t>
  </si>
  <si>
    <t>poojayadav@gmail.com</t>
  </si>
  <si>
    <t>7236634935</t>
  </si>
  <si>
    <t>Excellent</t>
  </si>
  <si>
    <t>ORD8</t>
  </si>
  <si>
    <t>Vikas Yadav</t>
  </si>
  <si>
    <t>Chandigarh</t>
  </si>
  <si>
    <t>29-08-2023</t>
  </si>
  <si>
    <t>31-08-2023</t>
  </si>
  <si>
    <t>Priya</t>
  </si>
  <si>
    <t>vikasyadav@gmail.com</t>
  </si>
  <si>
    <t>ORD9</t>
  </si>
  <si>
    <t>Priya Mehta</t>
  </si>
  <si>
    <t>16-04-2024</t>
  </si>
  <si>
    <t>21-04-2024</t>
  </si>
  <si>
    <t>Keyboard</t>
  </si>
  <si>
    <t>Anjali</t>
  </si>
  <si>
    <t>priyamehta@gmail.com</t>
  </si>
  <si>
    <t>9728939116</t>
  </si>
  <si>
    <t>ORD10</t>
  </si>
  <si>
    <t>Anjali Gupta</t>
  </si>
  <si>
    <t>27-04-2023</t>
  </si>
  <si>
    <t>07-05-2023</t>
  </si>
  <si>
    <t>anjaligupta@gmail.com</t>
  </si>
  <si>
    <t>7156732098</t>
  </si>
  <si>
    <t>ORD11</t>
  </si>
  <si>
    <t>Anjali Mehta</t>
  </si>
  <si>
    <t>2023/10/09</t>
  </si>
  <si>
    <t>10-10-2023</t>
  </si>
  <si>
    <t>anjalimehta@gmail.com</t>
  </si>
  <si>
    <t>9741319279</t>
  </si>
  <si>
    <t>ORD12</t>
  </si>
  <si>
    <t>Anjali Agarwal</t>
  </si>
  <si>
    <t>23-10-2024</t>
  </si>
  <si>
    <t>29-10-2024</t>
  </si>
  <si>
    <t>7888560232</t>
  </si>
  <si>
    <t>ORD13</t>
  </si>
  <si>
    <t>Sneha Singh</t>
  </si>
  <si>
    <t>Pune</t>
  </si>
  <si>
    <t>19-04-2024</t>
  </si>
  <si>
    <t>Vikas</t>
  </si>
  <si>
    <t>7583631103</t>
  </si>
  <si>
    <t>ORD14</t>
  </si>
  <si>
    <t>Priya Yadav</t>
  </si>
  <si>
    <t>15-08-2024</t>
  </si>
  <si>
    <t>22-08-2024</t>
  </si>
  <si>
    <t>7236415617</t>
  </si>
  <si>
    <t>ORD15</t>
  </si>
  <si>
    <t>Rohit Gupta</t>
  </si>
  <si>
    <t>Ahmedabad</t>
  </si>
  <si>
    <t>18-07-2023</t>
  </si>
  <si>
    <t>rohitgupta@gmail.com</t>
  </si>
  <si>
    <t>ORD16</t>
  </si>
  <si>
    <t>18-10-2024</t>
  </si>
  <si>
    <t>24-10-2024</t>
  </si>
  <si>
    <t>6472562159</t>
  </si>
  <si>
    <t>ORD17</t>
  </si>
  <si>
    <t>Priya Joshi</t>
  </si>
  <si>
    <t>27-05-2023</t>
  </si>
  <si>
    <t>02-06-2023</t>
  </si>
  <si>
    <t>priyajoshi@gmail.com</t>
  </si>
  <si>
    <t>8583142457</t>
  </si>
  <si>
    <t>ORD18</t>
  </si>
  <si>
    <t>Anjali Verma</t>
  </si>
  <si>
    <t>2023/11/05</t>
  </si>
  <si>
    <t>13-11-2023</t>
  </si>
  <si>
    <t>anjaliverma@gmail.com</t>
  </si>
  <si>
    <t>8019163747</t>
  </si>
  <si>
    <t>ORD19</t>
  </si>
  <si>
    <t>Rohit Patel</t>
  </si>
  <si>
    <t>F</t>
  </si>
  <si>
    <t>2023/01/14</t>
  </si>
  <si>
    <t>16-01-2023</t>
  </si>
  <si>
    <t>NetBanking</t>
  </si>
  <si>
    <t>rohitpatel@gmail.com</t>
  </si>
  <si>
    <t>8150021097</t>
  </si>
  <si>
    <t>ORD20</t>
  </si>
  <si>
    <t>Sneha Agarwal</t>
  </si>
  <si>
    <t>27-07-2023</t>
  </si>
  <si>
    <t>05-08-2023</t>
  </si>
  <si>
    <t>Pooja</t>
  </si>
  <si>
    <t>East</t>
  </si>
  <si>
    <t>snehaagarwal@gmail.com</t>
  </si>
  <si>
    <t>9549818875</t>
  </si>
  <si>
    <t>ORD21</t>
  </si>
  <si>
    <t>15-09-2023</t>
  </si>
  <si>
    <t>23-09-2023</t>
  </si>
  <si>
    <t>8754773139</t>
  </si>
  <si>
    <t>ORD22</t>
  </si>
  <si>
    <t>Vikas Agarwal</t>
  </si>
  <si>
    <t>M</t>
  </si>
  <si>
    <t>10-07-2023</t>
  </si>
  <si>
    <t>17-07-2023</t>
  </si>
  <si>
    <t>vikasagarwal@gmail.com</t>
  </si>
  <si>
    <t>8833155474</t>
  </si>
  <si>
    <t>ORD23</t>
  </si>
  <si>
    <t>priya singh</t>
  </si>
  <si>
    <t>17-05-2023</t>
  </si>
  <si>
    <t>priyasingh@gmail.com</t>
  </si>
  <si>
    <t>ORD24</t>
  </si>
  <si>
    <t>Karan Singh</t>
  </si>
  <si>
    <t>2024/10/12</t>
  </si>
  <si>
    <t>karansingh@gmail.com</t>
  </si>
  <si>
    <t>7989615227</t>
  </si>
  <si>
    <t>ORD25</t>
  </si>
  <si>
    <t>Pooja Kumar</t>
  </si>
  <si>
    <t>04-11-2024</t>
  </si>
  <si>
    <t>05-11-2024</t>
  </si>
  <si>
    <t>poojakumar@gmail.com</t>
  </si>
  <si>
    <t>6303409028</t>
  </si>
  <si>
    <t>ORD26</t>
  </si>
  <si>
    <t>Karan Agarwal</t>
  </si>
  <si>
    <t>23-11-2024</t>
  </si>
  <si>
    <t>28-11-2024</t>
  </si>
  <si>
    <t>karanagarwal@gmail.com</t>
  </si>
  <si>
    <t>ORD27</t>
  </si>
  <si>
    <t>Amit Mehta</t>
  </si>
  <si>
    <t>11-05-2024</t>
  </si>
  <si>
    <t>ORD28</t>
  </si>
  <si>
    <t>21-10-2024</t>
  </si>
  <si>
    <t>26-10-2024</t>
  </si>
  <si>
    <t>8228144377</t>
  </si>
  <si>
    <t>ORD29</t>
  </si>
  <si>
    <t>Pooja Sharma</t>
  </si>
  <si>
    <t>22-02-2024</t>
  </si>
  <si>
    <t>23-02-2024</t>
  </si>
  <si>
    <t>poojasharma@gmail.com</t>
  </si>
  <si>
    <t>7422065786</t>
  </si>
  <si>
    <t>ORD30</t>
  </si>
  <si>
    <t>Karan Joshi</t>
  </si>
  <si>
    <t>27-06-2024</t>
  </si>
  <si>
    <t>30-06-2024</t>
  </si>
  <si>
    <t>karanjoshi@gmail.com</t>
  </si>
  <si>
    <t>9357637057</t>
  </si>
  <si>
    <t>ORD31</t>
  </si>
  <si>
    <t>Priya Sharma</t>
  </si>
  <si>
    <t>Mumbai</t>
  </si>
  <si>
    <t>11-10-2023</t>
  </si>
  <si>
    <t>19-10-2023</t>
  </si>
  <si>
    <t>priyasharma@gmail.com</t>
  </si>
  <si>
    <t>7579106913</t>
  </si>
  <si>
    <t>ORD32</t>
  </si>
  <si>
    <t>Neha Yadav</t>
  </si>
  <si>
    <t>12-07-2023</t>
  </si>
  <si>
    <t>21-07-2023</t>
  </si>
  <si>
    <t>9238640945</t>
  </si>
  <si>
    <t>ORD33</t>
  </si>
  <si>
    <t>2024/06/29</t>
  </si>
  <si>
    <t>6282057847</t>
  </si>
  <si>
    <t>ORD34</t>
  </si>
  <si>
    <t>Vikas Sharma</t>
  </si>
  <si>
    <t>21-03-2023</t>
  </si>
  <si>
    <t>29-03-2023</t>
  </si>
  <si>
    <t>vikassharma@gmail.com</t>
  </si>
  <si>
    <t>7740614363</t>
  </si>
  <si>
    <t>ORD35</t>
  </si>
  <si>
    <t>Amit Singh</t>
  </si>
  <si>
    <t>01-06-2023</t>
  </si>
  <si>
    <t>05-06-2023</t>
  </si>
  <si>
    <t>amitsingh@gmail.com</t>
  </si>
  <si>
    <t>7275740052</t>
  </si>
  <si>
    <t>ORD36</t>
  </si>
  <si>
    <t>neha gupta</t>
  </si>
  <si>
    <t>18-02-2023</t>
  </si>
  <si>
    <t>22-02-2023</t>
  </si>
  <si>
    <t>nehagupta@gmail.com</t>
  </si>
  <si>
    <t>9298055970</t>
  </si>
  <si>
    <t>ORD37</t>
  </si>
  <si>
    <t>Rahul Joshi</t>
  </si>
  <si>
    <t>2023/08/27</t>
  </si>
  <si>
    <t>02-09-2023</t>
  </si>
  <si>
    <t>rahuljoshi@gmail.com</t>
  </si>
  <si>
    <t>9193987880</t>
  </si>
  <si>
    <t>ORD38</t>
  </si>
  <si>
    <t>22-04-2024</t>
  </si>
  <si>
    <t>25-04-2024</t>
  </si>
  <si>
    <t>priyayadav@gmail.com</t>
  </si>
  <si>
    <t>9351669472</t>
  </si>
  <si>
    <t>ORD39</t>
  </si>
  <si>
    <t>Pooja Patel</t>
  </si>
  <si>
    <t>29-05-2024</t>
  </si>
  <si>
    <t>30-05-2024</t>
  </si>
  <si>
    <t>poojapatel@gmail.com</t>
  </si>
  <si>
    <t>8135859758</t>
  </si>
  <si>
    <t>ORD40</t>
  </si>
  <si>
    <t>Sneha Patel</t>
  </si>
  <si>
    <t>20-01-2024</t>
  </si>
  <si>
    <t>26-01-2024</t>
  </si>
  <si>
    <t>Rahul</t>
  </si>
  <si>
    <t>snehapatel@gmail.com</t>
  </si>
  <si>
    <t>9116838200</t>
  </si>
  <si>
    <t>ORD41</t>
  </si>
  <si>
    <t>Neha Mehta</t>
  </si>
  <si>
    <t>14-10-2024</t>
  </si>
  <si>
    <t>20-10-2024</t>
  </si>
  <si>
    <t>7579647403</t>
  </si>
  <si>
    <t>ORD42</t>
  </si>
  <si>
    <t>priya yadav</t>
  </si>
  <si>
    <t>6517637347</t>
  </si>
  <si>
    <t>ORD43</t>
  </si>
  <si>
    <t>Rahul Sharma</t>
  </si>
  <si>
    <t>05-02-2024</t>
  </si>
  <si>
    <t>06-02-2024</t>
  </si>
  <si>
    <t>ORD44</t>
  </si>
  <si>
    <t>neha mehta</t>
  </si>
  <si>
    <t>04-02-2023</t>
  </si>
  <si>
    <t>12-02-2023</t>
  </si>
  <si>
    <t>nehamehta@gmail.com</t>
  </si>
  <si>
    <t>8078296027</t>
  </si>
  <si>
    <t>ORD45</t>
  </si>
  <si>
    <t>Rohit Joshi</t>
  </si>
  <si>
    <t>13-04-2024</t>
  </si>
  <si>
    <t>20-04-2024</t>
  </si>
  <si>
    <t>rohitjoshi@gmail.com</t>
  </si>
  <si>
    <t>6567952750</t>
  </si>
  <si>
    <t>ORD46</t>
  </si>
  <si>
    <t>Karan Sharma</t>
  </si>
  <si>
    <t>30-11-2024</t>
  </si>
  <si>
    <t>09-12-2024</t>
  </si>
  <si>
    <t>karansharma@gmail.com</t>
  </si>
  <si>
    <t>8584604098</t>
  </si>
  <si>
    <t>ORD47</t>
  </si>
  <si>
    <t>Rahul Singh</t>
  </si>
  <si>
    <t>02-05-2024</t>
  </si>
  <si>
    <t>12-05-2024</t>
  </si>
  <si>
    <t>rahulsingh@gmail.com</t>
  </si>
  <si>
    <t>9968928393</t>
  </si>
  <si>
    <t>ORD48</t>
  </si>
  <si>
    <t>Amit Agarwal</t>
  </si>
  <si>
    <t>06-05-2023</t>
  </si>
  <si>
    <t>10-05-2023</t>
  </si>
  <si>
    <t>amitagarwal@gmail.com</t>
  </si>
  <si>
    <t>9692344070</t>
  </si>
  <si>
    <t>ORD49</t>
  </si>
  <si>
    <t>Priya Kumar</t>
  </si>
  <si>
    <t>30-03-2024</t>
  </si>
  <si>
    <t>31-03-2024</t>
  </si>
  <si>
    <t>priyakumar@gmail.com</t>
  </si>
  <si>
    <t>6765861438</t>
  </si>
  <si>
    <t>ORD50</t>
  </si>
  <si>
    <t>Rahul Gupta</t>
  </si>
  <si>
    <t>17-03-2023</t>
  </si>
  <si>
    <t>27-03-2023</t>
  </si>
  <si>
    <t>rahulgupta@gmail.com</t>
  </si>
  <si>
    <t>ORD51</t>
  </si>
  <si>
    <t>Amit Patel</t>
  </si>
  <si>
    <t>22-06-2023</t>
  </si>
  <si>
    <t>28-06-2023</t>
  </si>
  <si>
    <t>amitpatel@gmail.com</t>
  </si>
  <si>
    <t>7491699352</t>
  </si>
  <si>
    <t>ORD52</t>
  </si>
  <si>
    <t>Karan Mehta</t>
  </si>
  <si>
    <t>11-12-2023</t>
  </si>
  <si>
    <t>19-12-2023</t>
  </si>
  <si>
    <t>karanmehta@gmail.com</t>
  </si>
  <si>
    <t>7017554560</t>
  </si>
  <si>
    <t>ORD53</t>
  </si>
  <si>
    <t>19-07-2024</t>
  </si>
  <si>
    <t>23-07-2024</t>
  </si>
  <si>
    <t>ORD54</t>
  </si>
  <si>
    <t>17-09-2023</t>
  </si>
  <si>
    <t>24-09-2023</t>
  </si>
  <si>
    <t>6911948962</t>
  </si>
  <si>
    <t>ORD55</t>
  </si>
  <si>
    <t>10-06-2023</t>
  </si>
  <si>
    <t>12-06-2023</t>
  </si>
  <si>
    <t>9538782563</t>
  </si>
  <si>
    <t>ORD56</t>
  </si>
  <si>
    <t>Sneha Kumar</t>
  </si>
  <si>
    <t>2023/09/24</t>
  </si>
  <si>
    <t>29-09-2023</t>
  </si>
  <si>
    <t>snehakumar@gmail.com</t>
  </si>
  <si>
    <t>8654655867</t>
  </si>
  <si>
    <t>ORD57</t>
  </si>
  <si>
    <t>22-12-2023</t>
  </si>
  <si>
    <t>26-12-2023</t>
  </si>
  <si>
    <t>7515415327</t>
  </si>
  <si>
    <t>ORD58</t>
  </si>
  <si>
    <t>10-11-2024</t>
  </si>
  <si>
    <t>8378266760</t>
  </si>
  <si>
    <t>ORD59</t>
  </si>
  <si>
    <t>2024/06/27</t>
  </si>
  <si>
    <t>29-06-2024</t>
  </si>
  <si>
    <t>8965305536</t>
  </si>
  <si>
    <t>ORD60</t>
  </si>
  <si>
    <t>15-06-2024</t>
  </si>
  <si>
    <t>25-06-2024</t>
  </si>
  <si>
    <t>8861911540</t>
  </si>
  <si>
    <t>ORD61</t>
  </si>
  <si>
    <t>Rohit Yadav</t>
  </si>
  <si>
    <t>03-08-2023</t>
  </si>
  <si>
    <t>04-08-2023</t>
  </si>
  <si>
    <t>rohityadav@gmail.com</t>
  </si>
  <si>
    <t>8328130701</t>
  </si>
  <si>
    <t>ORD62</t>
  </si>
  <si>
    <t>13-01-2023</t>
  </si>
  <si>
    <t>21-01-2023</t>
  </si>
  <si>
    <t>ORD63</t>
  </si>
  <si>
    <t>6885825801</t>
  </si>
  <si>
    <t>ORD64</t>
  </si>
  <si>
    <t>06-12-2023</t>
  </si>
  <si>
    <t>15-12-2023</t>
  </si>
  <si>
    <t>7629826659</t>
  </si>
  <si>
    <t>ORD65</t>
  </si>
  <si>
    <t>Neha Agarwal</t>
  </si>
  <si>
    <t>26-03-2023</t>
  </si>
  <si>
    <t>01-04-2023</t>
  </si>
  <si>
    <t>nehaagarwal@gmail.com</t>
  </si>
  <si>
    <t>7761337282</t>
  </si>
  <si>
    <t>ORD66</t>
  </si>
  <si>
    <t>22-10-2023</t>
  </si>
  <si>
    <t>23-10-2023</t>
  </si>
  <si>
    <t>6543700056</t>
  </si>
  <si>
    <t>ORD67</t>
  </si>
  <si>
    <t>10-08-2023</t>
  </si>
  <si>
    <t>13-08-2023</t>
  </si>
  <si>
    <t>8176400304</t>
  </si>
  <si>
    <t>ORD68</t>
  </si>
  <si>
    <t>Anjali Joshi</t>
  </si>
  <si>
    <t>27-10-2024</t>
  </si>
  <si>
    <t>06-11-2024</t>
  </si>
  <si>
    <t>anjalijoshi@gmail.com</t>
  </si>
  <si>
    <t>7032069500</t>
  </si>
  <si>
    <t>ORD69</t>
  </si>
  <si>
    <t>2024/11/25</t>
  </si>
  <si>
    <t>05-12-2024</t>
  </si>
  <si>
    <t>8470200310</t>
  </si>
  <si>
    <t>ORD70</t>
  </si>
  <si>
    <t>19-02-2023</t>
  </si>
  <si>
    <t>7628005127</t>
  </si>
  <si>
    <t>ORD71</t>
  </si>
  <si>
    <t>Vikas Kumar</t>
  </si>
  <si>
    <t>19-11-2024</t>
  </si>
  <si>
    <t>24-11-2024</t>
  </si>
  <si>
    <t>vikaskumar@gmail.com</t>
  </si>
  <si>
    <t>7948501305</t>
  </si>
  <si>
    <t>ORD72</t>
  </si>
  <si>
    <t>23-06-2024</t>
  </si>
  <si>
    <t>01-07-2024</t>
  </si>
  <si>
    <t>ORD73</t>
  </si>
  <si>
    <t>ORD74</t>
  </si>
  <si>
    <t>amit kumar</t>
  </si>
  <si>
    <t>2023/01/10</t>
  </si>
  <si>
    <t>14-01-2023</t>
  </si>
  <si>
    <t>amitkumar@gmail.com</t>
  </si>
  <si>
    <t>7391262479</t>
  </si>
  <si>
    <t>ORD75</t>
  </si>
  <si>
    <t>Amit Kumar</t>
  </si>
  <si>
    <t>30-07-2023</t>
  </si>
  <si>
    <t>08-08-2023</t>
  </si>
  <si>
    <t>7264987717</t>
  </si>
  <si>
    <t>ORD76</t>
  </si>
  <si>
    <t>2023/10/22</t>
  </si>
  <si>
    <t>01-11-2023</t>
  </si>
  <si>
    <t>6654524462</t>
  </si>
  <si>
    <t>ORD77</t>
  </si>
  <si>
    <t>30-09-2023</t>
  </si>
  <si>
    <t>01-10-2023</t>
  </si>
  <si>
    <t>7726245784</t>
  </si>
  <si>
    <t>ORD78</t>
  </si>
  <si>
    <t>2023/04/24</t>
  </si>
  <si>
    <t>04-05-2023</t>
  </si>
  <si>
    <t>8839768039</t>
  </si>
  <si>
    <t>ORD79</t>
  </si>
  <si>
    <t>Priya Verma</t>
  </si>
  <si>
    <t>14-08-2023</t>
  </si>
  <si>
    <t>9770046799</t>
  </si>
  <si>
    <t>ORD80</t>
  </si>
  <si>
    <t>Rohit Sharma</t>
  </si>
  <si>
    <t>12-11-2024</t>
  </si>
  <si>
    <t>17-11-2024</t>
  </si>
  <si>
    <t>6377237011</t>
  </si>
  <si>
    <t>ORD81</t>
  </si>
  <si>
    <t>Neha Sharma</t>
  </si>
  <si>
    <t>21-10-2023</t>
  </si>
  <si>
    <t>nehasharma@gmail.com</t>
  </si>
  <si>
    <t>7810100358</t>
  </si>
  <si>
    <t>ORD82</t>
  </si>
  <si>
    <t>Karan Kumar</t>
  </si>
  <si>
    <t>2024/08/09</t>
  </si>
  <si>
    <t>10-08-2024</t>
  </si>
  <si>
    <t>7904211591</t>
  </si>
  <si>
    <t>ORD83</t>
  </si>
  <si>
    <t>Amit Verma</t>
  </si>
  <si>
    <t>07-10-2023</t>
  </si>
  <si>
    <t>amitverma@gmail.com</t>
  </si>
  <si>
    <t>8960221749</t>
  </si>
  <si>
    <t>ORD84</t>
  </si>
  <si>
    <t>26-09-2023</t>
  </si>
  <si>
    <t>7124375345</t>
  </si>
  <si>
    <t>ORD85</t>
  </si>
  <si>
    <t>Anjali Sharma</t>
  </si>
  <si>
    <t>2024/11/15</t>
  </si>
  <si>
    <t>22-11-2024</t>
  </si>
  <si>
    <t>anjalisharma@gmail.com</t>
  </si>
  <si>
    <t>9020736720</t>
  </si>
  <si>
    <t>ORD86</t>
  </si>
  <si>
    <t>31-07-2024</t>
  </si>
  <si>
    <t>7605728377</t>
  </si>
  <si>
    <t>ORD87</t>
  </si>
  <si>
    <t>11-07-2024</t>
  </si>
  <si>
    <t>15-07-2024</t>
  </si>
  <si>
    <t>karankumar@gmail.com</t>
  </si>
  <si>
    <t>7158852849</t>
  </si>
  <si>
    <t>ORD88</t>
  </si>
  <si>
    <t>Neha Joshi</t>
  </si>
  <si>
    <t>07-05-2024</t>
  </si>
  <si>
    <t>nehajoshi@gmail.com</t>
  </si>
  <si>
    <t>7279752874</t>
  </si>
  <si>
    <t>ORD89</t>
  </si>
  <si>
    <t>Vikas Gupta</t>
  </si>
  <si>
    <t>21-11-2024</t>
  </si>
  <si>
    <t>29-11-2024</t>
  </si>
  <si>
    <t>vikasgupta@gmail.com</t>
  </si>
  <si>
    <t>7302393751</t>
  </si>
  <si>
    <t>ORD90</t>
  </si>
  <si>
    <t>Amit Joshi</t>
  </si>
  <si>
    <t>08-03-2024</t>
  </si>
  <si>
    <t>14-03-2024</t>
  </si>
  <si>
    <t>amitjoshi@gmail.com</t>
  </si>
  <si>
    <t>6562253326</t>
  </si>
  <si>
    <t>ORD91</t>
  </si>
  <si>
    <t>20-12-2023</t>
  </si>
  <si>
    <t>28-12-2023</t>
  </si>
  <si>
    <t>9930091531</t>
  </si>
  <si>
    <t>ORD92</t>
  </si>
  <si>
    <t>karan sharma</t>
  </si>
  <si>
    <t>26-05-2023</t>
  </si>
  <si>
    <t>30-05-2023</t>
  </si>
  <si>
    <t>ORD93</t>
  </si>
  <si>
    <t>15-05-2024</t>
  </si>
  <si>
    <t>24-05-2024</t>
  </si>
  <si>
    <t>6687342095</t>
  </si>
  <si>
    <t>ORD94</t>
  </si>
  <si>
    <t>Amit Sharma</t>
  </si>
  <si>
    <t>2024/02/28</t>
  </si>
  <si>
    <t>06-03-2024</t>
  </si>
  <si>
    <t>amitsharma@gmail.com</t>
  </si>
  <si>
    <t>7704272626</t>
  </si>
  <si>
    <t>ORD95</t>
  </si>
  <si>
    <t>anjali kumar</t>
  </si>
  <si>
    <t>05-09-2023</t>
  </si>
  <si>
    <t>14-09-2023</t>
  </si>
  <si>
    <t>anjalikumar@gmail.com</t>
  </si>
  <si>
    <t>ORD96</t>
  </si>
  <si>
    <t>12-09-2024</t>
  </si>
  <si>
    <t>7921019299</t>
  </si>
  <si>
    <t>ORD97</t>
  </si>
  <si>
    <t>Anjali Singh</t>
  </si>
  <si>
    <t>02-05-2023</t>
  </si>
  <si>
    <t>12-05-2023</t>
  </si>
  <si>
    <t>anjalisingh@gmail.com</t>
  </si>
  <si>
    <t>6839860278</t>
  </si>
  <si>
    <t>ORD98</t>
  </si>
  <si>
    <t>Priya Gupta</t>
  </si>
  <si>
    <t>03-06-2024</t>
  </si>
  <si>
    <t>priyagupta@gmail.com</t>
  </si>
  <si>
    <t>9683536942</t>
  </si>
  <si>
    <t>ORD99</t>
  </si>
  <si>
    <t>26-07-2024</t>
  </si>
  <si>
    <t>7663057138</t>
  </si>
  <si>
    <t>ORD100</t>
  </si>
  <si>
    <t>Vikas Verma</t>
  </si>
  <si>
    <t>28-09-2023</t>
  </si>
  <si>
    <t>04-10-2023</t>
  </si>
  <si>
    <t>vikasverma@gmail.com</t>
  </si>
  <si>
    <t>9768103700</t>
  </si>
  <si>
    <t>ORD101</t>
  </si>
  <si>
    <t>19-03-2024</t>
  </si>
  <si>
    <t>21-03-2024</t>
  </si>
  <si>
    <t>rohitsharma@gmail.com</t>
  </si>
  <si>
    <t>7358477845</t>
  </si>
  <si>
    <t>ORD102</t>
  </si>
  <si>
    <t>24-04-2023</t>
  </si>
  <si>
    <t>30-04-2023</t>
  </si>
  <si>
    <t>7060605422</t>
  </si>
  <si>
    <t>ORD103</t>
  </si>
  <si>
    <t>Neha Verma</t>
  </si>
  <si>
    <t>25-09-2024</t>
  </si>
  <si>
    <t>05-10-2024</t>
  </si>
  <si>
    <t>nehaverma@gmail.com</t>
  </si>
  <si>
    <t>9920527177</t>
  </si>
  <si>
    <t>ORD104</t>
  </si>
  <si>
    <t>16-09-2023</t>
  </si>
  <si>
    <t>9763414094</t>
  </si>
  <si>
    <t>ORD105</t>
  </si>
  <si>
    <t>2023/06/08</t>
  </si>
  <si>
    <t>8103539789</t>
  </si>
  <si>
    <t>ORD106</t>
  </si>
  <si>
    <t>20-05-2023</t>
  </si>
  <si>
    <t>23-05-2023</t>
  </si>
  <si>
    <t>7914584229</t>
  </si>
  <si>
    <t>ORD107</t>
  </si>
  <si>
    <t>09-03-2024</t>
  </si>
  <si>
    <t>8920209099</t>
  </si>
  <si>
    <t>ORD108</t>
  </si>
  <si>
    <t>Neha Singh</t>
  </si>
  <si>
    <t>31-10-2024</t>
  </si>
  <si>
    <t>nehasingh@gmail.com</t>
  </si>
  <si>
    <t>9571647284</t>
  </si>
  <si>
    <t>ORD109</t>
  </si>
  <si>
    <t>24-08-2024</t>
  </si>
  <si>
    <t>priyaverma@gmail.com</t>
  </si>
  <si>
    <t>9191999923</t>
  </si>
  <si>
    <t>ORD110</t>
  </si>
  <si>
    <t>07-04-2023</t>
  </si>
  <si>
    <t>9045199141</t>
  </si>
  <si>
    <t>ORD111</t>
  </si>
  <si>
    <t>Karan Yadav</t>
  </si>
  <si>
    <t>17-06-2023</t>
  </si>
  <si>
    <t>karanyadav@gmail.com</t>
  </si>
  <si>
    <t>6789126759</t>
  </si>
  <si>
    <t>ORD112</t>
  </si>
  <si>
    <t>Pooja Singh</t>
  </si>
  <si>
    <t>21-07-2024</t>
  </si>
  <si>
    <t>poojasingh@gmail.com</t>
  </si>
  <si>
    <t>8101150045</t>
  </si>
  <si>
    <t>ORD113</t>
  </si>
  <si>
    <t>Karan Patel</t>
  </si>
  <si>
    <t>11-01-2023</t>
  </si>
  <si>
    <t>15-01-2023</t>
  </si>
  <si>
    <t>karanpatel@gmail.com</t>
  </si>
  <si>
    <t>9100910045</t>
  </si>
  <si>
    <t>ORD114</t>
  </si>
  <si>
    <t>Amit Yadav</t>
  </si>
  <si>
    <t>12-03-2024</t>
  </si>
  <si>
    <t>15-03-2024</t>
  </si>
  <si>
    <t>amityadav@gmail.com</t>
  </si>
  <si>
    <t>6639679622</t>
  </si>
  <si>
    <t>ORD115</t>
  </si>
  <si>
    <t>Rohit Verma</t>
  </si>
  <si>
    <t>15-10-2023</t>
  </si>
  <si>
    <t>18-10-2023</t>
  </si>
  <si>
    <t>rohitverma@gmail.com</t>
  </si>
  <si>
    <t>7517983659</t>
  </si>
  <si>
    <t>ORD116</t>
  </si>
  <si>
    <t>19-02-2024</t>
  </si>
  <si>
    <t>29-02-2024</t>
  </si>
  <si>
    <t>9804299370</t>
  </si>
  <si>
    <t>ORD117</t>
  </si>
  <si>
    <t>02-07-2024</t>
  </si>
  <si>
    <t>10-07-2024</t>
  </si>
  <si>
    <t>8051959695</t>
  </si>
  <si>
    <t>ORD118</t>
  </si>
  <si>
    <t>Sneha Sharma</t>
  </si>
  <si>
    <t>25-11-2024</t>
  </si>
  <si>
    <t>04-12-2024</t>
  </si>
  <si>
    <t>ORD119</t>
  </si>
  <si>
    <t>12-12-2023</t>
  </si>
  <si>
    <t>17-12-2023</t>
  </si>
  <si>
    <t>8411369421</t>
  </si>
  <si>
    <t>ORD120</t>
  </si>
  <si>
    <t>Priya Agarwal</t>
  </si>
  <si>
    <t>25-06-2023</t>
  </si>
  <si>
    <t>priyaagarwal@gmail.com</t>
  </si>
  <si>
    <t>8466577671</t>
  </si>
  <si>
    <t>ORD121</t>
  </si>
  <si>
    <t>Pooja Verma</t>
  </si>
  <si>
    <t>01-07-2023</t>
  </si>
  <si>
    <t>07-07-2023</t>
  </si>
  <si>
    <t>poojaverma@gmail.com</t>
  </si>
  <si>
    <t>7253328039</t>
  </si>
  <si>
    <t>ORD122</t>
  </si>
  <si>
    <t>09-08-2024</t>
  </si>
  <si>
    <t>13-08-2024</t>
  </si>
  <si>
    <t>6938804783</t>
  </si>
  <si>
    <t>ORD123</t>
  </si>
  <si>
    <t>Rohit Mehta</t>
  </si>
  <si>
    <t>14-07-2024</t>
  </si>
  <si>
    <t>rohitmehta@gmail.com</t>
  </si>
  <si>
    <t>9817776094</t>
  </si>
  <si>
    <t>ORD124</t>
  </si>
  <si>
    <t>karan kumar</t>
  </si>
  <si>
    <t>12-07-2024</t>
  </si>
  <si>
    <t>18-07-2024</t>
  </si>
  <si>
    <t>9457983473</t>
  </si>
  <si>
    <t>ORD125</t>
  </si>
  <si>
    <t>28-02-2023</t>
  </si>
  <si>
    <t>01-03-2023</t>
  </si>
  <si>
    <t>8829092567</t>
  </si>
  <si>
    <t>ORD126</t>
  </si>
  <si>
    <t>Rahul Verma</t>
  </si>
  <si>
    <t>24-01-2024</t>
  </si>
  <si>
    <t>27-01-2024</t>
  </si>
  <si>
    <t>rahulverma@gmail.com</t>
  </si>
  <si>
    <t>6988782045</t>
  </si>
  <si>
    <t>ORD127</t>
  </si>
  <si>
    <t>17-02-2023</t>
  </si>
  <si>
    <t>20-02-2023</t>
  </si>
  <si>
    <t>6232607834</t>
  </si>
  <si>
    <t>ORD128</t>
  </si>
  <si>
    <t>Rohit Kumar</t>
  </si>
  <si>
    <t>25-05-2024</t>
  </si>
  <si>
    <t>28-05-2024</t>
  </si>
  <si>
    <t>6891610140</t>
  </si>
  <si>
    <t>ORD129</t>
  </si>
  <si>
    <t>Pooja Agarwal</t>
  </si>
  <si>
    <t>15-08-2023</t>
  </si>
  <si>
    <t>20-08-2023</t>
  </si>
  <si>
    <t>6188155093</t>
  </si>
  <si>
    <t>ORD130</t>
  </si>
  <si>
    <t>8266641104</t>
  </si>
  <si>
    <t>ORD131</t>
  </si>
  <si>
    <t>19-08-2023</t>
  </si>
  <si>
    <t>6217692626</t>
  </si>
  <si>
    <t>ORD132</t>
  </si>
  <si>
    <t>2023/11/28</t>
  </si>
  <si>
    <t>03-12-2023</t>
  </si>
  <si>
    <t>ORD133</t>
  </si>
  <si>
    <t>Rahul Patel</t>
  </si>
  <si>
    <t>13-12-2023</t>
  </si>
  <si>
    <t>14-12-2023</t>
  </si>
  <si>
    <t>8156944541</t>
  </si>
  <si>
    <t>ORD134</t>
  </si>
  <si>
    <t>Rahul Agarwal</t>
  </si>
  <si>
    <t>05-03-2024</t>
  </si>
  <si>
    <t>rahulagarwal@gmail.com</t>
  </si>
  <si>
    <t>6037422707</t>
  </si>
  <si>
    <t>ORD135</t>
  </si>
  <si>
    <t>2024/07/11</t>
  </si>
  <si>
    <t>6044244116</t>
  </si>
  <si>
    <t>ORD136</t>
  </si>
  <si>
    <t>25-03-2023</t>
  </si>
  <si>
    <t>31-03-2023</t>
  </si>
  <si>
    <t>7762851243</t>
  </si>
  <si>
    <t>ORD137</t>
  </si>
  <si>
    <t>pooja singh</t>
  </si>
  <si>
    <t>10-02-2023</t>
  </si>
  <si>
    <t>8576244781</t>
  </si>
  <si>
    <t>ORD138</t>
  </si>
  <si>
    <t>31-05-2024</t>
  </si>
  <si>
    <t>09-06-2024</t>
  </si>
  <si>
    <t>9462165641</t>
  </si>
  <si>
    <t>ORD139</t>
  </si>
  <si>
    <t>17-10-2023</t>
  </si>
  <si>
    <t>ORD140</t>
  </si>
  <si>
    <t>Pooja Joshi</t>
  </si>
  <si>
    <t>25-05-2023</t>
  </si>
  <si>
    <t>28-05-2023</t>
  </si>
  <si>
    <t>poojajoshi@gmail.com</t>
  </si>
  <si>
    <t>6078429785</t>
  </si>
  <si>
    <t>ORD141</t>
  </si>
  <si>
    <t>25-01-2024</t>
  </si>
  <si>
    <t>02-02-2024</t>
  </si>
  <si>
    <t>6999295658</t>
  </si>
  <si>
    <t>ORD142</t>
  </si>
  <si>
    <t>2024/06/15</t>
  </si>
  <si>
    <t>20-06-2024</t>
  </si>
  <si>
    <t>7184268687</t>
  </si>
  <si>
    <t>ORD143</t>
  </si>
  <si>
    <t>amit sharma</t>
  </si>
  <si>
    <t>13-05-2023</t>
  </si>
  <si>
    <t>8887114121</t>
  </si>
  <si>
    <t>ORD144</t>
  </si>
  <si>
    <t>11-03-2024</t>
  </si>
  <si>
    <t>7797989485</t>
  </si>
  <si>
    <t>ORD145</t>
  </si>
  <si>
    <t>24-07-2024</t>
  </si>
  <si>
    <t>28-07-2024</t>
  </si>
  <si>
    <t>8410200786</t>
  </si>
  <si>
    <t>ORD146</t>
  </si>
  <si>
    <t>anjali agarwal</t>
  </si>
  <si>
    <t>26-06-2024</t>
  </si>
  <si>
    <t>anjaliagarwal@gmail.com</t>
  </si>
  <si>
    <t>8141797131</t>
  </si>
  <si>
    <t>ORD147</t>
  </si>
  <si>
    <t>24-03-2024</t>
  </si>
  <si>
    <t>6672679331</t>
  </si>
  <si>
    <t>ORD148</t>
  </si>
  <si>
    <t>rohit sharma</t>
  </si>
  <si>
    <t>27-09-2024</t>
  </si>
  <si>
    <t>02-10-2024</t>
  </si>
  <si>
    <t>6779458940</t>
  </si>
  <si>
    <t>ORD149</t>
  </si>
  <si>
    <t>Amit Gupta</t>
  </si>
  <si>
    <t>16-08-2024</t>
  </si>
  <si>
    <t>amitgupta@gmail.com</t>
  </si>
  <si>
    <t>7257247979</t>
  </si>
  <si>
    <t>ORD150</t>
  </si>
  <si>
    <t>2024/09/05</t>
  </si>
  <si>
    <t>ORD151</t>
  </si>
  <si>
    <t>05-01-2024</t>
  </si>
  <si>
    <t>10-01-2024</t>
  </si>
  <si>
    <t>9359629935</t>
  </si>
  <si>
    <t>ORD152</t>
  </si>
  <si>
    <t>rohit verma</t>
  </si>
  <si>
    <t>2023/01/20</t>
  </si>
  <si>
    <t>23-01-2023</t>
  </si>
  <si>
    <t>6030606989</t>
  </si>
  <si>
    <t>ORD153</t>
  </si>
  <si>
    <t>30-06-2023</t>
  </si>
  <si>
    <t>02-07-2023</t>
  </si>
  <si>
    <t>rohitkumar@gmail.com</t>
  </si>
  <si>
    <t>8611624493</t>
  </si>
  <si>
    <t>ORD154</t>
  </si>
  <si>
    <t>10-01-2023</t>
  </si>
  <si>
    <t>8589369922</t>
  </si>
  <si>
    <t>ORD155</t>
  </si>
  <si>
    <t>19-05-2023</t>
  </si>
  <si>
    <t>29-05-2023</t>
  </si>
  <si>
    <t>9208941536</t>
  </si>
  <si>
    <t>ORD156</t>
  </si>
  <si>
    <t>04-04-2023</t>
  </si>
  <si>
    <t>11-04-2023</t>
  </si>
  <si>
    <t>7703529208</t>
  </si>
  <si>
    <t>ORD157</t>
  </si>
  <si>
    <t>21-05-2024</t>
  </si>
  <si>
    <t>22-05-2024</t>
  </si>
  <si>
    <t>6834233975</t>
  </si>
  <si>
    <t>ORD158</t>
  </si>
  <si>
    <t>Sneha Yadav</t>
  </si>
  <si>
    <t>2023/05/31</t>
  </si>
  <si>
    <t>snehayadav@gmail.com</t>
  </si>
  <si>
    <t>6439286721</t>
  </si>
  <si>
    <t>ORD159</t>
  </si>
  <si>
    <t>Priya Singh</t>
  </si>
  <si>
    <t>21-02-2024</t>
  </si>
  <si>
    <t>02-03-2024</t>
  </si>
  <si>
    <t>6142367936</t>
  </si>
  <si>
    <t>ORD160</t>
  </si>
  <si>
    <t>8319941896</t>
  </si>
  <si>
    <t>ORD161</t>
  </si>
  <si>
    <t>27-03-2024</t>
  </si>
  <si>
    <t>06-04-2024</t>
  </si>
  <si>
    <t>8983435395</t>
  </si>
  <si>
    <t>ORD162</t>
  </si>
  <si>
    <t>Priya Patel</t>
  </si>
  <si>
    <t>13-01-2024</t>
  </si>
  <si>
    <t>priyapatel@gmail.com</t>
  </si>
  <si>
    <t>7920684660</t>
  </si>
  <si>
    <t>ORD163</t>
  </si>
  <si>
    <t>25-03-2024</t>
  </si>
  <si>
    <t>ORD164</t>
  </si>
  <si>
    <t>16-03-2023</t>
  </si>
  <si>
    <t>9352541087</t>
  </si>
  <si>
    <t>ORD165</t>
  </si>
  <si>
    <t>03-02-2023</t>
  </si>
  <si>
    <t>08-02-2023</t>
  </si>
  <si>
    <t>7665352630</t>
  </si>
  <si>
    <t>ORD166</t>
  </si>
  <si>
    <t>15-03-2023</t>
  </si>
  <si>
    <t>22-03-2023</t>
  </si>
  <si>
    <t>7496251981</t>
  </si>
  <si>
    <t>ORD167</t>
  </si>
  <si>
    <t>08-06-2023</t>
  </si>
  <si>
    <t>7691271301</t>
  </si>
  <si>
    <t>ORD168</t>
  </si>
  <si>
    <t>Rahul Kumar</t>
  </si>
  <si>
    <t>04-09-2024</t>
  </si>
  <si>
    <t>ORD169</t>
  </si>
  <si>
    <t>14-10-2023</t>
  </si>
  <si>
    <t>8683989980</t>
  </si>
  <si>
    <t>ORD170</t>
  </si>
  <si>
    <t>22-03-2024</t>
  </si>
  <si>
    <t>29-03-2024</t>
  </si>
  <si>
    <t>8275491479</t>
  </si>
  <si>
    <t>ORD171</t>
  </si>
  <si>
    <t>Neha Gupta</t>
  </si>
  <si>
    <t>2023/08/08</t>
  </si>
  <si>
    <t>17-08-2023</t>
  </si>
  <si>
    <t>8545772060</t>
  </si>
  <si>
    <t>ORD172</t>
  </si>
  <si>
    <t>ORD173</t>
  </si>
  <si>
    <t>03-04-2023</t>
  </si>
  <si>
    <t>06-04-2023</t>
  </si>
  <si>
    <t>9411201736</t>
  </si>
  <si>
    <t>ORD174</t>
  </si>
  <si>
    <t>Rohit Singh</t>
  </si>
  <si>
    <t>06-06-2023</t>
  </si>
  <si>
    <t>rohitsingh@gmail.com</t>
  </si>
  <si>
    <t>9683672145</t>
  </si>
  <si>
    <t>ORD175</t>
  </si>
  <si>
    <t>7216956630</t>
  </si>
  <si>
    <t>ORD176</t>
  </si>
  <si>
    <t>26-06-2023</t>
  </si>
  <si>
    <t>7587067361</t>
  </si>
  <si>
    <t>ORD177</t>
  </si>
  <si>
    <t>23-12-2023</t>
  </si>
  <si>
    <t>nehayadav@gmail.com</t>
  </si>
  <si>
    <t>6226534434</t>
  </si>
  <si>
    <t>ORD178</t>
  </si>
  <si>
    <t>09-07-2023</t>
  </si>
  <si>
    <t>8906702394</t>
  </si>
  <si>
    <t>ORD179</t>
  </si>
  <si>
    <t>2023/02/09</t>
  </si>
  <si>
    <t>14-02-2023</t>
  </si>
  <si>
    <t>7424563119</t>
  </si>
  <si>
    <t>ORD180</t>
  </si>
  <si>
    <t>09-05-2024</t>
  </si>
  <si>
    <t>10-05-2024</t>
  </si>
  <si>
    <t>6880128683</t>
  </si>
  <si>
    <t>ORD181</t>
  </si>
  <si>
    <t>08-04-2023</t>
  </si>
  <si>
    <t>13-04-2023</t>
  </si>
  <si>
    <t>8158634177</t>
  </si>
  <si>
    <t>ORD182</t>
  </si>
  <si>
    <t>7538561672</t>
  </si>
  <si>
    <t>ORD183</t>
  </si>
  <si>
    <t>27-11-2024</t>
  </si>
  <si>
    <t>9444514257</t>
  </si>
  <si>
    <t>ORD184</t>
  </si>
  <si>
    <t>02-10-2023</t>
  </si>
  <si>
    <t>09-10-2023</t>
  </si>
  <si>
    <t>8835000712</t>
  </si>
  <si>
    <t>ORD185</t>
  </si>
  <si>
    <t>2023/03/26</t>
  </si>
  <si>
    <t>8263842302</t>
  </si>
  <si>
    <t>ORD186</t>
  </si>
  <si>
    <t>18-05-2023</t>
  </si>
  <si>
    <t>22-05-2023</t>
  </si>
  <si>
    <t>7937692123</t>
  </si>
  <si>
    <t>ORD187</t>
  </si>
  <si>
    <t>15-04-2023</t>
  </si>
  <si>
    <t>18-04-2023</t>
  </si>
  <si>
    <t>8422496963</t>
  </si>
  <si>
    <t>ORD188</t>
  </si>
  <si>
    <t>14-11-2024</t>
  </si>
  <si>
    <t>15-11-2024</t>
  </si>
  <si>
    <t>ORD189</t>
  </si>
  <si>
    <t>8879434140</t>
  </si>
  <si>
    <t>ORD190</t>
  </si>
  <si>
    <t>01-12-2024</t>
  </si>
  <si>
    <t>10-12-2024</t>
  </si>
  <si>
    <t>rahulpatel@gmail.com</t>
  </si>
  <si>
    <t>9016969934</t>
  </si>
  <si>
    <t>ORD191</t>
  </si>
  <si>
    <t>6520226583</t>
  </si>
  <si>
    <t>ORD192</t>
  </si>
  <si>
    <t>07-04-2024</t>
  </si>
  <si>
    <t>12-04-2024</t>
  </si>
  <si>
    <t>9719643937</t>
  </si>
  <si>
    <t>ORD193</t>
  </si>
  <si>
    <t>04-08-2024</t>
  </si>
  <si>
    <t>12-08-2024</t>
  </si>
  <si>
    <t>6870140846</t>
  </si>
  <si>
    <t>ORD194</t>
  </si>
  <si>
    <t>ORD195</t>
  </si>
  <si>
    <t>02-01-2024</t>
  </si>
  <si>
    <t>6263927352</t>
  </si>
  <si>
    <t>ORD196</t>
  </si>
  <si>
    <t>Sneha Mehta</t>
  </si>
  <si>
    <t>2024/05/17</t>
  </si>
  <si>
    <t>snehamehta@gmail.com</t>
  </si>
  <si>
    <t>6760075656</t>
  </si>
  <si>
    <t>ORD197</t>
  </si>
  <si>
    <t>28-10-2024</t>
  </si>
  <si>
    <t>30-10-2024</t>
  </si>
  <si>
    <t>6031215985</t>
  </si>
  <si>
    <t>ORD198</t>
  </si>
  <si>
    <t>05-07-2023</t>
  </si>
  <si>
    <t>06-07-2023</t>
  </si>
  <si>
    <t>6862586040</t>
  </si>
  <si>
    <t>ORD199</t>
  </si>
  <si>
    <t>Vikas Mehta</t>
  </si>
  <si>
    <t>2024/10/26</t>
  </si>
  <si>
    <t>7932139935</t>
  </si>
  <si>
    <t>ORD200</t>
  </si>
  <si>
    <t>06-06-2024</t>
  </si>
  <si>
    <t>08-06-2024</t>
  </si>
  <si>
    <t>9494563533</t>
  </si>
  <si>
    <t>ORD201</t>
  </si>
  <si>
    <t>Anjali Kumar</t>
  </si>
  <si>
    <t>8424891184</t>
  </si>
  <si>
    <t>ORD202</t>
  </si>
  <si>
    <t>28-02-2024</t>
  </si>
  <si>
    <t>7856940895</t>
  </si>
  <si>
    <t>ORD203</t>
  </si>
  <si>
    <t>15-02-2024</t>
  </si>
  <si>
    <t>9532488737</t>
  </si>
  <si>
    <t>ORD204</t>
  </si>
  <si>
    <t>2024/08/07</t>
  </si>
  <si>
    <t>7247703211</t>
  </si>
  <si>
    <t>ORD205</t>
  </si>
  <si>
    <t>21-04-2023</t>
  </si>
  <si>
    <t>7412598605</t>
  </si>
  <si>
    <t>ORD206</t>
  </si>
  <si>
    <t>05-01-2023</t>
  </si>
  <si>
    <t>09-01-2023</t>
  </si>
  <si>
    <t>8288753454</t>
  </si>
  <si>
    <t>ORD207</t>
  </si>
  <si>
    <t>16-02-2024</t>
  </si>
  <si>
    <t>26-02-2024</t>
  </si>
  <si>
    <t>9756938619</t>
  </si>
  <si>
    <t>ORD208</t>
  </si>
  <si>
    <t>8177374583</t>
  </si>
  <si>
    <t>ORD209</t>
  </si>
  <si>
    <t>6340799947</t>
  </si>
  <si>
    <t>ORD210</t>
  </si>
  <si>
    <t>ORD211</t>
  </si>
  <si>
    <t>11-04-2024</t>
  </si>
  <si>
    <t>vikasmehta@gmail.com</t>
  </si>
  <si>
    <t>7739568327</t>
  </si>
  <si>
    <t>ORD212</t>
  </si>
  <si>
    <t>17-11-2023</t>
  </si>
  <si>
    <t>18-11-2023</t>
  </si>
  <si>
    <t>8606256492</t>
  </si>
  <si>
    <t>ORD213</t>
  </si>
  <si>
    <t>23-03-2023</t>
  </si>
  <si>
    <t>9414551302</t>
  </si>
  <si>
    <t>ORD214</t>
  </si>
  <si>
    <t>29-01-2023</t>
  </si>
  <si>
    <t>7942293492</t>
  </si>
  <si>
    <t>ORD215</t>
  </si>
  <si>
    <t>2024/04/28</t>
  </si>
  <si>
    <t>7723099000</t>
  </si>
  <si>
    <t>ORD216</t>
  </si>
  <si>
    <t>12-11-2023</t>
  </si>
  <si>
    <t>16-11-2023</t>
  </si>
  <si>
    <t>amitmehta@gmail.com</t>
  </si>
  <si>
    <t>8332899133</t>
  </si>
  <si>
    <t>ORD217</t>
  </si>
  <si>
    <t>31-05-2023</t>
  </si>
  <si>
    <t>03-06-2023</t>
  </si>
  <si>
    <t>8207209128</t>
  </si>
  <si>
    <t>ORD218</t>
  </si>
  <si>
    <t>Rohit Agarwal</t>
  </si>
  <si>
    <t>02-08-2023</t>
  </si>
  <si>
    <t>07-08-2023</t>
  </si>
  <si>
    <t>rohitagarwal@gmail.com</t>
  </si>
  <si>
    <t>7028090242</t>
  </si>
  <si>
    <t>ORD219</t>
  </si>
  <si>
    <t>sneha mehta</t>
  </si>
  <si>
    <t>12-02-2024</t>
  </si>
  <si>
    <t>20-02-2024</t>
  </si>
  <si>
    <t>8202874450</t>
  </si>
  <si>
    <t>ORD220</t>
  </si>
  <si>
    <t>19-06-2023</t>
  </si>
  <si>
    <t>27-06-2023</t>
  </si>
  <si>
    <t>ORD221</t>
  </si>
  <si>
    <t>04-03-2024</t>
  </si>
  <si>
    <t>8356471443</t>
  </si>
  <si>
    <t>ORD222</t>
  </si>
  <si>
    <t>rohit patel</t>
  </si>
  <si>
    <t>9680925625</t>
  </si>
  <si>
    <t>ORD223</t>
  </si>
  <si>
    <t>6114364289</t>
  </si>
  <si>
    <t>ORD224</t>
  </si>
  <si>
    <t>31-10-2023</t>
  </si>
  <si>
    <t>02-11-2023</t>
  </si>
  <si>
    <t>9151355483</t>
  </si>
  <si>
    <t>ORD225</t>
  </si>
  <si>
    <t>29-01-2024</t>
  </si>
  <si>
    <t>9935906587</t>
  </si>
  <si>
    <t>ORD226</t>
  </si>
  <si>
    <t>2023/05/05</t>
  </si>
  <si>
    <t>6985487265</t>
  </si>
  <si>
    <t>ORD227</t>
  </si>
  <si>
    <t>6910664871</t>
  </si>
  <si>
    <t>ORD228</t>
  </si>
  <si>
    <t>19-03-2023</t>
  </si>
  <si>
    <t>7768666518</t>
  </si>
  <si>
    <t>ORD229</t>
  </si>
  <si>
    <t>Vikas Patel</t>
  </si>
  <si>
    <t>12-10-2024</t>
  </si>
  <si>
    <t>15-10-2024</t>
  </si>
  <si>
    <t>vikaspatel@gmail.com</t>
  </si>
  <si>
    <t>6675511729</t>
  </si>
  <si>
    <t>ORD230</t>
  </si>
  <si>
    <t>7764223641</t>
  </si>
  <si>
    <t>ORD231</t>
  </si>
  <si>
    <t>2024/07/31</t>
  </si>
  <si>
    <t>03-08-2024</t>
  </si>
  <si>
    <t>7586209561</t>
  </si>
  <si>
    <t>ORD232</t>
  </si>
  <si>
    <t>priya patel</t>
  </si>
  <si>
    <t>18-01-2024</t>
  </si>
  <si>
    <t>8427392498</t>
  </si>
  <si>
    <t>ORD233</t>
  </si>
  <si>
    <t>01-08-2024</t>
  </si>
  <si>
    <t>11-08-2024</t>
  </si>
  <si>
    <t>6582932153</t>
  </si>
  <si>
    <t>ORD234</t>
  </si>
  <si>
    <t>07-12-2023</t>
  </si>
  <si>
    <t>16-12-2023</t>
  </si>
  <si>
    <t>8945876970</t>
  </si>
  <si>
    <t>ORD235</t>
  </si>
  <si>
    <t>10-04-2023</t>
  </si>
  <si>
    <t>8796595158</t>
  </si>
  <si>
    <t>ORD236</t>
  </si>
  <si>
    <t>priya agarwal</t>
  </si>
  <si>
    <t>01-02-2023</t>
  </si>
  <si>
    <t>7630429870</t>
  </si>
  <si>
    <t>ORD237</t>
  </si>
  <si>
    <t>17-01-2024</t>
  </si>
  <si>
    <t>22-01-2024</t>
  </si>
  <si>
    <t>8074269618</t>
  </si>
  <si>
    <t>ORD238</t>
  </si>
  <si>
    <t>Neha Kumar</t>
  </si>
  <si>
    <t>26-05-2024</t>
  </si>
  <si>
    <t>nehakumar@gmail.com</t>
  </si>
  <si>
    <t>8273812437</t>
  </si>
  <si>
    <t>ORD239</t>
  </si>
  <si>
    <t>07-03-2023</t>
  </si>
  <si>
    <t>ORD240</t>
  </si>
  <si>
    <t>06-10-2023</t>
  </si>
  <si>
    <t>ORD241</t>
  </si>
  <si>
    <t>2024/02/06</t>
  </si>
  <si>
    <t>07-02-2024</t>
  </si>
  <si>
    <t>9955732568</t>
  </si>
  <si>
    <t>ORD242</t>
  </si>
  <si>
    <t>ORD243</t>
  </si>
  <si>
    <t>2023/01/09</t>
  </si>
  <si>
    <t>7698185988</t>
  </si>
  <si>
    <t>ORD244</t>
  </si>
  <si>
    <t>20-05-2024</t>
  </si>
  <si>
    <t>8154894280</t>
  </si>
  <si>
    <t>ORD245</t>
  </si>
  <si>
    <t>14-02-2024</t>
  </si>
  <si>
    <t>6442910095</t>
  </si>
  <si>
    <t>ORD246</t>
  </si>
  <si>
    <t>pooja agarwal</t>
  </si>
  <si>
    <t>12-08-2023</t>
  </si>
  <si>
    <t>poojaagarwal@gmail.com</t>
  </si>
  <si>
    <t>6952032334</t>
  </si>
  <si>
    <t>ORD247</t>
  </si>
  <si>
    <t>7925799898</t>
  </si>
  <si>
    <t>ORD248</t>
  </si>
  <si>
    <t>16-07-2023</t>
  </si>
  <si>
    <t>9827528884</t>
  </si>
  <si>
    <t>ORD249</t>
  </si>
  <si>
    <t>rohit agarwal</t>
  </si>
  <si>
    <t>05-07-2024</t>
  </si>
  <si>
    <t>ORD250</t>
  </si>
  <si>
    <t>8968586153</t>
  </si>
  <si>
    <t>ORD251</t>
  </si>
  <si>
    <t>Anjali Yadav</t>
  </si>
  <si>
    <t>05-04-2023</t>
  </si>
  <si>
    <t>anjaliyadav@gmail.com</t>
  </si>
  <si>
    <t>6148141705</t>
  </si>
  <si>
    <t>ORD252</t>
  </si>
  <si>
    <t>2023/09/28</t>
  </si>
  <si>
    <t>7682717572</t>
  </si>
  <si>
    <t>ORD253</t>
  </si>
  <si>
    <t>20-07-2024</t>
  </si>
  <si>
    <t>27-07-2024</t>
  </si>
  <si>
    <t>7335283086</t>
  </si>
  <si>
    <t>ORD254</t>
  </si>
  <si>
    <t>7339958959</t>
  </si>
  <si>
    <t>ORD255</t>
  </si>
  <si>
    <t>7274682436</t>
  </si>
  <si>
    <t>ORD256</t>
  </si>
  <si>
    <t>04-07-2024</t>
  </si>
  <si>
    <t>09-07-2024</t>
  </si>
  <si>
    <t>9904380634</t>
  </si>
  <si>
    <t>ORD257</t>
  </si>
  <si>
    <t>neha singh</t>
  </si>
  <si>
    <t>25-04-2023</t>
  </si>
  <si>
    <t>8457714860</t>
  </si>
  <si>
    <t>ORD258</t>
  </si>
  <si>
    <t>07-11-2024</t>
  </si>
  <si>
    <t>11-11-2024</t>
  </si>
  <si>
    <t>9574420054</t>
  </si>
  <si>
    <t>ORD259</t>
  </si>
  <si>
    <t>08-09-2023</t>
  </si>
  <si>
    <t>rahulkumar@gmail.com</t>
  </si>
  <si>
    <t>6986377917</t>
  </si>
  <si>
    <t>ORD260</t>
  </si>
  <si>
    <t>27-08-2024</t>
  </si>
  <si>
    <t>29-08-2024</t>
  </si>
  <si>
    <t>7226993848</t>
  </si>
  <si>
    <t>ORD261</t>
  </si>
  <si>
    <t>9159732351</t>
  </si>
  <si>
    <t>ORD262</t>
  </si>
  <si>
    <t>25-07-2023</t>
  </si>
  <si>
    <t>9416418936</t>
  </si>
  <si>
    <t>ORD263</t>
  </si>
  <si>
    <t>18-03-2023</t>
  </si>
  <si>
    <t>ORD264</t>
  </si>
  <si>
    <t>9161319163</t>
  </si>
  <si>
    <t>ORD265</t>
  </si>
  <si>
    <t>03-05-2024</t>
  </si>
  <si>
    <t>6200997505</t>
  </si>
  <si>
    <t>ORD266</t>
  </si>
  <si>
    <t>05-09-2024</t>
  </si>
  <si>
    <t>14-09-2024</t>
  </si>
  <si>
    <t>9618223308</t>
  </si>
  <si>
    <t>ORD267</t>
  </si>
  <si>
    <t>9740820342</t>
  </si>
  <si>
    <t>ORD268</t>
  </si>
  <si>
    <t>7517058513</t>
  </si>
  <si>
    <t>ORD269</t>
  </si>
  <si>
    <t>9754892672</t>
  </si>
  <si>
    <t>ORD270</t>
  </si>
  <si>
    <t>03-09-2024</t>
  </si>
  <si>
    <t>8174240599</t>
  </si>
  <si>
    <t>ORD271</t>
  </si>
  <si>
    <t>19-11-2023</t>
  </si>
  <si>
    <t>ORD272</t>
  </si>
  <si>
    <t>vikas kumar</t>
  </si>
  <si>
    <t>24-03-2023</t>
  </si>
  <si>
    <t>7428033066</t>
  </si>
  <si>
    <t>ORD273</t>
  </si>
  <si>
    <t>7189415677</t>
  </si>
  <si>
    <t>ORD274</t>
  </si>
  <si>
    <t>28-07-2023</t>
  </si>
  <si>
    <t>7307285372</t>
  </si>
  <si>
    <t>ORD275</t>
  </si>
  <si>
    <t>18-01-2023</t>
  </si>
  <si>
    <t>8394395150</t>
  </si>
  <si>
    <t>ORD276</t>
  </si>
  <si>
    <t>20-01-2023</t>
  </si>
  <si>
    <t>22-01-2023</t>
  </si>
  <si>
    <t>6190902331</t>
  </si>
  <si>
    <t>ORD277</t>
  </si>
  <si>
    <t>13-06-2023</t>
  </si>
  <si>
    <t>15-06-2023</t>
  </si>
  <si>
    <t>9424657655</t>
  </si>
  <si>
    <t>ORD278</t>
  </si>
  <si>
    <t>22-08-2023</t>
  </si>
  <si>
    <t>24-08-2023</t>
  </si>
  <si>
    <t>6420750948</t>
  </si>
  <si>
    <t>ORD279</t>
  </si>
  <si>
    <t>20-08-2024</t>
  </si>
  <si>
    <t>9915991278</t>
  </si>
  <si>
    <t>ORD280</t>
  </si>
  <si>
    <t>14-11-2023</t>
  </si>
  <si>
    <t>6865709769</t>
  </si>
  <si>
    <t>ORD281</t>
  </si>
  <si>
    <t>27-04-2024</t>
  </si>
  <si>
    <t>30-04-2024</t>
  </si>
  <si>
    <t>9968916446</t>
  </si>
  <si>
    <t>ORD282</t>
  </si>
  <si>
    <t>6038224511</t>
  </si>
  <si>
    <t>ORD283</t>
  </si>
  <si>
    <t>17-07-2024</t>
  </si>
  <si>
    <t>7487248951</t>
  </si>
  <si>
    <t>ORD284</t>
  </si>
  <si>
    <t>ORD285</t>
  </si>
  <si>
    <t>29-07-2024</t>
  </si>
  <si>
    <t>07-08-2024</t>
  </si>
  <si>
    <t>8326372994</t>
  </si>
  <si>
    <t>ORD286</t>
  </si>
  <si>
    <t>18-02-2024</t>
  </si>
  <si>
    <t>7018173695</t>
  </si>
  <si>
    <t>ORD287</t>
  </si>
  <si>
    <t>9358254927</t>
  </si>
  <si>
    <t>ORD288</t>
  </si>
  <si>
    <t>16-01-2024</t>
  </si>
  <si>
    <t>rahulsharma@gmail.com</t>
  </si>
  <si>
    <t>8249888416</t>
  </si>
  <si>
    <t>ORD289</t>
  </si>
  <si>
    <t>7638600804</t>
  </si>
  <si>
    <t>ORD290</t>
  </si>
  <si>
    <t>7527230907</t>
  </si>
  <si>
    <t>ORD291</t>
  </si>
  <si>
    <t>6632626892</t>
  </si>
  <si>
    <t>ORD292</t>
  </si>
  <si>
    <t>11-09-2024</t>
  </si>
  <si>
    <t>20-09-2024</t>
  </si>
  <si>
    <t>6566536426</t>
  </si>
  <si>
    <t>ORD293</t>
  </si>
  <si>
    <t>2024/04/01</t>
  </si>
  <si>
    <t>7640160907</t>
  </si>
  <si>
    <t>ORD294</t>
  </si>
  <si>
    <t>25-09-2023</t>
  </si>
  <si>
    <t>8523839735</t>
  </si>
  <si>
    <t>ORD295</t>
  </si>
  <si>
    <t>16-05-2024</t>
  </si>
  <si>
    <t>7238511521</t>
  </si>
  <si>
    <t>ORD296</t>
  </si>
  <si>
    <t>2023/03/18</t>
  </si>
  <si>
    <t>8177407502</t>
  </si>
  <si>
    <t>ORD297</t>
  </si>
  <si>
    <t>13-07-2023</t>
  </si>
  <si>
    <t>6257306669</t>
  </si>
  <si>
    <t>ORD298</t>
  </si>
  <si>
    <t>26-08-2023</t>
  </si>
  <si>
    <t>01-09-2023</t>
  </si>
  <si>
    <t>8411438347</t>
  </si>
  <si>
    <t>ORD299</t>
  </si>
  <si>
    <t>2023/01/17</t>
  </si>
  <si>
    <t>25-01-2023</t>
  </si>
  <si>
    <t>9397541213</t>
  </si>
  <si>
    <t>ORD300</t>
  </si>
  <si>
    <t>04-06-2024</t>
  </si>
  <si>
    <t>8538370645</t>
  </si>
  <si>
    <t>ORD301</t>
  </si>
  <si>
    <t>11-09-2023</t>
  </si>
  <si>
    <t>18-09-2023</t>
  </si>
  <si>
    <t>9956508910</t>
  </si>
  <si>
    <t>ORD302</t>
  </si>
  <si>
    <t>17-02-2024</t>
  </si>
  <si>
    <t>6718622064</t>
  </si>
  <si>
    <t>ORD303</t>
  </si>
  <si>
    <t>8626951149</t>
  </si>
  <si>
    <t>ORD304</t>
  </si>
  <si>
    <t>6946519253</t>
  </si>
  <si>
    <t>ORD305</t>
  </si>
  <si>
    <t>08-08-2024</t>
  </si>
  <si>
    <t>8726531507</t>
  </si>
  <si>
    <t>ORD306</t>
  </si>
  <si>
    <t>09-09-2023</t>
  </si>
  <si>
    <t>6600296035</t>
  </si>
  <si>
    <t>ORD307</t>
  </si>
  <si>
    <t>12-09-2023</t>
  </si>
  <si>
    <t>21-09-2023</t>
  </si>
  <si>
    <t>9623289697</t>
  </si>
  <si>
    <t>ORD308</t>
  </si>
  <si>
    <t>16-08-2023</t>
  </si>
  <si>
    <t>23-08-2023</t>
  </si>
  <si>
    <t>ORD309</t>
  </si>
  <si>
    <t>07-02-2023</t>
  </si>
  <si>
    <t>6535857520</t>
  </si>
  <si>
    <t>ORD310</t>
  </si>
  <si>
    <t>ORD311</t>
  </si>
  <si>
    <t>8912449871</t>
  </si>
  <si>
    <t>ORD312</t>
  </si>
  <si>
    <t>6249446389</t>
  </si>
  <si>
    <t>ORD313</t>
  </si>
  <si>
    <t>06-05-2024</t>
  </si>
  <si>
    <t>7678581873</t>
  </si>
  <si>
    <t>ORD314</t>
  </si>
  <si>
    <t>ORD315</t>
  </si>
  <si>
    <t>2024/09/07</t>
  </si>
  <si>
    <t>15-09-2024</t>
  </si>
  <si>
    <t>ORD316</t>
  </si>
  <si>
    <t>Karan Gupta</t>
  </si>
  <si>
    <t>06-07-2024</t>
  </si>
  <si>
    <t>karangupta@gmail.com</t>
  </si>
  <si>
    <t>9920943601</t>
  </si>
  <si>
    <t>ORD317</t>
  </si>
  <si>
    <t>ORD318</t>
  </si>
  <si>
    <t>10-12-2023</t>
  </si>
  <si>
    <t>9077141839</t>
  </si>
  <si>
    <t>ORD319</t>
  </si>
  <si>
    <t>9665348568</t>
  </si>
  <si>
    <t>ORD320</t>
  </si>
  <si>
    <t>18-11-2024</t>
  </si>
  <si>
    <t>26-11-2024</t>
  </si>
  <si>
    <t>7262206890</t>
  </si>
  <si>
    <t>ORD321</t>
  </si>
  <si>
    <t>rahul kumar</t>
  </si>
  <si>
    <t>25-10-2023</t>
  </si>
  <si>
    <t>29-10-2023</t>
  </si>
  <si>
    <t>7238411095</t>
  </si>
  <si>
    <t>ORD322</t>
  </si>
  <si>
    <t>7565871701</t>
  </si>
  <si>
    <t>ORD323</t>
  </si>
  <si>
    <t>19-07-2023</t>
  </si>
  <si>
    <t>26-07-2023</t>
  </si>
  <si>
    <t>7342886734</t>
  </si>
  <si>
    <t>ORD324</t>
  </si>
  <si>
    <t>7781825474</t>
  </si>
  <si>
    <t>ORD325</t>
  </si>
  <si>
    <t>02-09-2024</t>
  </si>
  <si>
    <t>8277523510</t>
  </si>
  <si>
    <t>ORD326</t>
  </si>
  <si>
    <t>Sneha Joshi</t>
  </si>
  <si>
    <t>01-01-2024</t>
  </si>
  <si>
    <t>snehajoshi@gmail.com</t>
  </si>
  <si>
    <t>9395639643</t>
  </si>
  <si>
    <t>ORD327</t>
  </si>
  <si>
    <t>13-03-2024</t>
  </si>
  <si>
    <t>6614614269</t>
  </si>
  <si>
    <t>ORD328</t>
  </si>
  <si>
    <t>8628033992</t>
  </si>
  <si>
    <t>ORD329</t>
  </si>
  <si>
    <t>09-09-2024</t>
  </si>
  <si>
    <t>ORD330</t>
  </si>
  <si>
    <t>6239112556</t>
  </si>
  <si>
    <t>ORD331</t>
  </si>
  <si>
    <t>2023/05/27</t>
  </si>
  <si>
    <t>snehasingh@gmail.com</t>
  </si>
  <si>
    <t>6678722957</t>
  </si>
  <si>
    <t>ORD332</t>
  </si>
  <si>
    <t>16-05-2023</t>
  </si>
  <si>
    <t>6387034926</t>
  </si>
  <si>
    <t>ORD333</t>
  </si>
  <si>
    <t>priya verma</t>
  </si>
  <si>
    <t>07-11-2023</t>
  </si>
  <si>
    <t>08-11-2023</t>
  </si>
  <si>
    <t>ORD334</t>
  </si>
  <si>
    <t>28-03-2023</t>
  </si>
  <si>
    <t>6497446863</t>
  </si>
  <si>
    <t>ORD335</t>
  </si>
  <si>
    <t>09-06-2023</t>
  </si>
  <si>
    <t>16-06-2023</t>
  </si>
  <si>
    <t>7675891302</t>
  </si>
  <si>
    <t>ORD336</t>
  </si>
  <si>
    <t>09-02-2023</t>
  </si>
  <si>
    <t>8368956268</t>
  </si>
  <si>
    <t>ORD337</t>
  </si>
  <si>
    <t>21-02-2023</t>
  </si>
  <si>
    <t>02-03-2023</t>
  </si>
  <si>
    <t>9491980373</t>
  </si>
  <si>
    <t>ORD338</t>
  </si>
  <si>
    <t>28-04-2024</t>
  </si>
  <si>
    <t>8991453033</t>
  </si>
  <si>
    <t>ORD339</t>
  </si>
  <si>
    <t>6110243328</t>
  </si>
  <si>
    <t>ORD340</t>
  </si>
  <si>
    <t>6505133005</t>
  </si>
  <si>
    <t>ORD341</t>
  </si>
  <si>
    <t>22-09-2023</t>
  </si>
  <si>
    <t>7698746173</t>
  </si>
  <si>
    <t>ORD342</t>
  </si>
  <si>
    <t>ORD343</t>
  </si>
  <si>
    <t>2023/11/02</t>
  </si>
  <si>
    <t>8422580590</t>
  </si>
  <si>
    <t>ORD344</t>
  </si>
  <si>
    <t>6498451576</t>
  </si>
  <si>
    <t>ORD345</t>
  </si>
  <si>
    <t>ORD346</t>
  </si>
  <si>
    <t>Sneha Gupta</t>
  </si>
  <si>
    <t>snehagupta@gmail.com</t>
  </si>
  <si>
    <t>6724511777</t>
  </si>
  <si>
    <t>ORD347</t>
  </si>
  <si>
    <t>30-07-2024</t>
  </si>
  <si>
    <t>7370322583</t>
  </si>
  <si>
    <t>ORD348</t>
  </si>
  <si>
    <t>23-05-2024</t>
  </si>
  <si>
    <t>6084393397</t>
  </si>
  <si>
    <t>ORD349</t>
  </si>
  <si>
    <t>06-08-2024</t>
  </si>
  <si>
    <t>8790214177</t>
  </si>
  <si>
    <t>ORD350</t>
  </si>
  <si>
    <t>neha kumar</t>
  </si>
  <si>
    <t>16-11-2024</t>
  </si>
  <si>
    <t>8896444626</t>
  </si>
  <si>
    <t>ORD351</t>
  </si>
  <si>
    <t>6810782910</t>
  </si>
  <si>
    <t>ORD352</t>
  </si>
  <si>
    <t>9919367584</t>
  </si>
  <si>
    <t>ORD353</t>
  </si>
  <si>
    <t>18-08-2023</t>
  </si>
  <si>
    <t>6385996328</t>
  </si>
  <si>
    <t>ORD354</t>
  </si>
  <si>
    <t>ORD355</t>
  </si>
  <si>
    <t>08-10-2023</t>
  </si>
  <si>
    <t>9618326892</t>
  </si>
  <si>
    <t>ORD356</t>
  </si>
  <si>
    <t>ORD357</t>
  </si>
  <si>
    <t>rahul mehta</t>
  </si>
  <si>
    <t>2024/03/24</t>
  </si>
  <si>
    <t>rahulmehta@gmail.com</t>
  </si>
  <si>
    <t>ORD358</t>
  </si>
  <si>
    <t>29-04-2023</t>
  </si>
  <si>
    <t>09-05-2023</t>
  </si>
  <si>
    <t>6247040302</t>
  </si>
  <si>
    <t>ORD359</t>
  </si>
  <si>
    <t>17-03-2024</t>
  </si>
  <si>
    <t>26-03-2024</t>
  </si>
  <si>
    <t>8531749716</t>
  </si>
  <si>
    <t>ORD360</t>
  </si>
  <si>
    <t>10-10-2024</t>
  </si>
  <si>
    <t>6737131597</t>
  </si>
  <si>
    <t>ORD361</t>
  </si>
  <si>
    <t>01-11-2024</t>
  </si>
  <si>
    <t>9152289423</t>
  </si>
  <si>
    <t>ORD362</t>
  </si>
  <si>
    <t>Vikas Joshi</t>
  </si>
  <si>
    <t>vikasjoshi@gmail.com</t>
  </si>
  <si>
    <t>9771285103</t>
  </si>
  <si>
    <t>ORD363</t>
  </si>
  <si>
    <t>28-04-2023</t>
  </si>
  <si>
    <t>9146107424</t>
  </si>
  <si>
    <t>ORD364</t>
  </si>
  <si>
    <t>2023/02/04</t>
  </si>
  <si>
    <t>06-02-2023</t>
  </si>
  <si>
    <t>7071347018</t>
  </si>
  <si>
    <t>ORD365</t>
  </si>
  <si>
    <t>9176297161</t>
  </si>
  <si>
    <t>ORD366</t>
  </si>
  <si>
    <t>6316583152</t>
  </si>
  <si>
    <t>ORD367</t>
  </si>
  <si>
    <t>6880838841</t>
  </si>
  <si>
    <t>ORD368</t>
  </si>
  <si>
    <t>06-09-2023</t>
  </si>
  <si>
    <t>6405904680</t>
  </si>
  <si>
    <t>ORD369</t>
  </si>
  <si>
    <t>03-04-2024</t>
  </si>
  <si>
    <t>6601485457</t>
  </si>
  <si>
    <t>ORD370</t>
  </si>
  <si>
    <t>2023/07/19</t>
  </si>
  <si>
    <t>6748313601</t>
  </si>
  <si>
    <t>ORD371</t>
  </si>
  <si>
    <t>13-07-2024</t>
  </si>
  <si>
    <t>7038722213</t>
  </si>
  <si>
    <t>ORD372</t>
  </si>
  <si>
    <t>6771081710</t>
  </si>
  <si>
    <t>ORD373</t>
  </si>
  <si>
    <t>07-01-2024</t>
  </si>
  <si>
    <t>8685591374</t>
  </si>
  <si>
    <t>ORD374</t>
  </si>
  <si>
    <t>25-08-2023</t>
  </si>
  <si>
    <t>6873471564</t>
  </si>
  <si>
    <t>ORD375</t>
  </si>
  <si>
    <t>04-11-2023</t>
  </si>
  <si>
    <t>8795337604</t>
  </si>
  <si>
    <t>ORD376</t>
  </si>
  <si>
    <t>04-09-2023</t>
  </si>
  <si>
    <t>9862697280</t>
  </si>
  <si>
    <t>ORD377</t>
  </si>
  <si>
    <t>26-01-2023</t>
  </si>
  <si>
    <t>ORD378</t>
  </si>
  <si>
    <t>12-01-2024</t>
  </si>
  <si>
    <t>19-01-2024</t>
  </si>
  <si>
    <t>9914790393</t>
  </si>
  <si>
    <t>ORD379</t>
  </si>
  <si>
    <t>9221025955</t>
  </si>
  <si>
    <t>ORD380</t>
  </si>
  <si>
    <t>6080775881</t>
  </si>
  <si>
    <t>ORD381</t>
  </si>
  <si>
    <t>2023/08/16</t>
  </si>
  <si>
    <t>21-08-2023</t>
  </si>
  <si>
    <t>6129917642</t>
  </si>
  <si>
    <t>ORD382</t>
  </si>
  <si>
    <t>18-03-2024</t>
  </si>
  <si>
    <t>7221213967</t>
  </si>
  <si>
    <t>ORD383</t>
  </si>
  <si>
    <t>amit singh</t>
  </si>
  <si>
    <t>05-05-2024</t>
  </si>
  <si>
    <t>6108487786</t>
  </si>
  <si>
    <t>ORD384</t>
  </si>
  <si>
    <t>18-04-2024</t>
  </si>
  <si>
    <t>7530609754</t>
  </si>
  <si>
    <t>ORD385</t>
  </si>
  <si>
    <t>rohit gupta</t>
  </si>
  <si>
    <t>2024/01/03</t>
  </si>
  <si>
    <t>6514409993</t>
  </si>
  <si>
    <t>ORD386</t>
  </si>
  <si>
    <t>2023/10/27</t>
  </si>
  <si>
    <t>9061392539</t>
  </si>
  <si>
    <t>ORD387</t>
  </si>
  <si>
    <t>6195407139</t>
  </si>
  <si>
    <t>ORD388</t>
  </si>
  <si>
    <t>28-03-2024</t>
  </si>
  <si>
    <t>9871888536</t>
  </si>
  <si>
    <t>ORD389</t>
  </si>
  <si>
    <t>2023/09/01</t>
  </si>
  <si>
    <t>10-09-2023</t>
  </si>
  <si>
    <t>8255520442</t>
  </si>
  <si>
    <t>ORD390</t>
  </si>
  <si>
    <t>27-02-2024</t>
  </si>
  <si>
    <t>9734168815</t>
  </si>
  <si>
    <t>ORD391</t>
  </si>
  <si>
    <t>26-11-2023</t>
  </si>
  <si>
    <t>ORD392</t>
  </si>
  <si>
    <t>9998790590</t>
  </si>
  <si>
    <t>ORD393</t>
  </si>
  <si>
    <t>9325281262</t>
  </si>
  <si>
    <t>ORD394</t>
  </si>
  <si>
    <t>26-08-2024</t>
  </si>
  <si>
    <t>01-09-2024</t>
  </si>
  <si>
    <t>9391641500</t>
  </si>
  <si>
    <t>ORD395</t>
  </si>
  <si>
    <t>pooja mehta</t>
  </si>
  <si>
    <t>2024/11/04</t>
  </si>
  <si>
    <t>08-11-2024</t>
  </si>
  <si>
    <t>7107125275</t>
  </si>
  <si>
    <t>ORD396</t>
  </si>
  <si>
    <t>13-03-2023</t>
  </si>
  <si>
    <t>14-03-2023</t>
  </si>
  <si>
    <t>7132788824</t>
  </si>
  <si>
    <t>ORD397</t>
  </si>
  <si>
    <t>04-03-2023</t>
  </si>
  <si>
    <t>06-03-2023</t>
  </si>
  <si>
    <t>6840969499</t>
  </si>
  <si>
    <t>ORD398</t>
  </si>
  <si>
    <t>2024/09/17</t>
  </si>
  <si>
    <t>7685306576</t>
  </si>
  <si>
    <t>ORD399</t>
  </si>
  <si>
    <t>8683719354</t>
  </si>
  <si>
    <t>ORD400</t>
  </si>
  <si>
    <t>03-05-2023</t>
  </si>
  <si>
    <t>7328498035</t>
  </si>
  <si>
    <t>ORD401</t>
  </si>
  <si>
    <t>21-06-2023</t>
  </si>
  <si>
    <t>6263327757</t>
  </si>
  <si>
    <t>ORD402</t>
  </si>
  <si>
    <t>05-11-2023</t>
  </si>
  <si>
    <t>8003001854</t>
  </si>
  <si>
    <t>ORD403</t>
  </si>
  <si>
    <t>6649432029</t>
  </si>
  <si>
    <t>ORD404</t>
  </si>
  <si>
    <t>08-04-2024</t>
  </si>
  <si>
    <t>ORD405</t>
  </si>
  <si>
    <t>2024/04/02</t>
  </si>
  <si>
    <t>09-04-2024</t>
  </si>
  <si>
    <t>7480802286</t>
  </si>
  <si>
    <t>ORD406</t>
  </si>
  <si>
    <t>8512625737</t>
  </si>
  <si>
    <t>ORD407</t>
  </si>
  <si>
    <t>07-10-2024</t>
  </si>
  <si>
    <t>7143440118</t>
  </si>
  <si>
    <t>ORD408</t>
  </si>
  <si>
    <t>7666605720</t>
  </si>
  <si>
    <t>ORD409</t>
  </si>
  <si>
    <t>anjali verma</t>
  </si>
  <si>
    <t>16-09-2024</t>
  </si>
  <si>
    <t>22-09-2024</t>
  </si>
  <si>
    <t>ORD410</t>
  </si>
  <si>
    <t>28-08-2024</t>
  </si>
  <si>
    <t>9436282411</t>
  </si>
  <si>
    <t>ORD411</t>
  </si>
  <si>
    <t>19-09-2024</t>
  </si>
  <si>
    <t>8946064619</t>
  </si>
  <si>
    <t>ORD412</t>
  </si>
  <si>
    <t>6390296959</t>
  </si>
  <si>
    <t>ORD413</t>
  </si>
  <si>
    <t>6252619930</t>
  </si>
  <si>
    <t>ORD414</t>
  </si>
  <si>
    <t>29-06-2023</t>
  </si>
  <si>
    <t>6065041507</t>
  </si>
  <si>
    <t>ORD415</t>
  </si>
  <si>
    <t>9477153213</t>
  </si>
  <si>
    <t>ORD416</t>
  </si>
  <si>
    <t>19-05-2024</t>
  </si>
  <si>
    <t>7315091287</t>
  </si>
  <si>
    <t>ORD417</t>
  </si>
  <si>
    <t>8368740156</t>
  </si>
  <si>
    <t>ORD418</t>
  </si>
  <si>
    <t>6935264438</t>
  </si>
  <si>
    <t>ORD419</t>
  </si>
  <si>
    <t>23-11-2023</t>
  </si>
  <si>
    <t>ORD420</t>
  </si>
  <si>
    <t>priya kumar</t>
  </si>
  <si>
    <t>7288124304</t>
  </si>
  <si>
    <t>ORD421</t>
  </si>
  <si>
    <t>2023/01/07</t>
  </si>
  <si>
    <t>17-01-2023</t>
  </si>
  <si>
    <t>7135655859</t>
  </si>
  <si>
    <t>ORD422</t>
  </si>
  <si>
    <t>anjali gupta</t>
  </si>
  <si>
    <t>6566595191</t>
  </si>
  <si>
    <t>ORD423</t>
  </si>
  <si>
    <t>7595232611</t>
  </si>
  <si>
    <t>ORD424</t>
  </si>
  <si>
    <t>15-04-2024</t>
  </si>
  <si>
    <t>23-04-2024</t>
  </si>
  <si>
    <t>8441983464</t>
  </si>
  <si>
    <t>ORD425</t>
  </si>
  <si>
    <t>6773334297</t>
  </si>
  <si>
    <t>ORD426</t>
  </si>
  <si>
    <t>13-05-2024</t>
  </si>
  <si>
    <t>7190323158</t>
  </si>
  <si>
    <t>ORD427</t>
  </si>
  <si>
    <t>9220155666</t>
  </si>
  <si>
    <t>ORD428</t>
  </si>
  <si>
    <t>rahul patel</t>
  </si>
  <si>
    <t>7324540653</t>
  </si>
  <si>
    <t>ORD429</t>
  </si>
  <si>
    <t>24-12-2023</t>
  </si>
  <si>
    <t>6703763290</t>
  </si>
  <si>
    <t>ORD430</t>
  </si>
  <si>
    <t>12-04-2023</t>
  </si>
  <si>
    <t>8727473994</t>
  </si>
  <si>
    <t>ORD431</t>
  </si>
  <si>
    <t>9136397050</t>
  </si>
  <si>
    <t>ORD432</t>
  </si>
  <si>
    <t>15-01-2024</t>
  </si>
  <si>
    <t>7600484068</t>
  </si>
  <si>
    <t>ORD433</t>
  </si>
  <si>
    <t>31-01-2023</t>
  </si>
  <si>
    <t>9298576152</t>
  </si>
  <si>
    <t>ORD434</t>
  </si>
  <si>
    <t>27-01-2023</t>
  </si>
  <si>
    <t>6556382119</t>
  </si>
  <si>
    <t>ORD435</t>
  </si>
  <si>
    <t>6839073392</t>
  </si>
  <si>
    <t>ORD436</t>
  </si>
  <si>
    <t>7824754387</t>
  </si>
  <si>
    <t>ORD437</t>
  </si>
  <si>
    <t>25-08-2024</t>
  </si>
  <si>
    <t>6662067809</t>
  </si>
  <si>
    <t>ORD438</t>
  </si>
  <si>
    <t>30-08-2024</t>
  </si>
  <si>
    <t>9705993123</t>
  </si>
  <si>
    <t>ORD439</t>
  </si>
  <si>
    <t>7009215178</t>
  </si>
  <si>
    <t>ORD440</t>
  </si>
  <si>
    <t>7688454041</t>
  </si>
  <si>
    <t>ORD441</t>
  </si>
  <si>
    <t>13-11-2024</t>
  </si>
  <si>
    <t>7319552904</t>
  </si>
  <si>
    <t>ORD442</t>
  </si>
  <si>
    <t>9560028712</t>
  </si>
  <si>
    <t>ORD443</t>
  </si>
  <si>
    <t>2024/09/12</t>
  </si>
  <si>
    <t>7796758690</t>
  </si>
  <si>
    <t>ORD444</t>
  </si>
  <si>
    <t>29-11-2023</t>
  </si>
  <si>
    <t>7716348834</t>
  </si>
  <si>
    <t>ORD445</t>
  </si>
  <si>
    <t>7066678731</t>
  </si>
  <si>
    <t>ORD446</t>
  </si>
  <si>
    <t>6691839578</t>
  </si>
  <si>
    <t>ORD447</t>
  </si>
  <si>
    <t>vikas mehta</t>
  </si>
  <si>
    <t>6522442947</t>
  </si>
  <si>
    <t>ORD448</t>
  </si>
  <si>
    <t>8704132316</t>
  </si>
  <si>
    <t>ORD449</t>
  </si>
  <si>
    <t>Vikas Singh</t>
  </si>
  <si>
    <t>vikassingh@gmail.com</t>
  </si>
  <si>
    <t>8810639016</t>
  </si>
  <si>
    <t>ORD450</t>
  </si>
  <si>
    <t>Karan Verma</t>
  </si>
  <si>
    <t>2024/11/22</t>
  </si>
  <si>
    <t>9118036249</t>
  </si>
  <si>
    <t>ORD451</t>
  </si>
  <si>
    <t>20-07-2023</t>
  </si>
  <si>
    <t>24-07-2023</t>
  </si>
  <si>
    <t>8282971977</t>
  </si>
  <si>
    <t>ORD452</t>
  </si>
  <si>
    <t>8610613512</t>
  </si>
  <si>
    <t>ORD453</t>
  </si>
  <si>
    <t>6233064587</t>
  </si>
  <si>
    <t>ORD454</t>
  </si>
  <si>
    <t>8680290874</t>
  </si>
  <si>
    <t>ORD455</t>
  </si>
  <si>
    <t>8975565494</t>
  </si>
  <si>
    <t>ORD456</t>
  </si>
  <si>
    <t>03-01-2024</t>
  </si>
  <si>
    <t>9181317056</t>
  </si>
  <si>
    <t>ORD457</t>
  </si>
  <si>
    <t>9577473592</t>
  </si>
  <si>
    <t>ORD458</t>
  </si>
  <si>
    <t>18-06-2023</t>
  </si>
  <si>
    <t>9428267239</t>
  </si>
  <si>
    <t>ORD459</t>
  </si>
  <si>
    <t>02-11-2024</t>
  </si>
  <si>
    <t>6488411383</t>
  </si>
  <si>
    <t>ORD460</t>
  </si>
  <si>
    <t>9560695004</t>
  </si>
  <si>
    <t>ORD461</t>
  </si>
  <si>
    <t>08-07-2023</t>
  </si>
  <si>
    <t>8081362819</t>
  </si>
  <si>
    <t>ORD462</t>
  </si>
  <si>
    <t>07-06-2024</t>
  </si>
  <si>
    <t>14-06-2024</t>
  </si>
  <si>
    <t>9916948981</t>
  </si>
  <si>
    <t>ORD463</t>
  </si>
  <si>
    <t>ORD464</t>
  </si>
  <si>
    <t>7616708382</t>
  </si>
  <si>
    <t>ORD465</t>
  </si>
  <si>
    <t>7208243620</t>
  </si>
  <si>
    <t>ORD466</t>
  </si>
  <si>
    <t>04-04-2024</t>
  </si>
  <si>
    <t>6468813588</t>
  </si>
  <si>
    <t>ORD467</t>
  </si>
  <si>
    <t>25-02-2023</t>
  </si>
  <si>
    <t>26-02-2023</t>
  </si>
  <si>
    <t>8097742295</t>
  </si>
  <si>
    <t>ORD468</t>
  </si>
  <si>
    <t>6821841098</t>
  </si>
  <si>
    <t>ORD469</t>
  </si>
  <si>
    <t>2023/12/23</t>
  </si>
  <si>
    <t>30-12-2023</t>
  </si>
  <si>
    <t>9303230881</t>
  </si>
  <si>
    <t>ORD470</t>
  </si>
  <si>
    <t>2024/04/06</t>
  </si>
  <si>
    <t>10-04-2024</t>
  </si>
  <si>
    <t>8362323895</t>
  </si>
  <si>
    <t>ORD471</t>
  </si>
  <si>
    <t>8480137033</t>
  </si>
  <si>
    <t>ORD472</t>
  </si>
  <si>
    <t>23-07-2023</t>
  </si>
  <si>
    <t>7777966575</t>
  </si>
  <si>
    <t>ORD473</t>
  </si>
  <si>
    <t>7874625762</t>
  </si>
  <si>
    <t>ORD474</t>
  </si>
  <si>
    <t>2023/01/24</t>
  </si>
  <si>
    <t>02-02-2023</t>
  </si>
  <si>
    <t>8905697174</t>
  </si>
  <si>
    <t>ORD475</t>
  </si>
  <si>
    <t>28-11-2023</t>
  </si>
  <si>
    <t>30-11-2023</t>
  </si>
  <si>
    <t>6917640171</t>
  </si>
  <si>
    <t>ORD476</t>
  </si>
  <si>
    <t>2024/05/27</t>
  </si>
  <si>
    <t>9857495427</t>
  </si>
  <si>
    <t>ORD477</t>
  </si>
  <si>
    <t>7826605321</t>
  </si>
  <si>
    <t>ORD478</t>
  </si>
  <si>
    <t>14-04-2024</t>
  </si>
  <si>
    <t>7619823572</t>
  </si>
  <si>
    <t>ORD479</t>
  </si>
  <si>
    <t>8361317878</t>
  </si>
  <si>
    <t>ORD480</t>
  </si>
  <si>
    <t>07-09-2024</t>
  </si>
  <si>
    <t>ORD481</t>
  </si>
  <si>
    <t>2024/08/24</t>
  </si>
  <si>
    <t>8204498277</t>
  </si>
  <si>
    <t>ORD482</t>
  </si>
  <si>
    <t>ORD483</t>
  </si>
  <si>
    <t>vikas singh</t>
  </si>
  <si>
    <t>6895350321</t>
  </si>
  <si>
    <t>ORD484</t>
  </si>
  <si>
    <t>21-01-2024</t>
  </si>
  <si>
    <t>ORD485</t>
  </si>
  <si>
    <t>9495298740</t>
  </si>
  <si>
    <t>ORD486</t>
  </si>
  <si>
    <t>02-12-2024</t>
  </si>
  <si>
    <t>6471484050</t>
  </si>
  <si>
    <t>ORD487</t>
  </si>
  <si>
    <t>sneha verma</t>
  </si>
  <si>
    <t>14-08-2024</t>
  </si>
  <si>
    <t>23-08-2024</t>
  </si>
  <si>
    <t>snehaverma@gmail.com</t>
  </si>
  <si>
    <t>9885726031</t>
  </si>
  <si>
    <t>ORD488</t>
  </si>
  <si>
    <t>2023/08/20</t>
  </si>
  <si>
    <t>ORD489</t>
  </si>
  <si>
    <t>7922245740</t>
  </si>
  <si>
    <t>ORD490</t>
  </si>
  <si>
    <t>20-04-2023</t>
  </si>
  <si>
    <t>9209060616</t>
  </si>
  <si>
    <t>ORD491</t>
  </si>
  <si>
    <t>6909649166</t>
  </si>
  <si>
    <t>ORD492</t>
  </si>
  <si>
    <t>14-01-2024</t>
  </si>
  <si>
    <t>6031133762</t>
  </si>
  <si>
    <t>ORD493</t>
  </si>
  <si>
    <t>9854825628</t>
  </si>
  <si>
    <t>ORD494</t>
  </si>
  <si>
    <t>8926061464</t>
  </si>
  <si>
    <t>ORD495</t>
  </si>
  <si>
    <t>6126798864</t>
  </si>
  <si>
    <t>ORD496</t>
  </si>
  <si>
    <t>11-03-2023</t>
  </si>
  <si>
    <t>8928244214</t>
  </si>
  <si>
    <t>ORD497</t>
  </si>
  <si>
    <t>24-04-2024</t>
  </si>
  <si>
    <t>04-05-2024</t>
  </si>
  <si>
    <t>6609782652</t>
  </si>
  <si>
    <t>ORD498</t>
  </si>
  <si>
    <t>06-09-2024</t>
  </si>
  <si>
    <t>7583398065</t>
  </si>
  <si>
    <t>ORD499</t>
  </si>
  <si>
    <t>ORD500</t>
  </si>
  <si>
    <t>9763703378</t>
  </si>
  <si>
    <t>ORD501</t>
  </si>
  <si>
    <t>7836270801</t>
  </si>
  <si>
    <t>ORD502</t>
  </si>
  <si>
    <t>ORD503</t>
  </si>
  <si>
    <t>03-10-2023</t>
  </si>
  <si>
    <t>9440517656</t>
  </si>
  <si>
    <t>ORD504</t>
  </si>
  <si>
    <t>29-09-2024</t>
  </si>
  <si>
    <t>8438722579</t>
  </si>
  <si>
    <t>ORD505</t>
  </si>
  <si>
    <t>6026408533</t>
  </si>
  <si>
    <t>ORD506</t>
  </si>
  <si>
    <t>anjali singh</t>
  </si>
  <si>
    <t>03-07-2023</t>
  </si>
  <si>
    <t>9444634497</t>
  </si>
  <si>
    <t>ORD507</t>
  </si>
  <si>
    <t>11-02-2024</t>
  </si>
  <si>
    <t>9479846144</t>
  </si>
  <si>
    <t>ORD508</t>
  </si>
  <si>
    <t>9134609600</t>
  </si>
  <si>
    <t>ORD509</t>
  </si>
  <si>
    <t>7904809757</t>
  </si>
  <si>
    <t>ORD510</t>
  </si>
  <si>
    <t>vikas gupta</t>
  </si>
  <si>
    <t>09-02-2024</t>
  </si>
  <si>
    <t>7321217907</t>
  </si>
  <si>
    <t>ORD511</t>
  </si>
  <si>
    <t>6894762692</t>
  </si>
  <si>
    <t>ORD512</t>
  </si>
  <si>
    <t>24-10-2023</t>
  </si>
  <si>
    <t>9698876440</t>
  </si>
  <si>
    <t>ORD513</t>
  </si>
  <si>
    <t>ORD514</t>
  </si>
  <si>
    <t>05-08-2024</t>
  </si>
  <si>
    <t>9519271833</t>
  </si>
  <si>
    <t>ORD515</t>
  </si>
  <si>
    <t>sneha kumar</t>
  </si>
  <si>
    <t>04-01-2023</t>
  </si>
  <si>
    <t>9155359132</t>
  </si>
  <si>
    <t>ORD516</t>
  </si>
  <si>
    <t>8314160074</t>
  </si>
  <si>
    <t>ORD517</t>
  </si>
  <si>
    <t>11-07-2023</t>
  </si>
  <si>
    <t>7330578052</t>
  </si>
  <si>
    <t>ORD518</t>
  </si>
  <si>
    <t>9072073134</t>
  </si>
  <si>
    <t>ORD519</t>
  </si>
  <si>
    <t>8725502263</t>
  </si>
  <si>
    <t>ORD520</t>
  </si>
  <si>
    <t>7800860899</t>
  </si>
  <si>
    <t>ORD521</t>
  </si>
  <si>
    <t>Rahul Mehta</t>
  </si>
  <si>
    <t>28-06-2024</t>
  </si>
  <si>
    <t>08-07-2024</t>
  </si>
  <si>
    <t>7732463970</t>
  </si>
  <si>
    <t>ORD522</t>
  </si>
  <si>
    <t>6435145797</t>
  </si>
  <si>
    <t>ORD523</t>
  </si>
  <si>
    <t>6089208694</t>
  </si>
  <si>
    <t>ORD524</t>
  </si>
  <si>
    <t>8324537987</t>
  </si>
  <si>
    <t>ORD525</t>
  </si>
  <si>
    <t>8964440493</t>
  </si>
  <si>
    <t>ORD526</t>
  </si>
  <si>
    <t>neha verma</t>
  </si>
  <si>
    <t>2024/01/20</t>
  </si>
  <si>
    <t>8772881458</t>
  </si>
  <si>
    <t>ORD527</t>
  </si>
  <si>
    <t>8955952854</t>
  </si>
  <si>
    <t>ORD528</t>
  </si>
  <si>
    <t>9079727028</t>
  </si>
  <si>
    <t>ORD529</t>
  </si>
  <si>
    <t>9870430118</t>
  </si>
  <si>
    <t>ORD530</t>
  </si>
  <si>
    <t>16-06-2024</t>
  </si>
  <si>
    <t>ORD531</t>
  </si>
  <si>
    <t>07-03-2024</t>
  </si>
  <si>
    <t>10-03-2024</t>
  </si>
  <si>
    <t>8949615525</t>
  </si>
  <si>
    <t>ORD532</t>
  </si>
  <si>
    <t>9632036226</t>
  </si>
  <si>
    <t>ORD533</t>
  </si>
  <si>
    <t>7806675208</t>
  </si>
  <si>
    <t>ORD534</t>
  </si>
  <si>
    <t>24-11-2023</t>
  </si>
  <si>
    <t>25-11-2023</t>
  </si>
  <si>
    <t>7216032285</t>
  </si>
  <si>
    <t>ORD535</t>
  </si>
  <si>
    <t>2023/10/01</t>
  </si>
  <si>
    <t>8680239178</t>
  </si>
  <si>
    <t>ORD536</t>
  </si>
  <si>
    <t>05-04-2024</t>
  </si>
  <si>
    <t>6936840599</t>
  </si>
  <si>
    <t>ORD537</t>
  </si>
  <si>
    <t>08-12-2023</t>
  </si>
  <si>
    <t>7200049648</t>
  </si>
  <si>
    <t>ORD538</t>
  </si>
  <si>
    <t>8312217320</t>
  </si>
  <si>
    <t>ORD539</t>
  </si>
  <si>
    <t>2024/01/13</t>
  </si>
  <si>
    <t>6914473048</t>
  </si>
  <si>
    <t>ORD540</t>
  </si>
  <si>
    <t>8092662305</t>
  </si>
  <si>
    <t>ORD541</t>
  </si>
  <si>
    <t>09-03-2023</t>
  </si>
  <si>
    <t>9384623595</t>
  </si>
  <si>
    <t>ORD542</t>
  </si>
  <si>
    <t>27-10-2023</t>
  </si>
  <si>
    <t>7990498840</t>
  </si>
  <si>
    <t>ORD543</t>
  </si>
  <si>
    <t>8323377436</t>
  </si>
  <si>
    <t>ORD544</t>
  </si>
  <si>
    <t>22-10-2024</t>
  </si>
  <si>
    <t>8971604283</t>
  </si>
  <si>
    <t>ORD545</t>
  </si>
  <si>
    <t>7364423865</t>
  </si>
  <si>
    <t>ORD546</t>
  </si>
  <si>
    <t>16-07-2024</t>
  </si>
  <si>
    <t>25-07-2024</t>
  </si>
  <si>
    <t>6310937316</t>
  </si>
  <si>
    <t>ORD547</t>
  </si>
  <si>
    <t>7027753025</t>
  </si>
  <si>
    <t>ORD548</t>
  </si>
  <si>
    <t>ORD549</t>
  </si>
  <si>
    <t>6437249181</t>
  </si>
  <si>
    <t>ORD550</t>
  </si>
  <si>
    <t>24-02-2023</t>
  </si>
  <si>
    <t>9443387613</t>
  </si>
  <si>
    <t>ORD551</t>
  </si>
  <si>
    <t>7022095046</t>
  </si>
  <si>
    <t>ORD552</t>
  </si>
  <si>
    <t>9786576398</t>
  </si>
  <si>
    <t>ORD553</t>
  </si>
  <si>
    <t>9648040286</t>
  </si>
  <si>
    <t>ORD554</t>
  </si>
  <si>
    <t>31-12-2023</t>
  </si>
  <si>
    <t>08-01-2024</t>
  </si>
  <si>
    <t>ORD555</t>
  </si>
  <si>
    <t>24-01-2023</t>
  </si>
  <si>
    <t>9301508780</t>
  </si>
  <si>
    <t>ORD556</t>
  </si>
  <si>
    <t>07-09-2023</t>
  </si>
  <si>
    <t>13-09-2023</t>
  </si>
  <si>
    <t>7987887134</t>
  </si>
  <si>
    <t>ORD557</t>
  </si>
  <si>
    <t>6081171084</t>
  </si>
  <si>
    <t>ORD558</t>
  </si>
  <si>
    <t>6467414130</t>
  </si>
  <si>
    <t>ORD559</t>
  </si>
  <si>
    <t>6580499893</t>
  </si>
  <si>
    <t>ORD560</t>
  </si>
  <si>
    <t>22-06-2024</t>
  </si>
  <si>
    <t>8088798145</t>
  </si>
  <si>
    <t>ORD561</t>
  </si>
  <si>
    <t>sneha agarwal</t>
  </si>
  <si>
    <t>6757934316</t>
  </si>
  <si>
    <t>ORD562</t>
  </si>
  <si>
    <t>8281256524</t>
  </si>
  <si>
    <t>ORD563</t>
  </si>
  <si>
    <t>13-09-2024</t>
  </si>
  <si>
    <t>7299609606</t>
  </si>
  <si>
    <t>ORD564</t>
  </si>
  <si>
    <t>9142793380</t>
  </si>
  <si>
    <t>ORD565</t>
  </si>
  <si>
    <t>11-11-2023</t>
  </si>
  <si>
    <t>7291044675</t>
  </si>
  <si>
    <t>ORD566</t>
  </si>
  <si>
    <t>6542252315</t>
  </si>
  <si>
    <t>ORD567</t>
  </si>
  <si>
    <t>2024/11/02</t>
  </si>
  <si>
    <t>9164770606</t>
  </si>
  <si>
    <t>ORD568</t>
  </si>
  <si>
    <t>24-05-2023</t>
  </si>
  <si>
    <t>8765283348</t>
  </si>
  <si>
    <t>ORD569</t>
  </si>
  <si>
    <t>17-05-2024</t>
  </si>
  <si>
    <t>7356717554</t>
  </si>
  <si>
    <t>ORD570</t>
  </si>
  <si>
    <t>06-08-2023</t>
  </si>
  <si>
    <t>9782269546</t>
  </si>
  <si>
    <t>ORD571</t>
  </si>
  <si>
    <t>8750793450</t>
  </si>
  <si>
    <t>ORD572</t>
  </si>
  <si>
    <t>22-04-2023</t>
  </si>
  <si>
    <t>9998357640</t>
  </si>
  <si>
    <t>ORD573</t>
  </si>
  <si>
    <t>ORD574</t>
  </si>
  <si>
    <t>01-05-2023</t>
  </si>
  <si>
    <t>05-05-2023</t>
  </si>
  <si>
    <t>8618426710</t>
  </si>
  <si>
    <t>ORD575</t>
  </si>
  <si>
    <t>Sneha Verma</t>
  </si>
  <si>
    <t>7417487401</t>
  </si>
  <si>
    <t>ORD576</t>
  </si>
  <si>
    <t>6314165451</t>
  </si>
  <si>
    <t>ORD577</t>
  </si>
  <si>
    <t>8913265166</t>
  </si>
  <si>
    <t>ORD578</t>
  </si>
  <si>
    <t>11-06-2024</t>
  </si>
  <si>
    <t>17-06-2024</t>
  </si>
  <si>
    <t>7616024315</t>
  </si>
  <si>
    <t>ORD579</t>
  </si>
  <si>
    <t>6850890642</t>
  </si>
  <si>
    <t>ORD580</t>
  </si>
  <si>
    <t>02-08-2024</t>
  </si>
  <si>
    <t>6613181603</t>
  </si>
  <si>
    <t>ORD581</t>
  </si>
  <si>
    <t>7141810687</t>
  </si>
  <si>
    <t>ORD582</t>
  </si>
  <si>
    <t>02-04-2023</t>
  </si>
  <si>
    <t>9671678819</t>
  </si>
  <si>
    <t>ORD583</t>
  </si>
  <si>
    <t>7305247490</t>
  </si>
  <si>
    <t>ORD584</t>
  </si>
  <si>
    <t>8037015401</t>
  </si>
  <si>
    <t>ORD585</t>
  </si>
  <si>
    <t>6217111923</t>
  </si>
  <si>
    <t>ORD586</t>
  </si>
  <si>
    <t>9738021430</t>
  </si>
  <si>
    <t>ORD587</t>
  </si>
  <si>
    <t>7706046893</t>
  </si>
  <si>
    <t>ORD588</t>
  </si>
  <si>
    <t>04-02-2024</t>
  </si>
  <si>
    <t>8648364608</t>
  </si>
  <si>
    <t>ORD589</t>
  </si>
  <si>
    <t>8287361208</t>
  </si>
  <si>
    <t>ORD590</t>
  </si>
  <si>
    <t>ORD591</t>
  </si>
  <si>
    <t>7896039799</t>
  </si>
  <si>
    <t>ORD592</t>
  </si>
  <si>
    <t>27-08-2023</t>
  </si>
  <si>
    <t>ORD593</t>
  </si>
  <si>
    <t>20-03-2024</t>
  </si>
  <si>
    <t>23-03-2024</t>
  </si>
  <si>
    <t>8002045238</t>
  </si>
  <si>
    <t>ORD594</t>
  </si>
  <si>
    <t>pooja yadav</t>
  </si>
  <si>
    <t>22-07-2024</t>
  </si>
  <si>
    <t>8477499579</t>
  </si>
  <si>
    <t>ORD595</t>
  </si>
  <si>
    <t>09-11-2023</t>
  </si>
  <si>
    <t>6714979918</t>
  </si>
  <si>
    <t>ORD596</t>
  </si>
  <si>
    <t>9593779657</t>
  </si>
  <si>
    <t>ORD597</t>
  </si>
  <si>
    <t>01-10-2024</t>
  </si>
  <si>
    <t>11-10-2024</t>
  </si>
  <si>
    <t>6233547138</t>
  </si>
  <si>
    <t>ORD598</t>
  </si>
  <si>
    <t>7340743494</t>
  </si>
  <si>
    <t>ORD599</t>
  </si>
  <si>
    <t>11-08-2023</t>
  </si>
  <si>
    <t>8163933441</t>
  </si>
  <si>
    <t>ORD600</t>
  </si>
  <si>
    <t>2023/03/01</t>
  </si>
  <si>
    <t>03-03-2023</t>
  </si>
  <si>
    <t>7936548048</t>
  </si>
  <si>
    <t>ORD601</t>
  </si>
  <si>
    <t>2023/05/30</t>
  </si>
  <si>
    <t>8422336351</t>
  </si>
  <si>
    <t>ORD602</t>
  </si>
  <si>
    <t>20-03-2023</t>
  </si>
  <si>
    <t>8134909230</t>
  </si>
  <si>
    <t>ORD603</t>
  </si>
  <si>
    <t>2024/10/24</t>
  </si>
  <si>
    <t>03-11-2024</t>
  </si>
  <si>
    <t>6221416317</t>
  </si>
  <si>
    <t>ORD604</t>
  </si>
  <si>
    <t>6467027567</t>
  </si>
  <si>
    <t>ORD605</t>
  </si>
  <si>
    <t>9804820195</t>
  </si>
  <si>
    <t>ORD606</t>
  </si>
  <si>
    <t>7341333308</t>
  </si>
  <si>
    <t>ORD607</t>
  </si>
  <si>
    <t>08-10-2024</t>
  </si>
  <si>
    <t>16-10-2024</t>
  </si>
  <si>
    <t>7133730523</t>
  </si>
  <si>
    <t>ORD608</t>
  </si>
  <si>
    <t>ORD609</t>
  </si>
  <si>
    <t>7193978350</t>
  </si>
  <si>
    <t>ORD610</t>
  </si>
  <si>
    <t>01-12-2023</t>
  </si>
  <si>
    <t>05-12-2023</t>
  </si>
  <si>
    <t>8469133289</t>
  </si>
  <si>
    <t>ORD611</t>
  </si>
  <si>
    <t>7591238622</t>
  </si>
  <si>
    <t>ORD612</t>
  </si>
  <si>
    <t>2024/03/10</t>
  </si>
  <si>
    <t>9167427895</t>
  </si>
  <si>
    <t>ORD613</t>
  </si>
  <si>
    <t>01-08-2023</t>
  </si>
  <si>
    <t>ORD614</t>
  </si>
  <si>
    <t>2024/04/20</t>
  </si>
  <si>
    <t>9457264869</t>
  </si>
  <si>
    <t>ORD615</t>
  </si>
  <si>
    <t>8055464416</t>
  </si>
  <si>
    <t>ORD616</t>
  </si>
  <si>
    <t>09-12-2023</t>
  </si>
  <si>
    <t>8229331872</t>
  </si>
  <si>
    <t>ORD617</t>
  </si>
  <si>
    <t>8566098187</t>
  </si>
  <si>
    <t>ORD618</t>
  </si>
  <si>
    <t>6023223511</t>
  </si>
  <si>
    <t>ORD619</t>
  </si>
  <si>
    <t>2023/02/08</t>
  </si>
  <si>
    <t>7986087236</t>
  </si>
  <si>
    <t>ORD620</t>
  </si>
  <si>
    <t>rohit kumar</t>
  </si>
  <si>
    <t>24-02-2024</t>
  </si>
  <si>
    <t>6623753189</t>
  </si>
  <si>
    <t>ORD621</t>
  </si>
  <si>
    <t>9795421872</t>
  </si>
  <si>
    <t>ORD622</t>
  </si>
  <si>
    <t>9999620129</t>
  </si>
  <si>
    <t>ORD623</t>
  </si>
  <si>
    <t>2023/01/13</t>
  </si>
  <si>
    <t>8571804673</t>
  </si>
  <si>
    <t>ORD624</t>
  </si>
  <si>
    <t>8468838510</t>
  </si>
  <si>
    <t>ORD625</t>
  </si>
  <si>
    <t>8907992357</t>
  </si>
  <si>
    <t>ORD626</t>
  </si>
  <si>
    <t>6189934198</t>
  </si>
  <si>
    <t>ORD627</t>
  </si>
  <si>
    <t>7412286763</t>
  </si>
  <si>
    <t>ORD628</t>
  </si>
  <si>
    <t>6580240550</t>
  </si>
  <si>
    <t>ORD629</t>
  </si>
  <si>
    <t>27-12-2023</t>
  </si>
  <si>
    <t>ORD630</t>
  </si>
  <si>
    <t>6492982861</t>
  </si>
  <si>
    <t>ORD631</t>
  </si>
  <si>
    <t>9138488555</t>
  </si>
  <si>
    <t>ORD632</t>
  </si>
  <si>
    <t>amit patel</t>
  </si>
  <si>
    <t>8324352414</t>
  </si>
  <si>
    <t>ORD633</t>
  </si>
  <si>
    <t>ORD634</t>
  </si>
  <si>
    <t>26-04-2023</t>
  </si>
  <si>
    <t>8909686877</t>
  </si>
  <si>
    <t>ORD635</t>
  </si>
  <si>
    <t>10-03-2023</t>
  </si>
  <si>
    <t>8107231402</t>
  </si>
  <si>
    <t>ORD636</t>
  </si>
  <si>
    <t>7996982491</t>
  </si>
  <si>
    <t>ORD637</t>
  </si>
  <si>
    <t>7365834544</t>
  </si>
  <si>
    <t>ORD638</t>
  </si>
  <si>
    <t>6320640065</t>
  </si>
  <si>
    <t>ORD639</t>
  </si>
  <si>
    <t>2024/08/16</t>
  </si>
  <si>
    <t>19-08-2024</t>
  </si>
  <si>
    <t>8103863598</t>
  </si>
  <si>
    <t>ORD640</t>
  </si>
  <si>
    <t>ORD641</t>
  </si>
  <si>
    <t>9947239905</t>
  </si>
  <si>
    <t>ORD642</t>
  </si>
  <si>
    <t>8027583193</t>
  </si>
  <si>
    <t>ORD643</t>
  </si>
  <si>
    <t>18-05-2024</t>
  </si>
  <si>
    <t>9857332311</t>
  </si>
  <si>
    <t>ORD644</t>
  </si>
  <si>
    <t>2024/04/10</t>
  </si>
  <si>
    <t>7266035245</t>
  </si>
  <si>
    <t>ORD645</t>
  </si>
  <si>
    <t>8797954441</t>
  </si>
  <si>
    <t>ORD646</t>
  </si>
  <si>
    <t>8892016325</t>
  </si>
  <si>
    <t>ORD647</t>
  </si>
  <si>
    <t>03-07-2024</t>
  </si>
  <si>
    <t>9648335920</t>
  </si>
  <si>
    <t>ORD648</t>
  </si>
  <si>
    <t>6480041958</t>
  </si>
  <si>
    <t>ORD649</t>
  </si>
  <si>
    <t>29-07-2023</t>
  </si>
  <si>
    <t>7662058801</t>
  </si>
  <si>
    <t>ORD650</t>
  </si>
  <si>
    <t>7708553632</t>
  </si>
  <si>
    <t>ORD651</t>
  </si>
  <si>
    <t>9361685242</t>
  </si>
  <si>
    <t>ORD652</t>
  </si>
  <si>
    <t>7858904912</t>
  </si>
  <si>
    <t>ORD653</t>
  </si>
  <si>
    <t>6445171774</t>
  </si>
  <si>
    <t>ORD654</t>
  </si>
  <si>
    <t>9832365408</t>
  </si>
  <si>
    <t>ORD655</t>
  </si>
  <si>
    <t>9083772055</t>
  </si>
  <si>
    <t>ORD656</t>
  </si>
  <si>
    <t>ORD657</t>
  </si>
  <si>
    <t>9826161980</t>
  </si>
  <si>
    <t>ORD658</t>
  </si>
  <si>
    <t>9398736892</t>
  </si>
  <si>
    <t>ORD659</t>
  </si>
  <si>
    <t>6004156798</t>
  </si>
  <si>
    <t>ORD660</t>
  </si>
  <si>
    <t>7009828506</t>
  </si>
  <si>
    <t>ORD661</t>
  </si>
  <si>
    <t>06-10-2024</t>
  </si>
  <si>
    <t>8957550538</t>
  </si>
  <si>
    <t>ORD662</t>
  </si>
  <si>
    <t>7083852054</t>
  </si>
  <si>
    <t>ORD663</t>
  </si>
  <si>
    <t>03-02-2024</t>
  </si>
  <si>
    <t>6852759789</t>
  </si>
  <si>
    <t>ORD664</t>
  </si>
  <si>
    <t>8560262994</t>
  </si>
  <si>
    <t>ORD665</t>
  </si>
  <si>
    <t>2024/03/14</t>
  </si>
  <si>
    <t>16-03-2024</t>
  </si>
  <si>
    <t>ORD666</t>
  </si>
  <si>
    <t>26-04-2024</t>
  </si>
  <si>
    <t>7658540638</t>
  </si>
  <si>
    <t>ORD667</t>
  </si>
  <si>
    <t>26-10-2023</t>
  </si>
  <si>
    <t>9764418684</t>
  </si>
  <si>
    <t>ORD668</t>
  </si>
  <si>
    <t>2023/08/23</t>
  </si>
  <si>
    <t>7676843373</t>
  </si>
  <si>
    <t>ORD669</t>
  </si>
  <si>
    <t>2023/05/07</t>
  </si>
  <si>
    <t>8185180727</t>
  </si>
  <si>
    <t>ORD670</t>
  </si>
  <si>
    <t>snehasharma@gmail.com</t>
  </si>
  <si>
    <t>9268749723</t>
  </si>
  <si>
    <t>ORD671</t>
  </si>
  <si>
    <t>9078669363</t>
  </si>
  <si>
    <t>ORD672</t>
  </si>
  <si>
    <t>6162201134</t>
  </si>
  <si>
    <t>ORD673</t>
  </si>
  <si>
    <t>6380481982</t>
  </si>
  <si>
    <t>ORD674</t>
  </si>
  <si>
    <t>14-05-2023</t>
  </si>
  <si>
    <t>21-05-2023</t>
  </si>
  <si>
    <t>6869297728</t>
  </si>
  <si>
    <t>ORD675</t>
  </si>
  <si>
    <t>6732822090</t>
  </si>
  <si>
    <t>ORD676</t>
  </si>
  <si>
    <t>9681606677</t>
  </si>
  <si>
    <t>ORD677</t>
  </si>
  <si>
    <t>8900296276</t>
  </si>
  <si>
    <t>ORD678</t>
  </si>
  <si>
    <t>2024/04/21</t>
  </si>
  <si>
    <t>ORD679</t>
  </si>
  <si>
    <t>9947770162</t>
  </si>
  <si>
    <t>ORD680</t>
  </si>
  <si>
    <t>neha sharma</t>
  </si>
  <si>
    <t>7756534476</t>
  </si>
  <si>
    <t>ORD681</t>
  </si>
  <si>
    <t>18-12-2023</t>
  </si>
  <si>
    <t>21-12-2023</t>
  </si>
  <si>
    <t>9730716286</t>
  </si>
  <si>
    <t>ORD682</t>
  </si>
  <si>
    <t>8271646991</t>
  </si>
  <si>
    <t>ORD683</t>
  </si>
  <si>
    <t>9422332558</t>
  </si>
  <si>
    <t>ORD684</t>
  </si>
  <si>
    <t>ORD685</t>
  </si>
  <si>
    <t>6332606504</t>
  </si>
  <si>
    <t>ORD686</t>
  </si>
  <si>
    <t>rahul gupta</t>
  </si>
  <si>
    <t>6068158888</t>
  </si>
  <si>
    <t>ORD687</t>
  </si>
  <si>
    <t>7892703208</t>
  </si>
  <si>
    <t>ORD688</t>
  </si>
  <si>
    <t>9125057562</t>
  </si>
  <si>
    <t>ORD689</t>
  </si>
  <si>
    <t>ORD690</t>
  </si>
  <si>
    <t>7900299439</t>
  </si>
  <si>
    <t>ORD691</t>
  </si>
  <si>
    <t>ORD692</t>
  </si>
  <si>
    <t>2024/03/04</t>
  </si>
  <si>
    <t>7812263214</t>
  </si>
  <si>
    <t>ORD693</t>
  </si>
  <si>
    <t>23-09-2024</t>
  </si>
  <si>
    <t>6407103876</t>
  </si>
  <si>
    <t>ORD694</t>
  </si>
  <si>
    <t>7507590806</t>
  </si>
  <si>
    <t>ORD695</t>
  </si>
  <si>
    <t>2023/05/28</t>
  </si>
  <si>
    <t>9327482482</t>
  </si>
  <si>
    <t>ORD696</t>
  </si>
  <si>
    <t>2024/11/27</t>
  </si>
  <si>
    <t>6929701638</t>
  </si>
  <si>
    <t>ORD697</t>
  </si>
  <si>
    <t>8935607049</t>
  </si>
  <si>
    <t>ORD698</t>
  </si>
  <si>
    <t>9258562812</t>
  </si>
  <si>
    <t>ORD699</t>
  </si>
  <si>
    <t>8862684746</t>
  </si>
  <si>
    <t>ORD700</t>
  </si>
  <si>
    <t>9957804109</t>
  </si>
  <si>
    <t>ORD701</t>
  </si>
  <si>
    <t>25-12-2023</t>
  </si>
  <si>
    <t>6851182091</t>
  </si>
  <si>
    <t>ORD702</t>
  </si>
  <si>
    <t>9943639231</t>
  </si>
  <si>
    <t>ORD703</t>
  </si>
  <si>
    <t>8178749550</t>
  </si>
  <si>
    <t>ORD704</t>
  </si>
  <si>
    <t>05-10-2023</t>
  </si>
  <si>
    <t>8732291868</t>
  </si>
  <si>
    <t>ORD705</t>
  </si>
  <si>
    <t>8006188243</t>
  </si>
  <si>
    <t>ORD706</t>
  </si>
  <si>
    <t>7562749303</t>
  </si>
  <si>
    <t>ORD707</t>
  </si>
  <si>
    <t>7625723444</t>
  </si>
  <si>
    <t>ORD708</t>
  </si>
  <si>
    <t>rahul sharma</t>
  </si>
  <si>
    <t>ORD709</t>
  </si>
  <si>
    <t>8283423645</t>
  </si>
  <si>
    <t>ORD710</t>
  </si>
  <si>
    <t>9929679410</t>
  </si>
  <si>
    <t>ORD711</t>
  </si>
  <si>
    <t>pooja joshi</t>
  </si>
  <si>
    <t>9233493903</t>
  </si>
  <si>
    <t>ORD712</t>
  </si>
  <si>
    <t>7697399801</t>
  </si>
  <si>
    <t>ORD713</t>
  </si>
  <si>
    <t>2024/10/03</t>
  </si>
  <si>
    <t>7003438444</t>
  </si>
  <si>
    <t>ORD714</t>
  </si>
  <si>
    <t>6515598250</t>
  </si>
  <si>
    <t>ORD715</t>
  </si>
  <si>
    <t>8406759919</t>
  </si>
  <si>
    <t>ORD716</t>
  </si>
  <si>
    <t>ORD717</t>
  </si>
  <si>
    <t>09-11-2024</t>
  </si>
  <si>
    <t>8035406129</t>
  </si>
  <si>
    <t>ORD718</t>
  </si>
  <si>
    <t>8765013952</t>
  </si>
  <si>
    <t>ORD719</t>
  </si>
  <si>
    <t>17-10-2024</t>
  </si>
  <si>
    <t>9134357549</t>
  </si>
  <si>
    <t>ORD720</t>
  </si>
  <si>
    <t>6314201111</t>
  </si>
  <si>
    <t>ORD721</t>
  </si>
  <si>
    <t>8013408718</t>
  </si>
  <si>
    <t>ORD722</t>
  </si>
  <si>
    <t>8546468049</t>
  </si>
  <si>
    <t>ORD723</t>
  </si>
  <si>
    <t>7063693929</t>
  </si>
  <si>
    <t>ORD724</t>
  </si>
  <si>
    <t>amit agarwal</t>
  </si>
  <si>
    <t>2023/07/31</t>
  </si>
  <si>
    <t>7071886227</t>
  </si>
  <si>
    <t>ORD725</t>
  </si>
  <si>
    <t>10-06-2024</t>
  </si>
  <si>
    <t>9632464608</t>
  </si>
  <si>
    <t>ORD726</t>
  </si>
  <si>
    <t>19-09-2023</t>
  </si>
  <si>
    <t>9767257080</t>
  </si>
  <si>
    <t>ORD727</t>
  </si>
  <si>
    <t>8841866951</t>
  </si>
  <si>
    <t>ORD728</t>
  </si>
  <si>
    <t>ORD729</t>
  </si>
  <si>
    <t>9200095202</t>
  </si>
  <si>
    <t>ORD730</t>
  </si>
  <si>
    <t>12-01-2023</t>
  </si>
  <si>
    <t>9046617759</t>
  </si>
  <si>
    <t>ORD731</t>
  </si>
  <si>
    <t>30-08-2023</t>
  </si>
  <si>
    <t>7223798396</t>
  </si>
  <si>
    <t>ORD732</t>
  </si>
  <si>
    <t>8027336794</t>
  </si>
  <si>
    <t>ORD733</t>
  </si>
  <si>
    <t>9055780078</t>
  </si>
  <si>
    <t>ORD734</t>
  </si>
  <si>
    <t>9916810452</t>
  </si>
  <si>
    <t>ORD735</t>
  </si>
  <si>
    <t>07-07-2024</t>
  </si>
  <si>
    <t>8520366747</t>
  </si>
  <si>
    <t>ORD736</t>
  </si>
  <si>
    <t>7801757241</t>
  </si>
  <si>
    <t>ORD737</t>
  </si>
  <si>
    <t>9172329351</t>
  </si>
  <si>
    <t>ORD738</t>
  </si>
  <si>
    <t>07-06-2023</t>
  </si>
  <si>
    <t>8573348106</t>
  </si>
  <si>
    <t>ORD739</t>
  </si>
  <si>
    <t>9152787964</t>
  </si>
  <si>
    <t>ORD740</t>
  </si>
  <si>
    <t>ORD741</t>
  </si>
  <si>
    <t>8466126079</t>
  </si>
  <si>
    <t>ORD742</t>
  </si>
  <si>
    <t>8674385174</t>
  </si>
  <si>
    <t>ORD743</t>
  </si>
  <si>
    <t>9386714709</t>
  </si>
  <si>
    <t>ORD744</t>
  </si>
  <si>
    <t>27-02-2023</t>
  </si>
  <si>
    <t>8469802826</t>
  </si>
  <si>
    <t>ORD745</t>
  </si>
  <si>
    <t>7325004597</t>
  </si>
  <si>
    <t>ORD746</t>
  </si>
  <si>
    <t>2023/10/04</t>
  </si>
  <si>
    <t>6135717169</t>
  </si>
  <si>
    <t>ORD747</t>
  </si>
  <si>
    <t>2024/04/12</t>
  </si>
  <si>
    <t>9872036412</t>
  </si>
  <si>
    <t>ORD748</t>
  </si>
  <si>
    <t>9341163183</t>
  </si>
  <si>
    <t>ORD749</t>
  </si>
  <si>
    <t>6431202245</t>
  </si>
  <si>
    <t>ORD750</t>
  </si>
  <si>
    <t>7002359664</t>
  </si>
  <si>
    <t>ORD751</t>
  </si>
  <si>
    <t>8165486934</t>
  </si>
  <si>
    <t>ORD752</t>
  </si>
  <si>
    <t>7233898871</t>
  </si>
  <si>
    <t>ORD753</t>
  </si>
  <si>
    <t>9580116220</t>
  </si>
  <si>
    <t>ORD754</t>
  </si>
  <si>
    <t>13-02-2023</t>
  </si>
  <si>
    <t>6169696102</t>
  </si>
  <si>
    <t>ORD755</t>
  </si>
  <si>
    <t>6423072318</t>
  </si>
  <si>
    <t>ORD756</t>
  </si>
  <si>
    <t>8656425764</t>
  </si>
  <si>
    <t>ORD757</t>
  </si>
  <si>
    <t>14-05-2024</t>
  </si>
  <si>
    <t>7481171847</t>
  </si>
  <si>
    <t>ORD758</t>
  </si>
  <si>
    <t>ORD759</t>
  </si>
  <si>
    <t>7306386005</t>
  </si>
  <si>
    <t>ORD760</t>
  </si>
  <si>
    <t>10-02-2024</t>
  </si>
  <si>
    <t>9458041255</t>
  </si>
  <si>
    <t>ORD761</t>
  </si>
  <si>
    <t>2023/10/11</t>
  </si>
  <si>
    <t>7196468996</t>
  </si>
  <si>
    <t>ORD762</t>
  </si>
  <si>
    <t>8140570129</t>
  </si>
  <si>
    <t>ORD763</t>
  </si>
  <si>
    <t>9364059280</t>
  </si>
  <si>
    <t>ORD764</t>
  </si>
  <si>
    <t>7476271610</t>
  </si>
  <si>
    <t>ORD765</t>
  </si>
  <si>
    <t>2023/01/31</t>
  </si>
  <si>
    <t>7448481286</t>
  </si>
  <si>
    <t>ORD766</t>
  </si>
  <si>
    <t>6150458833</t>
  </si>
  <si>
    <t>ORD767</t>
  </si>
  <si>
    <t>2024/08/23</t>
  </si>
  <si>
    <t>7817690936</t>
  </si>
  <si>
    <t>ORD768</t>
  </si>
  <si>
    <t>ORD769</t>
  </si>
  <si>
    <t>7892645359</t>
  </si>
  <si>
    <t>ORD770</t>
  </si>
  <si>
    <t>9857124166</t>
  </si>
  <si>
    <t>ORD771</t>
  </si>
  <si>
    <t>ORD772</t>
  </si>
  <si>
    <t>9984367017</t>
  </si>
  <si>
    <t>ORD773</t>
  </si>
  <si>
    <t>karan patel</t>
  </si>
  <si>
    <t>6514775711</t>
  </si>
  <si>
    <t>ORD774</t>
  </si>
  <si>
    <t>31-07-2023</t>
  </si>
  <si>
    <t>6925112413</t>
  </si>
  <si>
    <t>ORD775</t>
  </si>
  <si>
    <t>17-09-2024</t>
  </si>
  <si>
    <t>8392077820</t>
  </si>
  <si>
    <t>ORD776</t>
  </si>
  <si>
    <t>25-02-2024</t>
  </si>
  <si>
    <t>6655811824</t>
  </si>
  <si>
    <t>ORD777</t>
  </si>
  <si>
    <t>8352381352</t>
  </si>
  <si>
    <t>ORD778</t>
  </si>
  <si>
    <t>2024/08/01</t>
  </si>
  <si>
    <t>8925932771</t>
  </si>
  <si>
    <t>ORD779</t>
  </si>
  <si>
    <t>8186297894</t>
  </si>
  <si>
    <t>ORD780</t>
  </si>
  <si>
    <t>28-08-2023</t>
  </si>
  <si>
    <t>ORD781</t>
  </si>
  <si>
    <t>03-10-2024</t>
  </si>
  <si>
    <t>7398132579</t>
  </si>
  <si>
    <t>ORD782</t>
  </si>
  <si>
    <t>6377614958</t>
  </si>
  <si>
    <t>ORD783</t>
  </si>
  <si>
    <t>6421288310</t>
  </si>
  <si>
    <t>ORD784</t>
  </si>
  <si>
    <t>6538743104</t>
  </si>
  <si>
    <t>ORD785</t>
  </si>
  <si>
    <t>9334254940</t>
  </si>
  <si>
    <t>ORD786</t>
  </si>
  <si>
    <t>7204757746</t>
  </si>
  <si>
    <t>ORD787</t>
  </si>
  <si>
    <t>2024/05/28</t>
  </si>
  <si>
    <t>ORD788</t>
  </si>
  <si>
    <t>6062119984</t>
  </si>
  <si>
    <t>ORD789</t>
  </si>
  <si>
    <t>ORD790</t>
  </si>
  <si>
    <t>22-11-2023</t>
  </si>
  <si>
    <t>7200194449</t>
  </si>
  <si>
    <t>ORD791</t>
  </si>
  <si>
    <t>2023/02/02</t>
  </si>
  <si>
    <t>ORD792</t>
  </si>
  <si>
    <t>9759117755</t>
  </si>
  <si>
    <t>ORD793</t>
  </si>
  <si>
    <t>08-09-2024</t>
  </si>
  <si>
    <t>9753966644</t>
  </si>
  <si>
    <t>ORD794</t>
  </si>
  <si>
    <t>6242128859</t>
  </si>
  <si>
    <t>ORD795</t>
  </si>
  <si>
    <t>7627361654</t>
  </si>
  <si>
    <t>ORD796</t>
  </si>
  <si>
    <t>amit gupta</t>
  </si>
  <si>
    <t>6431701664</t>
  </si>
  <si>
    <t>ORD797</t>
  </si>
  <si>
    <t>7614312264</t>
  </si>
  <si>
    <t>ORD798</t>
  </si>
  <si>
    <t>2023/05/03</t>
  </si>
  <si>
    <t>9470953602</t>
  </si>
  <si>
    <t>ORD799</t>
  </si>
  <si>
    <t>7130818205</t>
  </si>
  <si>
    <t>ORD800</t>
  </si>
  <si>
    <t>20-11-2024</t>
  </si>
  <si>
    <t>8596717579</t>
  </si>
  <si>
    <t>ORD801</t>
  </si>
  <si>
    <t>20-11-2023</t>
  </si>
  <si>
    <t>8546916435</t>
  </si>
  <si>
    <t>ORD802</t>
  </si>
  <si>
    <t>neha joshi</t>
  </si>
  <si>
    <t>6282584795</t>
  </si>
  <si>
    <t>ORD803</t>
  </si>
  <si>
    <t>ORD804</t>
  </si>
  <si>
    <t>7294276017</t>
  </si>
  <si>
    <t>ORD805</t>
  </si>
  <si>
    <t>6685572592</t>
  </si>
  <si>
    <t>ORD806</t>
  </si>
  <si>
    <t>7676368898</t>
  </si>
  <si>
    <t>ORD807</t>
  </si>
  <si>
    <t>03-09-2023</t>
  </si>
  <si>
    <t>8257853838</t>
  </si>
  <si>
    <t>ORD808</t>
  </si>
  <si>
    <t>9568998263</t>
  </si>
  <si>
    <t>ORD809</t>
  </si>
  <si>
    <t>9634562025</t>
  </si>
  <si>
    <t>ORD810</t>
  </si>
  <si>
    <t>6103855213</t>
  </si>
  <si>
    <t>ORD811</t>
  </si>
  <si>
    <t>9705889834</t>
  </si>
  <si>
    <t>ORD812</t>
  </si>
  <si>
    <t>04-10-2024</t>
  </si>
  <si>
    <t>8537529799</t>
  </si>
  <si>
    <t>ORD813</t>
  </si>
  <si>
    <t>neha agarwal</t>
  </si>
  <si>
    <t>19-01-2023</t>
  </si>
  <si>
    <t>ORD814</t>
  </si>
  <si>
    <t>7598228149</t>
  </si>
  <si>
    <t>ORD815</t>
  </si>
  <si>
    <t>20-09-2023</t>
  </si>
  <si>
    <t>6812935220</t>
  </si>
  <si>
    <t>ORD816</t>
  </si>
  <si>
    <t>13-10-2023</t>
  </si>
  <si>
    <t>9138660915</t>
  </si>
  <si>
    <t>ORD817</t>
  </si>
  <si>
    <t>04-01-2024</t>
  </si>
  <si>
    <t>6121626504</t>
  </si>
  <si>
    <t>ORD818</t>
  </si>
  <si>
    <t>6699606672</t>
  </si>
  <si>
    <t>ORD819</t>
  </si>
  <si>
    <t>ORD820</t>
  </si>
  <si>
    <t>8376152612</t>
  </si>
  <si>
    <t>ORD821</t>
  </si>
  <si>
    <t>28-10-2023</t>
  </si>
  <si>
    <t>9896751967</t>
  </si>
  <si>
    <t>ORD822</t>
  </si>
  <si>
    <t>6479363883</t>
  </si>
  <si>
    <t>ORD823</t>
  </si>
  <si>
    <t>6177814073</t>
  </si>
  <si>
    <t>ORD824</t>
  </si>
  <si>
    <t>pooja gupta</t>
  </si>
  <si>
    <t>9496627006</t>
  </si>
  <si>
    <t>ORD825</t>
  </si>
  <si>
    <t>ORD826</t>
  </si>
  <si>
    <t>7515747979</t>
  </si>
  <si>
    <t>ORD827</t>
  </si>
  <si>
    <t>8538438043</t>
  </si>
  <si>
    <t>ORD828</t>
  </si>
  <si>
    <t>7718154624</t>
  </si>
  <si>
    <t>ORD829</t>
  </si>
  <si>
    <t>04-12-2023</t>
  </si>
  <si>
    <t>9834183974</t>
  </si>
  <si>
    <t>ORD830</t>
  </si>
  <si>
    <t>ORD831</t>
  </si>
  <si>
    <t>02-06-2024</t>
  </si>
  <si>
    <t>9339317271</t>
  </si>
  <si>
    <t>ORD832</t>
  </si>
  <si>
    <t>9206960022</t>
  </si>
  <si>
    <t>ORD833</t>
  </si>
  <si>
    <t>2024/05/12</t>
  </si>
  <si>
    <t>9513178736</t>
  </si>
  <si>
    <t>ORD834</t>
  </si>
  <si>
    <t>7561862189</t>
  </si>
  <si>
    <t>ORD835</t>
  </si>
  <si>
    <t>7288238539</t>
  </si>
  <si>
    <t>ORD836</t>
  </si>
  <si>
    <t>2023/12/26</t>
  </si>
  <si>
    <t>7483401093</t>
  </si>
  <si>
    <t>ORD837</t>
  </si>
  <si>
    <t>karan joshi</t>
  </si>
  <si>
    <t>7839583368</t>
  </si>
  <si>
    <t>ORD838</t>
  </si>
  <si>
    <t>27-11-2023</t>
  </si>
  <si>
    <t>9868007116</t>
  </si>
  <si>
    <t>ORD839</t>
  </si>
  <si>
    <t>9106251865</t>
  </si>
  <si>
    <t>ORD840</t>
  </si>
  <si>
    <t>6270014172</t>
  </si>
  <si>
    <t>ORD841</t>
  </si>
  <si>
    <t>7140095800</t>
  </si>
  <si>
    <t>ORD842</t>
  </si>
  <si>
    <t>6497196233</t>
  </si>
  <si>
    <t>ORD843</t>
  </si>
  <si>
    <t>6689058757</t>
  </si>
  <si>
    <t>ORD844</t>
  </si>
  <si>
    <t>01-05-2024</t>
  </si>
  <si>
    <t>6005248175</t>
  </si>
  <si>
    <t>ORD845</t>
  </si>
  <si>
    <t>8900131548</t>
  </si>
  <si>
    <t>ORD846</t>
  </si>
  <si>
    <t>8936002548</t>
  </si>
  <si>
    <t>ORD847</t>
  </si>
  <si>
    <t>9072877991</t>
  </si>
  <si>
    <t>ORD848</t>
  </si>
  <si>
    <t>2023/10/23</t>
  </si>
  <si>
    <t>6953550964</t>
  </si>
  <si>
    <t>ORD849</t>
  </si>
  <si>
    <t>9408691670</t>
  </si>
  <si>
    <t>ORD850</t>
  </si>
  <si>
    <t>16-02-2023</t>
  </si>
  <si>
    <t>23-02-2023</t>
  </si>
  <si>
    <t>8815341158</t>
  </si>
  <si>
    <t>ORD851</t>
  </si>
  <si>
    <t>18-08-2024</t>
  </si>
  <si>
    <t>8201351457</t>
  </si>
  <si>
    <t>ORD852</t>
  </si>
  <si>
    <t>6200243973</t>
  </si>
  <si>
    <t>ORD853</t>
  </si>
  <si>
    <t>7723246895</t>
  </si>
  <si>
    <t>ORD854</t>
  </si>
  <si>
    <t>6524350726</t>
  </si>
  <si>
    <t>ORD855</t>
  </si>
  <si>
    <t>6634770307</t>
  </si>
  <si>
    <t>ORD856</t>
  </si>
  <si>
    <t>6572582035</t>
  </si>
  <si>
    <t>ORD857</t>
  </si>
  <si>
    <t>7397277204</t>
  </si>
  <si>
    <t>ORD858</t>
  </si>
  <si>
    <t>sneha joshi</t>
  </si>
  <si>
    <t>2023/02/12</t>
  </si>
  <si>
    <t>7836423690</t>
  </si>
  <si>
    <t>ORD859</t>
  </si>
  <si>
    <t>2023/07/29</t>
  </si>
  <si>
    <t>8918058484</t>
  </si>
  <si>
    <t>ORD860</t>
  </si>
  <si>
    <t>6981678038</t>
  </si>
  <si>
    <t>ORD861</t>
  </si>
  <si>
    <t>7387006077</t>
  </si>
  <si>
    <t>ORD862</t>
  </si>
  <si>
    <t>14-06-2023</t>
  </si>
  <si>
    <t>6273701925</t>
  </si>
  <si>
    <t>ORD863</t>
  </si>
  <si>
    <t>24-09-2024</t>
  </si>
  <si>
    <t>9584360421</t>
  </si>
  <si>
    <t>ORD864</t>
  </si>
  <si>
    <t>6520814564</t>
  </si>
  <si>
    <t>ORD865</t>
  </si>
  <si>
    <t>21-06-2024</t>
  </si>
  <si>
    <t>ORD866</t>
  </si>
  <si>
    <t>7951217012</t>
  </si>
  <si>
    <t>ORD867</t>
  </si>
  <si>
    <t>9756439001</t>
  </si>
  <si>
    <t>ORD868</t>
  </si>
  <si>
    <t>8525070491</t>
  </si>
  <si>
    <t>ORD869</t>
  </si>
  <si>
    <t>6807760745</t>
  </si>
  <si>
    <t>ORD870</t>
  </si>
  <si>
    <t>7241797924</t>
  </si>
  <si>
    <t>ORD871</t>
  </si>
  <si>
    <t>28-01-2024</t>
  </si>
  <si>
    <t>6345737449</t>
  </si>
  <si>
    <t>ORD872</t>
  </si>
  <si>
    <t>7265629835</t>
  </si>
  <si>
    <t>ORD873</t>
  </si>
  <si>
    <t>9556697412</t>
  </si>
  <si>
    <t>ORD874</t>
  </si>
  <si>
    <t>29-04-2024</t>
  </si>
  <si>
    <t>9683743103</t>
  </si>
  <si>
    <t>ORD875</t>
  </si>
  <si>
    <t>2024/08/15</t>
  </si>
  <si>
    <t>8236841321</t>
  </si>
  <si>
    <t>ORD876</t>
  </si>
  <si>
    <t>2024/03/06</t>
  </si>
  <si>
    <t>7095916073</t>
  </si>
  <si>
    <t>ORD877</t>
  </si>
  <si>
    <t>7590068416</t>
  </si>
  <si>
    <t>ORD878</t>
  </si>
  <si>
    <t>7467178121</t>
  </si>
  <si>
    <t>ORD879</t>
  </si>
  <si>
    <t>6338754216</t>
  </si>
  <si>
    <t>ORD880</t>
  </si>
  <si>
    <t>11-01-2024</t>
  </si>
  <si>
    <t>7106766475</t>
  </si>
  <si>
    <t>ORD881</t>
  </si>
  <si>
    <t>ORD882</t>
  </si>
  <si>
    <t>9788856518</t>
  </si>
  <si>
    <t>ORD883</t>
  </si>
  <si>
    <t>6766632737</t>
  </si>
  <si>
    <t>ORD884</t>
  </si>
  <si>
    <t>ORD885</t>
  </si>
  <si>
    <t>8715402189</t>
  </si>
  <si>
    <t>ORD886</t>
  </si>
  <si>
    <t>ORD887</t>
  </si>
  <si>
    <t>7251100371</t>
  </si>
  <si>
    <t>ORD888</t>
  </si>
  <si>
    <t>24-06-2024</t>
  </si>
  <si>
    <t>6538944865</t>
  </si>
  <si>
    <t>ORD889</t>
  </si>
  <si>
    <t>9228613966</t>
  </si>
  <si>
    <t>ORD890</t>
  </si>
  <si>
    <t>03-11-2023</t>
  </si>
  <si>
    <t>9175500669</t>
  </si>
  <si>
    <t>ORD891</t>
  </si>
  <si>
    <t>7688794563</t>
  </si>
  <si>
    <t>ORD892</t>
  </si>
  <si>
    <t>9923422961</t>
  </si>
  <si>
    <t>ORD893</t>
  </si>
  <si>
    <t>8367903089</t>
  </si>
  <si>
    <t>ORD894</t>
  </si>
  <si>
    <t>6847284952</t>
  </si>
  <si>
    <t>ORD895</t>
  </si>
  <si>
    <t>7460905668</t>
  </si>
  <si>
    <t>ORD896</t>
  </si>
  <si>
    <t>7588717483</t>
  </si>
  <si>
    <t>ORD897</t>
  </si>
  <si>
    <t>7112648306</t>
  </si>
  <si>
    <t>ORD898</t>
  </si>
  <si>
    <t>9761400970</t>
  </si>
  <si>
    <t>ORD899</t>
  </si>
  <si>
    <t>7337189174</t>
  </si>
  <si>
    <t>ORD900</t>
  </si>
  <si>
    <t>9074235572</t>
  </si>
  <si>
    <t>ORD901</t>
  </si>
  <si>
    <t>7301933265</t>
  </si>
  <si>
    <t>ORD902</t>
  </si>
  <si>
    <t>8481922148</t>
  </si>
  <si>
    <t>ORD903</t>
  </si>
  <si>
    <t>6623178776</t>
  </si>
  <si>
    <t>ORD904</t>
  </si>
  <si>
    <t>2024/03/01</t>
  </si>
  <si>
    <t>ORD905</t>
  </si>
  <si>
    <t>7160059569</t>
  </si>
  <si>
    <t>ORD906</t>
  </si>
  <si>
    <t>8971004702</t>
  </si>
  <si>
    <t>ORD907</t>
  </si>
  <si>
    <t>7761539625</t>
  </si>
  <si>
    <t>ORD908</t>
  </si>
  <si>
    <t>2024/11/26</t>
  </si>
  <si>
    <t>7932629637</t>
  </si>
  <si>
    <t>ORD909</t>
  </si>
  <si>
    <t>8459348210</t>
  </si>
  <si>
    <t>ORD910</t>
  </si>
  <si>
    <t>17-04-2024</t>
  </si>
  <si>
    <t>8196641917</t>
  </si>
  <si>
    <t>ORD911</t>
  </si>
  <si>
    <t>7365082671</t>
  </si>
  <si>
    <t>ORD912</t>
  </si>
  <si>
    <t>9322583376</t>
  </si>
  <si>
    <t>ORD913</t>
  </si>
  <si>
    <t>7980628315</t>
  </si>
  <si>
    <t>ORD914</t>
  </si>
  <si>
    <t>8803495473</t>
  </si>
  <si>
    <t>ORD915</t>
  </si>
  <si>
    <t>7140578169</t>
  </si>
  <si>
    <t>ORD916</t>
  </si>
  <si>
    <t>9582934460</t>
  </si>
  <si>
    <t>ORD917</t>
  </si>
  <si>
    <t>02-04-2024</t>
  </si>
  <si>
    <t>9131140379</t>
  </si>
  <si>
    <t>ORD918</t>
  </si>
  <si>
    <t>7625658350</t>
  </si>
  <si>
    <t>ORD919</t>
  </si>
  <si>
    <t>6681519106</t>
  </si>
  <si>
    <t>ORD920</t>
  </si>
  <si>
    <t>2023/07/22</t>
  </si>
  <si>
    <t>6992145122</t>
  </si>
  <si>
    <t>ORD921</t>
  </si>
  <si>
    <t>7241050822</t>
  </si>
  <si>
    <t>ORD922</t>
  </si>
  <si>
    <t>9556254034</t>
  </si>
  <si>
    <t>ORD923</t>
  </si>
  <si>
    <t>8479632733</t>
  </si>
  <si>
    <t>ORD924</t>
  </si>
  <si>
    <t>9394947690</t>
  </si>
  <si>
    <t>ORD925</t>
  </si>
  <si>
    <t>10-11-2023</t>
  </si>
  <si>
    <t>9405355292</t>
  </si>
  <si>
    <t>ORD926</t>
  </si>
  <si>
    <t>8040078802</t>
  </si>
  <si>
    <t>ORD927</t>
  </si>
  <si>
    <t>7430764041</t>
  </si>
  <si>
    <t>ORD928</t>
  </si>
  <si>
    <t>8797955855</t>
  </si>
  <si>
    <t>ORD929</t>
  </si>
  <si>
    <t>ORD930</t>
  </si>
  <si>
    <t>8564028481</t>
  </si>
  <si>
    <t>ORD931</t>
  </si>
  <si>
    <t>7549918586</t>
  </si>
  <si>
    <t>ORD932</t>
  </si>
  <si>
    <t>9811689399</t>
  </si>
  <si>
    <t>ORD933</t>
  </si>
  <si>
    <t>2023/10/20</t>
  </si>
  <si>
    <t>8720991710</t>
  </si>
  <si>
    <t>ORD934</t>
  </si>
  <si>
    <t>23-06-2023</t>
  </si>
  <si>
    <t>8156318402</t>
  </si>
  <si>
    <t>ORD935</t>
  </si>
  <si>
    <t>2024/07/02</t>
  </si>
  <si>
    <t>8016453790</t>
  </si>
  <si>
    <t>ORD936</t>
  </si>
  <si>
    <t>9394913382</t>
  </si>
  <si>
    <t>ORD937</t>
  </si>
  <si>
    <t>8665553837</t>
  </si>
  <si>
    <t>ORD938</t>
  </si>
  <si>
    <t>6391875749</t>
  </si>
  <si>
    <t>ORD939</t>
  </si>
  <si>
    <t>9999247742</t>
  </si>
  <si>
    <t>ORD940</t>
  </si>
  <si>
    <t>vikas yadav</t>
  </si>
  <si>
    <t>7881707822</t>
  </si>
  <si>
    <t>ORD941</t>
  </si>
  <si>
    <t>8475656314</t>
  </si>
  <si>
    <t>ORD942</t>
  </si>
  <si>
    <t>9849955286</t>
  </si>
  <si>
    <t>ORD943</t>
  </si>
  <si>
    <t>6312115698</t>
  </si>
  <si>
    <t>ORD944</t>
  </si>
  <si>
    <t>6288457292</t>
  </si>
  <si>
    <t>ORD945</t>
  </si>
  <si>
    <t>09-10-2024</t>
  </si>
  <si>
    <t>7071581459</t>
  </si>
  <si>
    <t>ORD946</t>
  </si>
  <si>
    <t>2023/01/25</t>
  </si>
  <si>
    <t>6133188920</t>
  </si>
  <si>
    <t>ORD947</t>
  </si>
  <si>
    <t>8817744551</t>
  </si>
  <si>
    <t>ORD948</t>
  </si>
  <si>
    <t>7725615910</t>
  </si>
  <si>
    <t>ORD949</t>
  </si>
  <si>
    <t>8853678065</t>
  </si>
  <si>
    <t>ORD950</t>
  </si>
  <si>
    <t>9217716472</t>
  </si>
  <si>
    <t>ORD951</t>
  </si>
  <si>
    <t>6051504590</t>
  </si>
  <si>
    <t>ORD952</t>
  </si>
  <si>
    <t>04-07-2023</t>
  </si>
  <si>
    <t>9828519604</t>
  </si>
  <si>
    <t>ORD953</t>
  </si>
  <si>
    <t>7343167796</t>
  </si>
  <si>
    <t>ORD954</t>
  </si>
  <si>
    <t>2024/11/17</t>
  </si>
  <si>
    <t>9192013174</t>
  </si>
  <si>
    <t>ORD955</t>
  </si>
  <si>
    <t>ORD956</t>
  </si>
  <si>
    <t>7350671607</t>
  </si>
  <si>
    <t>ORD957</t>
  </si>
  <si>
    <t>7169583525</t>
  </si>
  <si>
    <t>ORD958</t>
  </si>
  <si>
    <t>7126719223</t>
  </si>
  <si>
    <t>ORD959</t>
  </si>
  <si>
    <t>6358794007</t>
  </si>
  <si>
    <t>ORD960</t>
  </si>
  <si>
    <t>9292139924</t>
  </si>
  <si>
    <t>ORD961</t>
  </si>
  <si>
    <t>7319379007</t>
  </si>
  <si>
    <t>ORD962</t>
  </si>
  <si>
    <t>ORD963</t>
  </si>
  <si>
    <t>ORD964</t>
  </si>
  <si>
    <t>12-03-2023</t>
  </si>
  <si>
    <t>6169656020</t>
  </si>
  <si>
    <t>ORD965</t>
  </si>
  <si>
    <t>8972210607</t>
  </si>
  <si>
    <t>ORD966</t>
  </si>
  <si>
    <t>8348226116</t>
  </si>
  <si>
    <t>ORD967</t>
  </si>
  <si>
    <t>07-01-2023</t>
  </si>
  <si>
    <t>8999802860</t>
  </si>
  <si>
    <t>ORD968</t>
  </si>
  <si>
    <t>9056462849</t>
  </si>
  <si>
    <t>ORD969</t>
  </si>
  <si>
    <t>09-04-2023</t>
  </si>
  <si>
    <t>8382390472</t>
  </si>
  <si>
    <t>ORD970</t>
  </si>
  <si>
    <t>8168410377</t>
  </si>
  <si>
    <t>ORD971</t>
  </si>
  <si>
    <t>9820351670</t>
  </si>
  <si>
    <t>ORD972</t>
  </si>
  <si>
    <t>6339570541</t>
  </si>
  <si>
    <t>ORD973</t>
  </si>
  <si>
    <t>9123636319</t>
  </si>
  <si>
    <t>ORD974</t>
  </si>
  <si>
    <t>19-06-2024</t>
  </si>
  <si>
    <t>6894494904</t>
  </si>
  <si>
    <t>ORD975</t>
  </si>
  <si>
    <t>8893756010</t>
  </si>
  <si>
    <t>ORD976</t>
  </si>
  <si>
    <t>09-08-2023</t>
  </si>
  <si>
    <t>9848316828</t>
  </si>
  <si>
    <t>ORD977</t>
  </si>
  <si>
    <t>8444749314</t>
  </si>
  <si>
    <t>ORD978</t>
  </si>
  <si>
    <t>7528854630</t>
  </si>
  <si>
    <t>ORD979</t>
  </si>
  <si>
    <t>6742958909</t>
  </si>
  <si>
    <t>ORD980</t>
  </si>
  <si>
    <t>2023/12/01</t>
  </si>
  <si>
    <t>8839450687</t>
  </si>
  <si>
    <t>ORD981</t>
  </si>
  <si>
    <t>06-01-2024</t>
  </si>
  <si>
    <t>9530919435</t>
  </si>
  <si>
    <t>ORD982</t>
  </si>
  <si>
    <t>9000312991</t>
  </si>
  <si>
    <t>ORD983</t>
  </si>
  <si>
    <t>9715582300</t>
  </si>
  <si>
    <t>ORD984</t>
  </si>
  <si>
    <t>31-08-2024</t>
  </si>
  <si>
    <t>6251191531</t>
  </si>
  <si>
    <t>ORD985</t>
  </si>
  <si>
    <t>8990413600</t>
  </si>
  <si>
    <t>ORD986</t>
  </si>
  <si>
    <t>02-12-2023</t>
  </si>
  <si>
    <t>9449270829</t>
  </si>
  <si>
    <t>ORD987</t>
  </si>
  <si>
    <t>8248654381</t>
  </si>
  <si>
    <t>ORD988</t>
  </si>
  <si>
    <t>8738529756</t>
  </si>
  <si>
    <t>ORD989</t>
  </si>
  <si>
    <t>2023/12/31</t>
  </si>
  <si>
    <t>7873422468</t>
  </si>
  <si>
    <t>ORD990</t>
  </si>
  <si>
    <t>7147734575</t>
  </si>
  <si>
    <t>ORD991</t>
  </si>
  <si>
    <t>7148039021</t>
  </si>
  <si>
    <t>ORD992</t>
  </si>
  <si>
    <t>8823777181</t>
  </si>
  <si>
    <t>ORD993</t>
  </si>
  <si>
    <t>7407859939</t>
  </si>
  <si>
    <t>ORD994</t>
  </si>
  <si>
    <t>7901298841</t>
  </si>
  <si>
    <t>ORD995</t>
  </si>
  <si>
    <t>9041352402</t>
  </si>
  <si>
    <t>ORD996</t>
  </si>
  <si>
    <t>rohit singh</t>
  </si>
  <si>
    <t>2024/03/23</t>
  </si>
  <si>
    <t>6272593602</t>
  </si>
  <si>
    <t>ORD997</t>
  </si>
  <si>
    <t>6160811091</t>
  </si>
  <si>
    <t>ORD998</t>
  </si>
  <si>
    <t>6845633365</t>
  </si>
  <si>
    <t>ORD999</t>
  </si>
  <si>
    <t>7402177318</t>
  </si>
  <si>
    <t>ORD1000</t>
  </si>
  <si>
    <t>8672036081</t>
  </si>
  <si>
    <t>ORD1001</t>
  </si>
  <si>
    <t>7566289289</t>
  </si>
  <si>
    <t>ORD1002</t>
  </si>
  <si>
    <t>6017812274</t>
  </si>
  <si>
    <t>ORD1003</t>
  </si>
  <si>
    <t>7507612916</t>
  </si>
  <si>
    <t>ORD1004</t>
  </si>
  <si>
    <t>7838794205</t>
  </si>
  <si>
    <t>ORD1005</t>
  </si>
  <si>
    <t>2024/01/24</t>
  </si>
  <si>
    <t>9455314364</t>
  </si>
  <si>
    <t>ORD1006</t>
  </si>
  <si>
    <t>8047470658</t>
  </si>
  <si>
    <t>ORD1007</t>
  </si>
  <si>
    <t>8587805815</t>
  </si>
  <si>
    <t>ORD1008</t>
  </si>
  <si>
    <t>vikas patel</t>
  </si>
  <si>
    <t>9677297170</t>
  </si>
  <si>
    <t>ORD1009</t>
  </si>
  <si>
    <t>7135542946</t>
  </si>
  <si>
    <t>ORD1010</t>
  </si>
  <si>
    <t>6828905139</t>
  </si>
  <si>
    <t>ORD1011</t>
  </si>
  <si>
    <t>15-05-2023</t>
  </si>
  <si>
    <t>7836618721</t>
  </si>
  <si>
    <t>ORD1012</t>
  </si>
  <si>
    <t>6813583677</t>
  </si>
  <si>
    <t>ORD1013</t>
  </si>
  <si>
    <t>8399831525</t>
  </si>
  <si>
    <t>ORD1014</t>
  </si>
  <si>
    <t>2024/02/09</t>
  </si>
  <si>
    <t>7967170727</t>
  </si>
  <si>
    <t>ORD1015</t>
  </si>
  <si>
    <t>karan gupta</t>
  </si>
  <si>
    <t>04-06-2023</t>
  </si>
  <si>
    <t>6444523778</t>
  </si>
  <si>
    <t>ORD1016</t>
  </si>
  <si>
    <t>7882290875</t>
  </si>
  <si>
    <t>ORD1017</t>
  </si>
  <si>
    <t>7707054334</t>
  </si>
  <si>
    <t>ORD1018</t>
  </si>
  <si>
    <t>6886518697</t>
  </si>
  <si>
    <t>ORD1019</t>
  </si>
  <si>
    <t>24-06-2023</t>
  </si>
  <si>
    <t>ORD1020</t>
  </si>
  <si>
    <t>8689377315</t>
  </si>
  <si>
    <t>ORD1021</t>
  </si>
  <si>
    <t>9109321040</t>
  </si>
  <si>
    <t>ORD1022</t>
  </si>
  <si>
    <t>ORD1023</t>
  </si>
  <si>
    <t>2023/02/24</t>
  </si>
  <si>
    <t>8898306977</t>
  </si>
  <si>
    <t>ORD1024</t>
  </si>
  <si>
    <t>6675756782</t>
  </si>
  <si>
    <t>ORD1025</t>
  </si>
  <si>
    <t>6492826234</t>
  </si>
  <si>
    <t>ORD1026</t>
  </si>
  <si>
    <t>2023/01/08</t>
  </si>
  <si>
    <t>7720638192</t>
  </si>
  <si>
    <t>ORD1027</t>
  </si>
  <si>
    <t>7367931103</t>
  </si>
  <si>
    <t>ORD1028</t>
  </si>
  <si>
    <t>8220667020</t>
  </si>
  <si>
    <t>ORD1029</t>
  </si>
  <si>
    <t>30-09-2024</t>
  </si>
  <si>
    <t>7777695125</t>
  </si>
  <si>
    <t>ORD1030</t>
  </si>
  <si>
    <t>8514849530</t>
  </si>
  <si>
    <t>ORD1031</t>
  </si>
  <si>
    <t>ORD1032</t>
  </si>
  <si>
    <t>ORD1033</t>
  </si>
  <si>
    <t>9265416485</t>
  </si>
  <si>
    <t>ORD1034</t>
  </si>
  <si>
    <t>11-05-2023</t>
  </si>
  <si>
    <t>7023692592</t>
  </si>
  <si>
    <t>ORD1035</t>
  </si>
  <si>
    <t>2024/03/21</t>
  </si>
  <si>
    <t>7371194955</t>
  </si>
  <si>
    <t>ORD1036</t>
  </si>
  <si>
    <t>9564919592</t>
  </si>
  <si>
    <t>ORD1037</t>
  </si>
  <si>
    <t>8340934081</t>
  </si>
  <si>
    <t>ORD1038</t>
  </si>
  <si>
    <t>6516103793</t>
  </si>
  <si>
    <t>ORD1039</t>
  </si>
  <si>
    <t>8974897506</t>
  </si>
  <si>
    <t>ORD1040</t>
  </si>
  <si>
    <t>8048609146</t>
  </si>
  <si>
    <t>ORD1041</t>
  </si>
  <si>
    <t>6158645032</t>
  </si>
  <si>
    <t>ORD1042</t>
  </si>
  <si>
    <t>ORD1043</t>
  </si>
  <si>
    <t>9387550965</t>
  </si>
  <si>
    <t>ORD1044</t>
  </si>
  <si>
    <t>7067629578</t>
  </si>
  <si>
    <t>ORD1045</t>
  </si>
  <si>
    <t>7893200764</t>
  </si>
  <si>
    <t>ORD1046</t>
  </si>
  <si>
    <t>9124807153</t>
  </si>
  <si>
    <t>ORD1047</t>
  </si>
  <si>
    <t>07-12-2024</t>
  </si>
  <si>
    <t>ORD1048</t>
  </si>
  <si>
    <t>03-12-2024</t>
  </si>
  <si>
    <t>6866538866</t>
  </si>
  <si>
    <t>ORD1049</t>
  </si>
  <si>
    <t>2024/11/14</t>
  </si>
  <si>
    <t>9710432331</t>
  </si>
  <si>
    <t>ORD1050</t>
  </si>
  <si>
    <t>9524903645</t>
  </si>
  <si>
    <t>ORD1051</t>
  </si>
  <si>
    <t>7105898486</t>
  </si>
  <si>
    <t>ORD1052</t>
  </si>
  <si>
    <t>2023/04/19</t>
  </si>
  <si>
    <t>7001436114</t>
  </si>
  <si>
    <t>ORD1053</t>
  </si>
  <si>
    <t>2024/03/18</t>
  </si>
  <si>
    <t>9237425670</t>
  </si>
  <si>
    <t>ORD1054</t>
  </si>
  <si>
    <t>01-03-2024</t>
  </si>
  <si>
    <t>8064716368</t>
  </si>
  <si>
    <t>ORD1055</t>
  </si>
  <si>
    <t>12-06-2024</t>
  </si>
  <si>
    <t>6034509317</t>
  </si>
  <si>
    <t>ORD1056</t>
  </si>
  <si>
    <t>7867310134</t>
  </si>
  <si>
    <t>ORD1057</t>
  </si>
  <si>
    <t>8919098742</t>
  </si>
  <si>
    <t>ORD1058</t>
  </si>
  <si>
    <t>6886238562</t>
  </si>
  <si>
    <t>ORD1059</t>
  </si>
  <si>
    <t>9065590816</t>
  </si>
  <si>
    <t>ORD1060</t>
  </si>
  <si>
    <t>karan yadav</t>
  </si>
  <si>
    <t>8626694114</t>
  </si>
  <si>
    <t>ORD1061</t>
  </si>
  <si>
    <t>6595487251</t>
  </si>
  <si>
    <t>ORD1062</t>
  </si>
  <si>
    <t>8696150908</t>
  </si>
  <si>
    <t>ORD1063</t>
  </si>
  <si>
    <t>7492477968</t>
  </si>
  <si>
    <t>ORD1064</t>
  </si>
  <si>
    <t>7612676545</t>
  </si>
  <si>
    <t>ORD1065</t>
  </si>
  <si>
    <t>7425313660</t>
  </si>
  <si>
    <t>ORD1066</t>
  </si>
  <si>
    <t>9857834530</t>
  </si>
  <si>
    <t>ORD1067</t>
  </si>
  <si>
    <t>8022757835</t>
  </si>
  <si>
    <t>ORD1068</t>
  </si>
  <si>
    <t>9852537889</t>
  </si>
  <si>
    <t>ORD1069</t>
  </si>
  <si>
    <t>22-07-2023</t>
  </si>
  <si>
    <t>6677006585</t>
  </si>
  <si>
    <t>ORD1070</t>
  </si>
  <si>
    <t>06-11-2023</t>
  </si>
  <si>
    <t>8427264477</t>
  </si>
  <si>
    <t>ORD1071</t>
  </si>
  <si>
    <t>2023/03/15</t>
  </si>
  <si>
    <t>ORD1072</t>
  </si>
  <si>
    <t>9199893026</t>
  </si>
  <si>
    <t>ORD1073</t>
  </si>
  <si>
    <t>6025537803</t>
  </si>
  <si>
    <t>ORD1074</t>
  </si>
  <si>
    <t>7432180607</t>
  </si>
  <si>
    <t>ORD1075</t>
  </si>
  <si>
    <t>08-02-2024</t>
  </si>
  <si>
    <t>7408382676</t>
  </si>
  <si>
    <t>ORD1076</t>
  </si>
  <si>
    <t>8772230296</t>
  </si>
  <si>
    <t>ORD1077</t>
  </si>
  <si>
    <t>6740374544</t>
  </si>
  <si>
    <t>ORD1078</t>
  </si>
  <si>
    <t>9866585650</t>
  </si>
  <si>
    <t>ORD1079</t>
  </si>
  <si>
    <t>2023/03/19</t>
  </si>
  <si>
    <t>6542946101</t>
  </si>
  <si>
    <t>ORD1080</t>
  </si>
  <si>
    <t>7793725816</t>
  </si>
  <si>
    <t>ORD1081</t>
  </si>
  <si>
    <t>7491063873</t>
  </si>
  <si>
    <t>ORD1082</t>
  </si>
  <si>
    <t>7329561604</t>
  </si>
  <si>
    <t>ORD1083</t>
  </si>
  <si>
    <t>8842998816</t>
  </si>
  <si>
    <t>ORD1084</t>
  </si>
  <si>
    <t>20-10-2023</t>
  </si>
  <si>
    <t>8763781318</t>
  </si>
  <si>
    <t>ORD1085</t>
  </si>
  <si>
    <t>9873390102</t>
  </si>
  <si>
    <t>ORD1086</t>
  </si>
  <si>
    <t>6512695502</t>
  </si>
  <si>
    <t>ORD1087</t>
  </si>
  <si>
    <t>6531326058</t>
  </si>
  <si>
    <t>ORD1088</t>
  </si>
  <si>
    <t>2024/06/04</t>
  </si>
  <si>
    <t>6896869138</t>
  </si>
  <si>
    <t>ORD1089</t>
  </si>
  <si>
    <t>7192917706</t>
  </si>
  <si>
    <t>ORD1090</t>
  </si>
  <si>
    <t>6584514083</t>
  </si>
  <si>
    <t>ORD1091</t>
  </si>
  <si>
    <t>8984440200</t>
  </si>
  <si>
    <t>ORD1092</t>
  </si>
  <si>
    <t>6697676163</t>
  </si>
  <si>
    <t>ORD1093</t>
  </si>
  <si>
    <t>2023/09/05</t>
  </si>
  <si>
    <t>6253225341</t>
  </si>
  <si>
    <t>ORD1094</t>
  </si>
  <si>
    <t>6380479245</t>
  </si>
  <si>
    <t>ORD1095</t>
  </si>
  <si>
    <t>6750532666</t>
  </si>
  <si>
    <t>ORD1096</t>
  </si>
  <si>
    <t>9751420102</t>
  </si>
  <si>
    <t>ORD1097</t>
  </si>
  <si>
    <t>8580171678</t>
  </si>
  <si>
    <t>ORD1098</t>
  </si>
  <si>
    <t>2024/10/14</t>
  </si>
  <si>
    <t>9305825537</t>
  </si>
  <si>
    <t>ORD1099</t>
  </si>
  <si>
    <t>9449426358</t>
  </si>
  <si>
    <t>ORD1100</t>
  </si>
  <si>
    <t>6596153364</t>
  </si>
  <si>
    <t>ORD1101</t>
  </si>
  <si>
    <t>7789526624</t>
  </si>
  <si>
    <t>ORD1102</t>
  </si>
  <si>
    <t>2023/12/03</t>
  </si>
  <si>
    <t>8322180761</t>
  </si>
  <si>
    <t>ORD1103</t>
  </si>
  <si>
    <t>16-10-2023</t>
  </si>
  <si>
    <t>ORD1104</t>
  </si>
  <si>
    <t>8766279912</t>
  </si>
  <si>
    <t>ORD1105</t>
  </si>
  <si>
    <t>8078365477</t>
  </si>
  <si>
    <t>ORD1106</t>
  </si>
  <si>
    <t>7284202292</t>
  </si>
  <si>
    <t>ORD1107</t>
  </si>
  <si>
    <t>8959656552</t>
  </si>
  <si>
    <t>ORD1108</t>
  </si>
  <si>
    <t>6918767622</t>
  </si>
  <si>
    <t>ORD1109</t>
  </si>
  <si>
    <t>9126721445</t>
  </si>
  <si>
    <t>ORD1110</t>
  </si>
  <si>
    <t>7286065734</t>
  </si>
  <si>
    <t>ORD1111</t>
  </si>
  <si>
    <t>9329447802</t>
  </si>
  <si>
    <t>ORD1112</t>
  </si>
  <si>
    <t>8325847254</t>
  </si>
  <si>
    <t>ORD1113</t>
  </si>
  <si>
    <t>anjali mehta</t>
  </si>
  <si>
    <t>9171777733</t>
  </si>
  <si>
    <t>ORD1114</t>
  </si>
  <si>
    <t>7060380249</t>
  </si>
  <si>
    <t>ORD1115</t>
  </si>
  <si>
    <t>6192974924</t>
  </si>
  <si>
    <t>ORD1116</t>
  </si>
  <si>
    <t>9693569511</t>
  </si>
  <si>
    <t>ORD1117</t>
  </si>
  <si>
    <t>ORD1118</t>
  </si>
  <si>
    <t>6149247154</t>
  </si>
  <si>
    <t>ORD1119</t>
  </si>
  <si>
    <t>6558584961</t>
  </si>
  <si>
    <t>ORD1120</t>
  </si>
  <si>
    <t>9045356723</t>
  </si>
  <si>
    <t>ORD1121</t>
  </si>
  <si>
    <t>8117124344</t>
  </si>
  <si>
    <t>ORD1122</t>
  </si>
  <si>
    <t>6807420341</t>
  </si>
  <si>
    <t>ORD1123</t>
  </si>
  <si>
    <t>9727039404</t>
  </si>
  <si>
    <t>ORD1124</t>
  </si>
  <si>
    <t>7233571766</t>
  </si>
  <si>
    <t>ORD1125</t>
  </si>
  <si>
    <t>6428862085</t>
  </si>
  <si>
    <t>ORD1126</t>
  </si>
  <si>
    <t>9585519114</t>
  </si>
  <si>
    <t>ORD1127</t>
  </si>
  <si>
    <t>9126554895</t>
  </si>
  <si>
    <t>ORD1128</t>
  </si>
  <si>
    <t>9715967029</t>
  </si>
  <si>
    <t>ORD1129</t>
  </si>
  <si>
    <t>30-10-2023</t>
  </si>
  <si>
    <t>6128039525</t>
  </si>
  <si>
    <t>ORD1130</t>
  </si>
  <si>
    <t>2023/02/01</t>
  </si>
  <si>
    <t>7427923426</t>
  </si>
  <si>
    <t>ORD1131</t>
  </si>
  <si>
    <t>9069304989</t>
  </si>
  <si>
    <t>ORD1132</t>
  </si>
  <si>
    <t>2023/03/17</t>
  </si>
  <si>
    <t>9738933776</t>
  </si>
  <si>
    <t>ORD1133</t>
  </si>
  <si>
    <t>8436198926</t>
  </si>
  <si>
    <t>ORD1134</t>
  </si>
  <si>
    <t>7329392512</t>
  </si>
  <si>
    <t>ORD1135</t>
  </si>
  <si>
    <t>7824283149</t>
  </si>
  <si>
    <t>ORD1136</t>
  </si>
  <si>
    <t>7274612415</t>
  </si>
  <si>
    <t>ORD1137</t>
  </si>
  <si>
    <t>9149286664</t>
  </si>
  <si>
    <t>ORD1138</t>
  </si>
  <si>
    <t>7283085360</t>
  </si>
  <si>
    <t>ORD1139</t>
  </si>
  <si>
    <t>6439865683</t>
  </si>
  <si>
    <t>ORD1140</t>
  </si>
  <si>
    <t>6791706168</t>
  </si>
  <si>
    <t>ORD1141</t>
  </si>
  <si>
    <t>6495804120</t>
  </si>
  <si>
    <t>ORD1142</t>
  </si>
  <si>
    <t>6717920798</t>
  </si>
  <si>
    <t>ORD1143</t>
  </si>
  <si>
    <t>6334283421</t>
  </si>
  <si>
    <t>ORD1144</t>
  </si>
  <si>
    <t>sneha sharma</t>
  </si>
  <si>
    <t>ORD1145</t>
  </si>
  <si>
    <t>8098594843</t>
  </si>
  <si>
    <t>ORD1146</t>
  </si>
  <si>
    <t>7770736229</t>
  </si>
  <si>
    <t>ORD1147</t>
  </si>
  <si>
    <t>7062102962</t>
  </si>
  <si>
    <t>ORD1148</t>
  </si>
  <si>
    <t>7258950271</t>
  </si>
  <si>
    <t>ORD1149</t>
  </si>
  <si>
    <t>ORD1150</t>
  </si>
  <si>
    <t>karan mehta</t>
  </si>
  <si>
    <t>7771075366</t>
  </si>
  <si>
    <t>ORD1151</t>
  </si>
  <si>
    <t>ORD1152</t>
  </si>
  <si>
    <t>ORD1153</t>
  </si>
  <si>
    <t>7297480307</t>
  </si>
  <si>
    <t>ORD1154</t>
  </si>
  <si>
    <t>01-02-2024</t>
  </si>
  <si>
    <t>7259860316</t>
  </si>
  <si>
    <t>ORD1155</t>
  </si>
  <si>
    <t>2023/06/04</t>
  </si>
  <si>
    <t>6894788933</t>
  </si>
  <si>
    <t>ORD1156</t>
  </si>
  <si>
    <t>05-03-2023</t>
  </si>
  <si>
    <t>6451887513</t>
  </si>
  <si>
    <t>ORD1157</t>
  </si>
  <si>
    <t>7750448188</t>
  </si>
  <si>
    <t>ORD1158</t>
  </si>
  <si>
    <t>ORD1159</t>
  </si>
  <si>
    <t>7483698464</t>
  </si>
  <si>
    <t>ORD1160</t>
  </si>
  <si>
    <t>11-06-2023</t>
  </si>
  <si>
    <t>9926418518</t>
  </si>
  <si>
    <t>ORD1161</t>
  </si>
  <si>
    <t>ORD1162</t>
  </si>
  <si>
    <t>9202738323</t>
  </si>
  <si>
    <t>ORD1163</t>
  </si>
  <si>
    <t>9282550634</t>
  </si>
  <si>
    <t>ORD1164</t>
  </si>
  <si>
    <t>7844585742</t>
  </si>
  <si>
    <t>ORD1165</t>
  </si>
  <si>
    <t>2024/01/19</t>
  </si>
  <si>
    <t>9394029072</t>
  </si>
  <si>
    <t>ORD1166</t>
  </si>
  <si>
    <t>7718294545</t>
  </si>
  <si>
    <t>ORD1167</t>
  </si>
  <si>
    <t>9074564621</t>
  </si>
  <si>
    <t>ORD1168</t>
  </si>
  <si>
    <t>9847884188</t>
  </si>
  <si>
    <t>ORD1169</t>
  </si>
  <si>
    <t>21-11-2023</t>
  </si>
  <si>
    <t>8586493869</t>
  </si>
  <si>
    <t>ORD1170</t>
  </si>
  <si>
    <t>6404630608</t>
  </si>
  <si>
    <t>ORD1171</t>
  </si>
  <si>
    <t>2024/02/04</t>
  </si>
  <si>
    <t>6130831965</t>
  </si>
  <si>
    <t>ORD1172</t>
  </si>
  <si>
    <t>ORD1173</t>
  </si>
  <si>
    <t>2023/09/18</t>
  </si>
  <si>
    <t>27-09-2023</t>
  </si>
  <si>
    <t>ORD1174</t>
  </si>
  <si>
    <t>7672936884</t>
  </si>
  <si>
    <t>ORD1175</t>
  </si>
  <si>
    <t>ORD1176</t>
  </si>
  <si>
    <t>ORD1177</t>
  </si>
  <si>
    <t>ORD1178</t>
  </si>
  <si>
    <t>6620490158</t>
  </si>
  <si>
    <t>ORD1179</t>
  </si>
  <si>
    <t>25-10-2024</t>
  </si>
  <si>
    <t>6691084578</t>
  </si>
  <si>
    <t>ORD1180</t>
  </si>
  <si>
    <t>8847005398</t>
  </si>
  <si>
    <t>ORD1181</t>
  </si>
  <si>
    <t>6848507812</t>
  </si>
  <si>
    <t>ORD1182</t>
  </si>
  <si>
    <t>9590861916</t>
  </si>
  <si>
    <t>ORD1183</t>
  </si>
  <si>
    <t>6390551282</t>
  </si>
  <si>
    <t>ORD1184</t>
  </si>
  <si>
    <t>2023/03/07</t>
  </si>
  <si>
    <t>8091828765</t>
  </si>
  <si>
    <t>ORD1185</t>
  </si>
  <si>
    <t>7497663632</t>
  </si>
  <si>
    <t>ORD1186</t>
  </si>
  <si>
    <t>8649126475</t>
  </si>
  <si>
    <t>ORD1187</t>
  </si>
  <si>
    <t>ORD1188</t>
  </si>
  <si>
    <t>7801594234</t>
  </si>
  <si>
    <t>ORD1189</t>
  </si>
  <si>
    <t>8872496582</t>
  </si>
  <si>
    <t>ORD1190</t>
  </si>
  <si>
    <t>rohit mehta</t>
  </si>
  <si>
    <t>ORD1191</t>
  </si>
  <si>
    <t>ORD1192</t>
  </si>
  <si>
    <t>8207405789</t>
  </si>
  <si>
    <t>ORD1193</t>
  </si>
  <si>
    <t>8454146255</t>
  </si>
  <si>
    <t>ORD1194</t>
  </si>
  <si>
    <t>7012987247</t>
  </si>
  <si>
    <t>ORD1195</t>
  </si>
  <si>
    <t>8004758817</t>
  </si>
  <si>
    <t>ORD1196</t>
  </si>
  <si>
    <t>ORD1197</t>
  </si>
  <si>
    <t>6497119200</t>
  </si>
  <si>
    <t>ORD1198</t>
  </si>
  <si>
    <t>6351159275</t>
  </si>
  <si>
    <t>ORD1199</t>
  </si>
  <si>
    <t>ORD1200</t>
  </si>
  <si>
    <t>Discount %</t>
  </si>
  <si>
    <t>Missing</t>
  </si>
  <si>
    <t>OrderYear</t>
  </si>
  <si>
    <t>OrderMonth</t>
  </si>
  <si>
    <t>DeliveryTime</t>
  </si>
  <si>
    <t>TotalSales</t>
  </si>
  <si>
    <t>Grand Total</t>
  </si>
  <si>
    <t>Sum of TotalSales</t>
  </si>
  <si>
    <t>January</t>
  </si>
  <si>
    <t>February</t>
  </si>
  <si>
    <t>March</t>
  </si>
  <si>
    <t>April</t>
  </si>
  <si>
    <t>May</t>
  </si>
  <si>
    <t>June</t>
  </si>
  <si>
    <t>July</t>
  </si>
  <si>
    <t>August</t>
  </si>
  <si>
    <t>September</t>
  </si>
  <si>
    <t>October</t>
  </si>
  <si>
    <t>November</t>
  </si>
  <si>
    <t>December</t>
  </si>
  <si>
    <t>Count of OrderID</t>
  </si>
  <si>
    <t>Average of Rating</t>
  </si>
  <si>
    <t>Average of DeliveryTime</t>
  </si>
  <si>
    <t>Total Sales</t>
  </si>
  <si>
    <t>Total Orders</t>
  </si>
  <si>
    <t>Total_Sales</t>
  </si>
  <si>
    <t>Month</t>
  </si>
  <si>
    <t>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</si>
</sst>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164" fontId="0" fillId="0" borderId="0" xfId="0" applyNumberFormat="1"/>
    <xf numFmtId="1"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5"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30" formatCode="@"/>
    </dxf>
    <dxf>
      <numFmt numFmtId="1" formatCode="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1" formatCode="0"/>
    </dxf>
    <dxf>
      <numFmt numFmtId="164" formatCode="0.0"/>
    </dxf>
    <dxf>
      <numFmt numFmtId="1" formatCode="0"/>
    </dxf>
    <dxf>
      <numFmt numFmtId="30" formatCode="@"/>
    </dxf>
    <dxf>
      <numFmt numFmtId="30" formatCode="@"/>
    </dxf>
    <dxf>
      <numFmt numFmtId="19" formatCode="dd/mm/yyyy"/>
    </dxf>
    <dxf>
      <numFmt numFmtId="19" formatCode="dd/mm/yyyy"/>
    </dxf>
    <dxf>
      <numFmt numFmtId="30" formatCode="@"/>
    </dxf>
    <dxf>
      <numFmt numFmtId="30" formatCode="@"/>
    </dxf>
    <dxf>
      <numFmt numFmtId="30" formatCode="@"/>
    </dxf>
    <dxf>
      <numFmt numFmtId="1" formatCode="0"/>
    </dxf>
    <dxf>
      <numFmt numFmtId="30" formatCode="@"/>
    </dxf>
    <dxf>
      <font>
        <color rgb="FF9C0006"/>
      </font>
      <fill>
        <patternFill>
          <bgColor rgb="FFFFC7CE"/>
        </patternFill>
      </fill>
    </dxf>
    <dxf>
      <font>
        <sz val="12"/>
        <color theme="0"/>
        <name val="Segoe UI Semibold"/>
        <family val="2"/>
        <scheme val="none"/>
      </font>
      <fill>
        <patternFill patternType="solid">
          <bgColor rgb="FF002851"/>
        </patternFill>
      </fill>
      <border diagonalUp="0" diagonalDown="0">
        <left/>
        <right/>
        <top/>
        <bottom/>
        <vertical/>
        <horizontal/>
      </border>
    </dxf>
    <dxf>
      <font>
        <color theme="1"/>
      </font>
      <fill>
        <patternFill>
          <bgColor theme="0"/>
        </patternFill>
      </fill>
      <border diagonalUp="0" diagonalDown="0">
        <left style="thin">
          <color auto="1"/>
        </left>
        <right style="thin">
          <color auto="1"/>
        </right>
        <top style="thin">
          <color auto="1"/>
        </top>
        <bottom style="thin">
          <color auto="1"/>
        </bottom>
        <vertical/>
        <horizontal/>
      </border>
    </dxf>
  </dxfs>
  <tableStyles count="1" defaultTableStyle="TableStyleMedium9" defaultPivotStyle="PivotStyleLight16">
    <tableStyle name="SlicerStyleOther1 2" pivot="0" table="0" count="10" xr9:uid="{AB17AD00-A610-47BB-80C1-5A46AFA8FAD1}">
      <tableStyleElement type="wholeTable" dxfId="27"/>
      <tableStyleElement type="headerRow" dxfId="26"/>
    </tableStyle>
  </tableStyles>
  <colors>
    <mruColors>
      <color rgb="FF002851"/>
      <color rgb="FFF5F7FA"/>
      <color rgb="FFD9E2EC"/>
      <color rgb="FFA7BBC7"/>
      <color rgb="FFF2C94C"/>
      <color rgb="FF27AE60"/>
      <color rgb="FF2F80ED"/>
      <color rgb="FF4F6D8A"/>
      <color rgb="FF00CC66"/>
      <color rgb="FFC0C0C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rgb="FF000000"/>
            <name val="Calibri"/>
            <family val="2"/>
            <scheme val="minor"/>
          </font>
          <fill>
            <patternFill patternType="solid">
              <fgColor auto="1"/>
              <bgColor rgb="FF99CCFF"/>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1"/>
            <color theme="0"/>
            <name val="Calibri"/>
            <family val="2"/>
            <scheme val="minor"/>
          </font>
          <fill>
            <patternFill patternType="solid">
              <fgColor theme="0" tint="-0.249977111117893"/>
              <bgColor rgb="FF002851"/>
            </patternFill>
          </fill>
          <border diagonalUp="0" diagonalDown="0">
            <left/>
            <right/>
            <top/>
            <bottom/>
            <vertical/>
            <horizontal/>
          </border>
        </dxf>
        <dxf>
          <font>
            <b/>
            <i val="0"/>
            <sz val="11"/>
            <color theme="1"/>
            <name val="Calibri"/>
            <family val="2"/>
            <scheme val="minor"/>
          </font>
          <fill>
            <patternFill patternType="solid">
              <fgColor theme="0"/>
              <bgColor rgb="FFF5F7FA"/>
            </patternFill>
          </fill>
          <border diagonalUp="0" diagonalDown="0">
            <left/>
            <right/>
            <top/>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[Sales_dashboard.xlsx]Pivot!PivotTable1</c:name>
    <c:fmtId val="9"/>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sz="1200" b="1"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t>Sales</a:t>
            </a:r>
            <a:r>
              <a:rPr lang="en-IN" sz="1200" b="1"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t> by Region</a:t>
            </a:r>
            <a:endParaRPr lang="en-IN" sz="1200" b="1" cap="none" spc="50" baseline="0">
              <a:ln w="9525" cmpd="sng">
                <a:solidFill>
                  <a:schemeClr val="accent1"/>
                </a:solidFill>
                <a:prstDash val="solid"/>
              </a:ln>
              <a:solidFill>
                <a:srgbClr val="70AD47">
                  <a:tint val="1000"/>
                </a:srgbClr>
              </a:solidFill>
              <a:effectLst>
                <a:glow rad="38100">
                  <a:schemeClr val="accent1">
                    <a:alpha val="40000"/>
                  </a:schemeClr>
                </a:glow>
              </a:effectLst>
            </a:endParaRPr>
          </a:p>
        </c:rich>
      </c:tx>
      <c:overlay val="0"/>
      <c:spPr>
        <a:noFill/>
        <a:ln w="25400" cap="flat" cmpd="sng" algn="ctr">
          <a:noFill/>
          <a:prstDash val="solid"/>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C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851"/>
                    </a:solidFill>
                  </a:ln>
                  <a:solidFill>
                    <a:srgbClr val="0028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rgbClr val="C0C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851"/>
                      </a:solidFill>
                    </a:ln>
                    <a:solidFill>
                      <a:srgbClr val="00285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Pivot!$A$4:$A$8</c:f>
              <c:strCache>
                <c:ptCount val="4"/>
                <c:pt idx="0">
                  <c:v>East</c:v>
                </c:pt>
                <c:pt idx="1">
                  <c:v>North</c:v>
                </c:pt>
                <c:pt idx="2">
                  <c:v>South</c:v>
                </c:pt>
                <c:pt idx="3">
                  <c:v>West</c:v>
                </c:pt>
              </c:strCache>
            </c:strRef>
          </c:cat>
          <c:val>
            <c:numRef>
              <c:f>Pivot!$B$4:$B$8</c:f>
              <c:numCache>
                <c:formatCode>General</c:formatCode>
                <c:ptCount val="4"/>
                <c:pt idx="0">
                  <c:v>34387294.076001622</c:v>
                </c:pt>
                <c:pt idx="1">
                  <c:v>34255845.644066475</c:v>
                </c:pt>
                <c:pt idx="2">
                  <c:v>34940506.026840232</c:v>
                </c:pt>
                <c:pt idx="3">
                  <c:v>34343425.461556517</c:v>
                </c:pt>
              </c:numCache>
            </c:numRef>
          </c:val>
          <c:extLst>
            <c:ext xmlns:c16="http://schemas.microsoft.com/office/drawing/2014/chart" uri="{C3380CC4-5D6E-409C-BE32-E72D297353CC}">
              <c16:uniqueId val="{00000000-0771-458D-A813-18A67E25B9CB}"/>
            </c:ext>
          </c:extLst>
        </c:ser>
        <c:dLbls>
          <c:dLblPos val="inEnd"/>
          <c:showLegendKey val="0"/>
          <c:showVal val="1"/>
          <c:showCatName val="0"/>
          <c:showSerName val="0"/>
          <c:showPercent val="0"/>
          <c:showBubbleSize val="0"/>
        </c:dLbls>
        <c:gapWidth val="115"/>
        <c:overlap val="-20"/>
        <c:axId val="68230911"/>
        <c:axId val="68231327"/>
      </c:barChart>
      <c:catAx>
        <c:axId val="68230911"/>
        <c:scaling>
          <c:orientation val="minMax"/>
        </c:scaling>
        <c:delete val="0"/>
        <c:axPos val="l"/>
        <c:numFmt formatCode="@" sourceLinked="0"/>
        <c:majorTickMark val="out"/>
        <c:minorTickMark val="none"/>
        <c:tickLblPos val="nextTo"/>
        <c:spPr>
          <a:noFill/>
          <a:ln w="0" cap="flat" cmpd="sng" algn="ctr">
            <a:solidFill>
              <a:schemeClr val="accent1"/>
            </a:solidFill>
            <a:round/>
            <a:headEnd type="diamond"/>
            <a:tailEnd w="sm" len="sm"/>
          </a:ln>
          <a:effectLst>
            <a:outerShdw algn="ctr" rotWithShape="0">
              <a:schemeClr val="bg1"/>
            </a:outerShdw>
          </a:effectLst>
        </c:spPr>
        <c:txPr>
          <a:bodyPr rot="-60000000" spcFirstLastPara="1" vertOverflow="ellipsis" vert="horz" wrap="square" anchor="ctr" anchorCtr="1"/>
          <a:lstStyle/>
          <a:p>
            <a:pPr>
              <a:defRPr sz="900" b="0" i="0" u="none" strike="noStrike" kern="1200" baseline="0">
                <a:ln>
                  <a:solidFill>
                    <a:srgbClr val="D9E2EC"/>
                  </a:solidFill>
                </a:ln>
                <a:solidFill>
                  <a:srgbClr val="D9E2EC"/>
                </a:solidFill>
                <a:effectLst>
                  <a:outerShdw algn="ctr" rotWithShape="0">
                    <a:srgbClr val="000000"/>
                  </a:outerShdw>
                </a:effectLst>
                <a:latin typeface="+mn-lt"/>
                <a:ea typeface="+mn-ea"/>
                <a:cs typeface="+mn-cs"/>
              </a:defRPr>
            </a:pPr>
            <a:endParaRPr lang="en-US"/>
          </a:p>
        </c:txPr>
        <c:crossAx val="68231327"/>
        <c:crosses val="autoZero"/>
        <c:auto val="1"/>
        <c:lblAlgn val="ctr"/>
        <c:lblOffset val="100"/>
        <c:noMultiLvlLbl val="0"/>
      </c:catAx>
      <c:valAx>
        <c:axId val="68231327"/>
        <c:scaling>
          <c:orientation val="minMax"/>
        </c:scaling>
        <c:delete val="0"/>
        <c:axPos val="b"/>
        <c:majorGridlines>
          <c:spPr>
            <a:ln w="9525" cap="flat" cmpd="sng" algn="ctr">
              <a:noFill/>
              <a:round/>
            </a:ln>
            <a:effectLst>
              <a:glow>
                <a:schemeClr val="bg1">
                  <a:lumMod val="85000"/>
                </a:schemeClr>
              </a:glow>
              <a:outerShdw blurRad="50800" dist="50800" dir="5400000" algn="ctr" rotWithShape="0">
                <a:schemeClr val="bg1">
                  <a:lumMod val="85000"/>
                </a:schemeClr>
              </a:outerShdw>
              <a:softEdge rad="0"/>
            </a:effectLst>
          </c:spPr>
        </c:majorGridlines>
        <c:numFmt formatCode="#,##0" sourceLinked="0"/>
        <c:majorTickMark val="out"/>
        <c:minorTickMark val="none"/>
        <c:tickLblPos val="nextTo"/>
        <c:spPr>
          <a:noFill/>
          <a:ln>
            <a:noFill/>
          </a:ln>
          <a:effectLst/>
        </c:spPr>
        <c:txPr>
          <a:bodyPr rot="-1320000" spcFirstLastPara="1" vertOverflow="ellipsis" wrap="square" anchor="t" anchorCtr="0"/>
          <a:lstStyle/>
          <a:p>
            <a:pPr>
              <a:defRPr sz="900" b="0" i="0" u="none" strike="noStrike" kern="1200" baseline="0">
                <a:ln>
                  <a:solidFill>
                    <a:srgbClr val="DDDDDD"/>
                  </a:solidFill>
                </a:ln>
                <a:solidFill>
                  <a:srgbClr val="C0C0C0"/>
                </a:solidFill>
                <a:latin typeface="+mn-lt"/>
                <a:ea typeface="+mn-ea"/>
                <a:cs typeface="+mn-cs"/>
              </a:defRPr>
            </a:pPr>
            <a:endParaRPr lang="en-US"/>
          </a:p>
        </c:txPr>
        <c:crossAx val="68230911"/>
        <c:crosses val="autoZero"/>
        <c:crossBetween val="between"/>
      </c:valAx>
      <c:spPr>
        <a:noFill/>
        <a:ln>
          <a:noFill/>
        </a:ln>
        <a:effectLst>
          <a:outerShdw algn="ctr" rotWithShape="0">
            <a:srgbClr val="000000"/>
          </a:outerShdw>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85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[Sales_dashboard.xlsx]Pivot!PivotTable2</c:name>
    <c:fmtId val="2"/>
  </c:pivotSource>
  <c:chart>
    <c:title>
      <c:tx>
        <c:rich>
          <a:bodyPr rot="0" spcFirstLastPara="1" vertOverflow="ellipsis" vert="horz" wrap="square" anchor="ctr" anchorCtr="1"/>
          <a:lstStyle/>
          <a:p>
            <a:pPr algn="ctr" rtl="0">
              <a:defRPr lang="en-IN"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r>
              <a:rPr lang="en-IN"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t>Sales by Product</a:t>
            </a:r>
          </a:p>
        </c:rich>
      </c:tx>
      <c:overlay val="0"/>
      <c:spPr>
        <a:noFill/>
        <a:ln>
          <a:noFill/>
        </a:ln>
        <a:effectLst/>
      </c:spPr>
      <c:txPr>
        <a:bodyPr rot="0" spcFirstLastPara="1" vertOverflow="ellipsis" vert="horz" wrap="square" anchor="ctr" anchorCtr="1"/>
        <a:lstStyle/>
        <a:p>
          <a:pPr algn="ctr" rtl="0">
            <a:defRPr lang="en-IN"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DDDD">
              <a:alpha val="98000"/>
            </a:srgbClr>
          </a:solidFill>
          <a:ln>
            <a:noFill/>
          </a:ln>
          <a:effectLst/>
        </c:spPr>
        <c:marker>
          <c:symbol val="none"/>
        </c:marker>
        <c:dLbl>
          <c:idx val="0"/>
          <c:numFmt formatCode="#,##0" sourceLinked="0"/>
          <c:spPr>
            <a:noFill/>
            <a:ln>
              <a:noFill/>
            </a:ln>
            <a:effectLst/>
          </c:spPr>
          <c:txPr>
            <a:bodyPr rot="-5400000" spcFirstLastPara="1" vertOverflow="ellipsis" wrap="square" anchor="ctr" anchorCtr="1"/>
            <a:lstStyle/>
            <a:p>
              <a:pPr>
                <a:defRPr sz="900" b="0" i="0" u="none" strike="noStrike" kern="1200" baseline="0">
                  <a:ln>
                    <a:solidFill>
                      <a:srgbClr val="002851"/>
                    </a:solidFill>
                  </a:ln>
                  <a:solidFill>
                    <a:srgbClr val="00285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rgbClr val="DDDDDD">
                <a:alpha val="98000"/>
              </a:srgbClr>
            </a:solidFill>
            <a:ln>
              <a:noFill/>
            </a:ln>
            <a:effectLst/>
          </c:spPr>
          <c:invertIfNegative val="0"/>
          <c:dLbls>
            <c:numFmt formatCode="#,##0" sourceLinked="0"/>
            <c:spPr>
              <a:noFill/>
              <a:ln>
                <a:noFill/>
              </a:ln>
              <a:effectLst/>
            </c:spPr>
            <c:txPr>
              <a:bodyPr rot="-5400000" spcFirstLastPara="1" vertOverflow="ellipsis" wrap="square" anchor="ctr" anchorCtr="1"/>
              <a:lstStyle/>
              <a:p>
                <a:pPr>
                  <a:defRPr sz="900" b="0" i="0" u="none" strike="noStrike" kern="1200" baseline="0">
                    <a:ln>
                      <a:solidFill>
                        <a:srgbClr val="002851"/>
                      </a:solidFill>
                    </a:ln>
                    <a:solidFill>
                      <a:srgbClr val="00285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Pivot!$J$4:$J$10</c:f>
              <c:strCache>
                <c:ptCount val="6"/>
                <c:pt idx="0">
                  <c:v>Headphones</c:v>
                </c:pt>
                <c:pt idx="1">
                  <c:v>Keyboard</c:v>
                </c:pt>
                <c:pt idx="2">
                  <c:v>Laptop</c:v>
                </c:pt>
                <c:pt idx="3">
                  <c:v>Mobile</c:v>
                </c:pt>
                <c:pt idx="4">
                  <c:v>Monitor</c:v>
                </c:pt>
                <c:pt idx="5">
                  <c:v>Tablet</c:v>
                </c:pt>
              </c:strCache>
            </c:strRef>
          </c:cat>
          <c:val>
            <c:numRef>
              <c:f>Pivot!$K$4:$K$10</c:f>
              <c:numCache>
                <c:formatCode>General</c:formatCode>
                <c:ptCount val="6"/>
                <c:pt idx="0">
                  <c:v>21456522.572155729</c:v>
                </c:pt>
                <c:pt idx="1">
                  <c:v>22626937.327364009</c:v>
                </c:pt>
                <c:pt idx="2">
                  <c:v>22654854.044067558</c:v>
                </c:pt>
                <c:pt idx="3">
                  <c:v>21780090.502343319</c:v>
                </c:pt>
                <c:pt idx="4">
                  <c:v>21764063.096031066</c:v>
                </c:pt>
                <c:pt idx="5">
                  <c:v>27644603.666503165</c:v>
                </c:pt>
              </c:numCache>
            </c:numRef>
          </c:val>
          <c:extLst>
            <c:ext xmlns:c16="http://schemas.microsoft.com/office/drawing/2014/chart" uri="{C3380CC4-5D6E-409C-BE32-E72D297353CC}">
              <c16:uniqueId val="{00000000-CFA8-4497-ADE7-581A4D09D558}"/>
            </c:ext>
          </c:extLst>
        </c:ser>
        <c:dLbls>
          <c:dLblPos val="outEnd"/>
          <c:showLegendKey val="0"/>
          <c:showVal val="1"/>
          <c:showCatName val="0"/>
          <c:showSerName val="0"/>
          <c:showPercent val="0"/>
          <c:showBubbleSize val="0"/>
        </c:dLbls>
        <c:gapWidth val="219"/>
        <c:overlap val="-27"/>
        <c:axId val="61170591"/>
        <c:axId val="61173087"/>
      </c:barChart>
      <c:catAx>
        <c:axId val="61170591"/>
        <c:scaling>
          <c:orientation val="minMax"/>
        </c:scaling>
        <c:delete val="0"/>
        <c:axPos val="b"/>
        <c:numFmt formatCode="General" sourceLinked="1"/>
        <c:majorTickMark val="none"/>
        <c:minorTickMark val="none"/>
        <c:tickLblPos val="nextTo"/>
        <c:spPr>
          <a:noFill/>
          <a:ln w="9525" cap="flat" cmpd="sng" algn="ctr">
            <a:solidFill>
              <a:schemeClr val="bg1">
                <a:alpha val="99000"/>
              </a:schemeClr>
            </a:solidFill>
            <a:round/>
          </a:ln>
          <a:effectLst/>
        </c:spPr>
        <c:txPr>
          <a:bodyPr rot="-60000000" spcFirstLastPara="1" vertOverflow="ellipsis" vert="horz" wrap="square" anchor="ctr" anchorCtr="1"/>
          <a:lstStyle/>
          <a:p>
            <a:pPr algn="ctr">
              <a:defRPr lang="en-US" sz="1000" b="0" i="0" u="none" strike="noStrike" kern="1200" baseline="0">
                <a:ln>
                  <a:solidFill>
                    <a:srgbClr val="DDDDDD"/>
                  </a:solidFill>
                </a:ln>
                <a:solidFill>
                  <a:srgbClr val="C0C0C0"/>
                </a:solidFill>
                <a:latin typeface="+mn-lt"/>
                <a:ea typeface="+mn-ea"/>
                <a:cs typeface="+mn-cs"/>
              </a:defRPr>
            </a:pPr>
            <a:endParaRPr lang="en-US"/>
          </a:p>
        </c:txPr>
        <c:crossAx val="61173087"/>
        <c:crosses val="autoZero"/>
        <c:auto val="1"/>
        <c:lblAlgn val="ctr"/>
        <c:lblOffset val="100"/>
        <c:noMultiLvlLbl val="0"/>
      </c:catAx>
      <c:valAx>
        <c:axId val="61173087"/>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ln>
                  <a:solidFill>
                    <a:srgbClr val="DDDDDD"/>
                  </a:solidFill>
                </a:ln>
                <a:solidFill>
                  <a:srgbClr val="C0C0C0"/>
                </a:solidFill>
                <a:latin typeface="+mn-lt"/>
                <a:ea typeface="+mn-ea"/>
                <a:cs typeface="+mn-cs"/>
              </a:defRPr>
            </a:pPr>
            <a:endParaRPr lang="en-US"/>
          </a:p>
        </c:txPr>
        <c:crossAx val="611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851"/>
    </a:solid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[Sales_dashboard.xlsx]Pivot!PivotTable3</c:name>
    <c:fmtId val="4"/>
  </c:pivotSource>
  <c:chart>
    <c:title>
      <c:tx>
        <c:rich>
          <a:bodyPr rot="0" spcFirstLastPara="1" vertOverflow="ellipsis" vert="horz" wrap="square" anchor="ctr" anchorCtr="1"/>
          <a:lstStyle/>
          <a:p>
            <a:pPr>
              <a:defRPr lang="en-US" sz="1200" b="0" i="0" u="none" strike="noStrike" kern="1200" spc="0" baseline="0">
                <a:ln>
                  <a:solidFill>
                    <a:srgbClr val="DDDDDD"/>
                  </a:solidFill>
                </a:ln>
                <a:solidFill>
                  <a:srgbClr val="DDDDDD"/>
                </a:solidFill>
                <a:latin typeface="+mn-lt"/>
                <a:ea typeface="+mn-ea"/>
                <a:cs typeface="+mn-cs"/>
              </a:defRPr>
            </a:pPr>
            <a:r>
              <a:rPr lang="en-US" b="1" cap="none" spc="50">
                <a:ln w="9525" cmpd="sng">
                  <a:solidFill>
                    <a:schemeClr val="accent1"/>
                  </a:solidFill>
                  <a:prstDash val="solid"/>
                </a:ln>
                <a:solidFill>
                  <a:srgbClr val="70AD47">
                    <a:tint val="1000"/>
                  </a:srgbClr>
                </a:solidFill>
                <a:effectLst>
                  <a:glow rad="38100">
                    <a:schemeClr val="accent1">
                      <a:alpha val="40000"/>
                    </a:schemeClr>
                  </a:glow>
                </a:effectLst>
              </a:rPr>
              <a:t>Monthly</a:t>
            </a:r>
            <a:r>
              <a:rPr lang="en-US" b="1" cap="none" spc="50" baseline="0">
                <a:ln w="9525" cmpd="sng">
                  <a:solidFill>
                    <a:schemeClr val="accent1"/>
                  </a:solidFill>
                  <a:prstDash val="solid"/>
                </a:ln>
                <a:solidFill>
                  <a:srgbClr val="70AD47">
                    <a:tint val="1000"/>
                  </a:srgbClr>
                </a:solidFill>
                <a:effectLst>
                  <a:glow rad="38100">
                    <a:schemeClr val="accent1">
                      <a:alpha val="40000"/>
                    </a:schemeClr>
                  </a:glow>
                </a:effectLst>
              </a:rPr>
              <a:t> Sales Trend</a:t>
            </a:r>
            <a:endParaRPr lang="en-US" b="1" cap="none" spc="50">
              <a:ln w="9525" cmpd="sng">
                <a:solidFill>
                  <a:schemeClr val="accent1"/>
                </a:solidFill>
                <a:prstDash val="solid"/>
              </a:ln>
              <a:solidFill>
                <a:srgbClr val="70AD47">
                  <a:tint val="1000"/>
                </a:srgbClr>
              </a:solidFill>
              <a:effectLst>
                <a:glow rad="38100">
                  <a:schemeClr val="accent1">
                    <a:alpha val="40000"/>
                  </a:schemeClr>
                </a:glow>
              </a:effectLst>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rgbClr val="DDDDDD"/>
                </a:solidFill>
              </a:ln>
              <a:solidFill>
                <a:srgbClr val="DDDDDD"/>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DDDD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8575" cap="rnd">
              <a:solidFill>
                <a:srgbClr val="DDDDDD"/>
              </a:solidFill>
              <a:round/>
            </a:ln>
            <a:effectLst/>
          </c:spPr>
          <c:marker>
            <c:symbol val="none"/>
          </c:marker>
          <c:cat>
            <c:strRef>
              <c:f>Pivot!$Q$4:$Q$16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Pivot!$R$4:$R$16</c:f>
              <c:numCache>
                <c:formatCode>General</c:formatCode>
                <c:ptCount val="12"/>
                <c:pt idx="0">
                  <c:v>9276990.6842236686</c:v>
                </c:pt>
                <c:pt idx="1">
                  <c:v>12403377.294511296</c:v>
                </c:pt>
                <c:pt idx="2">
                  <c:v>13407938.879805638</c:v>
                </c:pt>
                <c:pt idx="3">
                  <c:v>12544357.542310873</c:v>
                </c:pt>
                <c:pt idx="4">
                  <c:v>13545652.396890078</c:v>
                </c:pt>
                <c:pt idx="5">
                  <c:v>8323608.7158289729</c:v>
                </c:pt>
                <c:pt idx="6">
                  <c:v>13306526.326453427</c:v>
                </c:pt>
                <c:pt idx="7">
                  <c:v>12611359.359096088</c:v>
                </c:pt>
                <c:pt idx="8">
                  <c:v>14214953.573788321</c:v>
                </c:pt>
                <c:pt idx="9">
                  <c:v>11816880.435055275</c:v>
                </c:pt>
                <c:pt idx="10">
                  <c:v>9891294.5428244434</c:v>
                </c:pt>
                <c:pt idx="11">
                  <c:v>6584131.4576767711</c:v>
                </c:pt>
              </c:numCache>
            </c:numRef>
          </c:val>
          <c:smooth val="0"/>
          <c:extLst>
            <c:ext xmlns:c16="http://schemas.microsoft.com/office/drawing/2014/chart" uri="{C3380CC4-5D6E-409C-BE32-E72D297353CC}">
              <c16:uniqueId val="{00000000-2FE6-4481-AE00-F9F899FA5482}"/>
            </c:ext>
          </c:extLst>
        </c:ser>
        <c:dLbls>
          <c:showLegendKey val="0"/>
          <c:showVal val="0"/>
          <c:showCatName val="0"/>
          <c:showSerName val="0"/>
          <c:showPercent val="0"/>
          <c:showBubbleSize val="0"/>
        </c:dLbls>
        <c:smooth val="0"/>
        <c:axId val="65500879"/>
        <c:axId val="65494223"/>
      </c:lineChart>
      <c:catAx>
        <c:axId val="6550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rgbClr val="DDDDDD"/>
                  </a:solidFill>
                </a:ln>
                <a:solidFill>
                  <a:srgbClr val="C0C0C0"/>
                </a:solidFill>
                <a:latin typeface="+mn-lt"/>
                <a:ea typeface="+mn-ea"/>
                <a:cs typeface="+mn-cs"/>
              </a:defRPr>
            </a:pPr>
            <a:endParaRPr lang="en-US"/>
          </a:p>
        </c:txPr>
        <c:crossAx val="65494223"/>
        <c:crosses val="autoZero"/>
        <c:auto val="1"/>
        <c:lblAlgn val="ctr"/>
        <c:lblOffset val="100"/>
        <c:noMultiLvlLbl val="0"/>
      </c:catAx>
      <c:valAx>
        <c:axId val="65494223"/>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rgbClr val="DDDDDD"/>
                  </a:solidFill>
                </a:ln>
                <a:solidFill>
                  <a:srgbClr val="C0C0C0"/>
                </a:solidFill>
                <a:latin typeface="+mn-lt"/>
                <a:ea typeface="+mn-ea"/>
                <a:cs typeface="+mn-cs"/>
              </a:defRPr>
            </a:pPr>
            <a:endParaRPr lang="en-US"/>
          </a:p>
        </c:txPr>
        <c:crossAx val="6550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851"/>
    </a:solid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[Sales_dashboard.xlsx]Pivot!PivotTable4</c:name>
    <c:fmtId val="2"/>
  </c:pivotSource>
  <c:chart>
    <c:title>
      <c:tx>
        <c:rich>
          <a:bodyPr rot="0" spcFirstLastPara="1" vertOverflow="ellipsis" vert="horz" wrap="square" anchor="ctr" anchorCtr="1"/>
          <a:lstStyle/>
          <a:p>
            <a:pPr algn="ctr" rtl="0">
              <a:defRPr lang="en-US"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r>
              <a:rPr lang="en-US"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t>Sales by Payment Method</a:t>
            </a:r>
          </a:p>
        </c:rich>
      </c:tx>
      <c:layout>
        <c:manualLayout>
          <c:xMode val="edge"/>
          <c:yMode val="edge"/>
          <c:x val="0.12806687207577314"/>
          <c:y val="1.8224899917813307E-2"/>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2F80ED"/>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851"/>
                    </a:solidFill>
                  </a:ln>
                  <a:solidFill>
                    <a:srgbClr val="00285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F80ED"/>
          </a:solidFill>
          <a:ln w="19050">
            <a:noFill/>
          </a:ln>
          <a:effectLst/>
        </c:spPr>
      </c:pivotFmt>
      <c:pivotFmt>
        <c:idx val="8"/>
        <c:spPr>
          <a:solidFill>
            <a:srgbClr val="27AE60"/>
          </a:solidFill>
          <a:ln w="19050">
            <a:noFill/>
          </a:ln>
          <a:effectLst/>
        </c:spPr>
      </c:pivotFmt>
      <c:pivotFmt>
        <c:idx val="9"/>
        <c:spPr>
          <a:solidFill>
            <a:srgbClr val="F2C94C"/>
          </a:solidFill>
          <a:ln w="19050">
            <a:noFill/>
          </a:ln>
          <a:effectLst/>
        </c:spPr>
      </c:pivotFmt>
      <c:pivotFmt>
        <c:idx val="10"/>
        <c:spPr>
          <a:solidFill>
            <a:srgbClr val="A7BBC7"/>
          </a:solidFill>
          <a:ln w="19050">
            <a:noFill/>
          </a:ln>
          <a:effectLst/>
        </c:spPr>
      </c:pivotFmt>
    </c:pivotFmts>
    <c:plotArea>
      <c:layout/>
      <c:pieChart>
        <c:varyColors val="1"/>
        <c:ser>
          <c:idx val="0"/>
          <c:order val="0"/>
          <c:tx>
            <c:strRef>
              <c:f>Pivot!$Y$3</c:f>
              <c:strCache>
                <c:ptCount val="1"/>
                <c:pt idx="0">
                  <c:v>Total</c:v>
                </c:pt>
              </c:strCache>
            </c:strRef>
          </c:tx>
          <c:spPr>
            <a:solidFill>
              <a:srgbClr val="2F80ED"/>
            </a:solidFill>
            <a:ln>
              <a:noFill/>
            </a:ln>
          </c:spPr>
          <c:dPt>
            <c:idx val="0"/>
            <c:bubble3D val="0"/>
            <c:spPr>
              <a:solidFill>
                <a:srgbClr val="2F80ED"/>
              </a:solidFill>
              <a:ln w="19050">
                <a:noFill/>
              </a:ln>
              <a:effectLst/>
            </c:spPr>
            <c:extLst>
              <c:ext xmlns:c16="http://schemas.microsoft.com/office/drawing/2014/chart" uri="{C3380CC4-5D6E-409C-BE32-E72D297353CC}">
                <c16:uniqueId val="{00000001-C9A2-4C24-9308-C08695E79E4B}"/>
              </c:ext>
            </c:extLst>
          </c:dPt>
          <c:dPt>
            <c:idx val="1"/>
            <c:bubble3D val="0"/>
            <c:spPr>
              <a:solidFill>
                <a:srgbClr val="27AE60"/>
              </a:solidFill>
              <a:ln w="19050">
                <a:noFill/>
              </a:ln>
              <a:effectLst/>
            </c:spPr>
            <c:extLst>
              <c:ext xmlns:c16="http://schemas.microsoft.com/office/drawing/2014/chart" uri="{C3380CC4-5D6E-409C-BE32-E72D297353CC}">
                <c16:uniqueId val="{00000003-C9A2-4C24-9308-C08695E79E4B}"/>
              </c:ext>
            </c:extLst>
          </c:dPt>
          <c:dPt>
            <c:idx val="2"/>
            <c:bubble3D val="0"/>
            <c:spPr>
              <a:solidFill>
                <a:srgbClr val="F2C94C"/>
              </a:solidFill>
              <a:ln w="19050">
                <a:noFill/>
              </a:ln>
              <a:effectLst/>
            </c:spPr>
            <c:extLst>
              <c:ext xmlns:c16="http://schemas.microsoft.com/office/drawing/2014/chart" uri="{C3380CC4-5D6E-409C-BE32-E72D297353CC}">
                <c16:uniqueId val="{00000005-C9A2-4C24-9308-C08695E79E4B}"/>
              </c:ext>
            </c:extLst>
          </c:dPt>
          <c:dPt>
            <c:idx val="3"/>
            <c:bubble3D val="0"/>
            <c:spPr>
              <a:solidFill>
                <a:srgbClr val="A7BBC7"/>
              </a:solidFill>
              <a:ln w="19050">
                <a:noFill/>
              </a:ln>
              <a:effectLst/>
            </c:spPr>
            <c:extLst>
              <c:ext xmlns:c16="http://schemas.microsoft.com/office/drawing/2014/chart" uri="{C3380CC4-5D6E-409C-BE32-E72D297353CC}">
                <c16:uniqueId val="{00000007-C9A2-4C24-9308-C08695E79E4B}"/>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851"/>
                      </a:solidFill>
                    </a:ln>
                    <a:solidFill>
                      <a:srgbClr val="00285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Pivot!$X$4:$X$8</c:f>
              <c:strCache>
                <c:ptCount val="4"/>
                <c:pt idx="0">
                  <c:v>Card</c:v>
                </c:pt>
                <c:pt idx="1">
                  <c:v>Cash</c:v>
                </c:pt>
                <c:pt idx="2">
                  <c:v>NetBanking</c:v>
                </c:pt>
                <c:pt idx="3">
                  <c:v>UPI</c:v>
                </c:pt>
              </c:strCache>
            </c:strRef>
          </c:cat>
          <c:val>
            <c:numRef>
              <c:f>Pivot!$Y$4:$Y$8</c:f>
              <c:numCache>
                <c:formatCode>General</c:formatCode>
                <c:ptCount val="4"/>
                <c:pt idx="0">
                  <c:v>34071935.625594407</c:v>
                </c:pt>
                <c:pt idx="1">
                  <c:v>36081787.689673699</c:v>
                </c:pt>
                <c:pt idx="2">
                  <c:v>35055526.103102945</c:v>
                </c:pt>
                <c:pt idx="3">
                  <c:v>32717821.790093791</c:v>
                </c:pt>
              </c:numCache>
            </c:numRef>
          </c:val>
          <c:extLst>
            <c:ext xmlns:c16="http://schemas.microsoft.com/office/drawing/2014/chart" uri="{C3380CC4-5D6E-409C-BE32-E72D297353CC}">
              <c16:uniqueId val="{00000008-C9A2-4C24-9308-C08695E79E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solidFill>
                  <a:srgbClr val="DDDDDD"/>
                </a:solidFill>
              </a:ln>
              <a:solidFill>
                <a:srgbClr val="DDDDDD"/>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85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[Sales_dashboard.xlsx]Pivot!PivotTable5</c:name>
    <c:fmtId val="2"/>
  </c:pivotSource>
  <c:chart>
    <c:title>
      <c:tx>
        <c:rich>
          <a:bodyPr rot="0" spcFirstLastPara="1" vertOverflow="ellipsis" vert="horz" wrap="square" anchor="ctr" anchorCtr="1"/>
          <a:lstStyle/>
          <a:p>
            <a:pPr algn="ctr" rtl="0">
              <a:defRPr lang="en-US"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r>
              <a:rPr lang="en-US" b="1" cap="none" spc="50">
                <a:ln w="9525" cmpd="sng">
                  <a:solidFill>
                    <a:schemeClr val="accent1"/>
                  </a:solidFill>
                  <a:prstDash val="solid"/>
                </a:ln>
                <a:solidFill>
                  <a:srgbClr val="70AD47">
                    <a:tint val="1000"/>
                  </a:srgbClr>
                </a:solidFill>
                <a:effectLst>
                  <a:glow rad="38100">
                    <a:schemeClr val="accent1">
                      <a:alpha val="40000"/>
                    </a:schemeClr>
                  </a:glow>
                </a:effectLst>
              </a:rPr>
              <a:t>Count of Orders by Rating</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DDDD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rgbClr val="002851"/>
                    </a:solidFill>
                  </a:ln>
                  <a:solidFill>
                    <a:srgbClr val="00285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Pivot!$AE$3</c:f>
              <c:strCache>
                <c:ptCount val="1"/>
                <c:pt idx="0">
                  <c:v>Total</c:v>
                </c:pt>
              </c:strCache>
            </c:strRef>
          </c:tx>
          <c:spPr>
            <a:solidFill>
              <a:srgbClr val="DDDDD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rgbClr val="002851"/>
                      </a:solidFill>
                    </a:ln>
                    <a:solidFill>
                      <a:srgbClr val="00285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Pivot!$AD$4:$AD$9</c:f>
              <c:strCache>
                <c:ptCount val="5"/>
                <c:pt idx="0">
                  <c:v>1</c:v>
                </c:pt>
                <c:pt idx="1">
                  <c:v>2</c:v>
                </c:pt>
                <c:pt idx="2">
                  <c:v>3</c:v>
                </c:pt>
                <c:pt idx="3">
                  <c:v>4</c:v>
                </c:pt>
                <c:pt idx="4">
                  <c:v>5</c:v>
                </c:pt>
              </c:strCache>
            </c:strRef>
          </c:cat>
          <c:val>
            <c:numRef>
              <c:f>Pivot!$AE$4:$AE$9</c:f>
              <c:numCache>
                <c:formatCode>General</c:formatCode>
                <c:ptCount val="5"/>
                <c:pt idx="0">
                  <c:v>227</c:v>
                </c:pt>
                <c:pt idx="1">
                  <c:v>219</c:v>
                </c:pt>
                <c:pt idx="2">
                  <c:v>253</c:v>
                </c:pt>
                <c:pt idx="3">
                  <c:v>265</c:v>
                </c:pt>
                <c:pt idx="4">
                  <c:v>236</c:v>
                </c:pt>
              </c:numCache>
            </c:numRef>
          </c:val>
          <c:extLst>
            <c:ext xmlns:c16="http://schemas.microsoft.com/office/drawing/2014/chart" uri="{C3380CC4-5D6E-409C-BE32-E72D297353CC}">
              <c16:uniqueId val="{00000001-31F9-4EAC-9D45-930CBF0A9CA7}"/>
            </c:ext>
          </c:extLst>
        </c:ser>
        <c:dLbls>
          <c:dLblPos val="outEnd"/>
          <c:showLegendKey val="0"/>
          <c:showVal val="1"/>
          <c:showCatName val="0"/>
          <c:showSerName val="0"/>
          <c:showPercent val="0"/>
          <c:showBubbleSize val="0"/>
        </c:dLbls>
        <c:gapWidth val="115"/>
        <c:overlap val="-20"/>
        <c:axId val="386398687"/>
        <c:axId val="386399935"/>
      </c:barChart>
      <c:catAx>
        <c:axId val="386398687"/>
        <c:scaling>
          <c:orientation val="minMax"/>
        </c:scaling>
        <c:delete val="0"/>
        <c:axPos val="l"/>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ln>
                  <a:solidFill>
                    <a:srgbClr val="DDDDDD"/>
                  </a:solidFill>
                </a:ln>
                <a:solidFill>
                  <a:srgbClr val="DDDDDD"/>
                </a:solidFill>
                <a:latin typeface="+mn-lt"/>
                <a:ea typeface="+mn-ea"/>
                <a:cs typeface="+mn-cs"/>
              </a:defRPr>
            </a:pPr>
            <a:endParaRPr lang="en-US"/>
          </a:p>
        </c:txPr>
        <c:crossAx val="386399935"/>
        <c:crosses val="autoZero"/>
        <c:auto val="1"/>
        <c:lblAlgn val="ctr"/>
        <c:lblOffset val="100"/>
        <c:noMultiLvlLbl val="0"/>
      </c:catAx>
      <c:valAx>
        <c:axId val="38639993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rgbClr val="DDDDDD"/>
                  </a:solidFill>
                </a:ln>
                <a:solidFill>
                  <a:srgbClr val="DDDDDD"/>
                </a:solidFill>
                <a:latin typeface="+mn-lt"/>
                <a:ea typeface="+mn-ea"/>
                <a:cs typeface="+mn-cs"/>
              </a:defRPr>
            </a:pPr>
            <a:endParaRPr lang="en-US"/>
          </a:p>
        </c:txPr>
        <c:crossAx val="38639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851"/>
    </a:solidFill>
    <a:ln>
      <a:noFill/>
    </a:ln>
    <a:effectLst/>
  </c:spPr>
  <c:txPr>
    <a:bodyPr/>
    <a:lstStyle/>
    <a:p>
      <a:pPr algn="ctr">
        <a:defRPr lang="en-US" sz="1000" b="0" i="0" u="none" strike="noStrike" kern="1200" baseline="0">
          <a:ln>
            <a:solidFill>
              <a:srgbClr val="DDDDDD"/>
            </a:solidFill>
          </a:ln>
          <a:solidFill>
            <a:srgbClr val="C0C0C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68580</xdr:colOff>
      <xdr:row>8</xdr:row>
      <xdr:rowOff>7620</xdr:rowOff>
    </xdr:from>
    <xdr:to>
      <xdr:col>9</xdr:col>
      <xdr:colOff>281940</xdr:colOff>
      <xdr:row>17</xdr:row>
      <xdr:rowOff>60960</xdr:rowOff>
    </xdr:to>
    <xdr:graphicFrame macro="">
      <xdr:nvGraphicFramePr>
        <xdr:cNvPr id="10" name="Chart 9">
          <a:extLst>
            <a:ext uri="{FF2B5EF4-FFF2-40B4-BE49-F238E27FC236}">
              <a16:creationId xmlns:a16="http://schemas.microsoft.com/office/drawing/2014/main" id="{B5CF7266-B34E-48F6-B666-D060C116F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334084</xdr:colOff>
      <xdr:row>8</xdr:row>
      <xdr:rowOff>7620</xdr:rowOff>
    </xdr:from>
    <xdr:to>
      <xdr:col>14</xdr:col>
      <xdr:colOff>220980</xdr:colOff>
      <xdr:row>29</xdr:row>
      <xdr:rowOff>7620</xdr:rowOff>
    </xdr:to>
    <xdr:graphicFrame macro="">
      <xdr:nvGraphicFramePr>
        <xdr:cNvPr id="11" name="Chart 10">
          <a:extLst>
            <a:ext uri="{FF2B5EF4-FFF2-40B4-BE49-F238E27FC236}">
              <a16:creationId xmlns:a16="http://schemas.microsoft.com/office/drawing/2014/main" id="{D6AFF491-F8F6-409D-B7D1-9A15AF830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17</xdr:row>
      <xdr:rowOff>114300</xdr:rowOff>
    </xdr:from>
    <xdr:to>
      <xdr:col>9</xdr:col>
      <xdr:colOff>281940</xdr:colOff>
      <xdr:row>29</xdr:row>
      <xdr:rowOff>7620</xdr:rowOff>
    </xdr:to>
    <xdr:graphicFrame macro="">
      <xdr:nvGraphicFramePr>
        <xdr:cNvPr id="13" name="Chart 12">
          <a:extLst>
            <a:ext uri="{FF2B5EF4-FFF2-40B4-BE49-F238E27FC236}">
              <a16:creationId xmlns:a16="http://schemas.microsoft.com/office/drawing/2014/main" id="{4E4F9C57-4903-413F-B744-133742686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289560</xdr:colOff>
      <xdr:row>12</xdr:row>
      <xdr:rowOff>99060</xdr:rowOff>
    </xdr:from>
    <xdr:to>
      <xdr:col>18</xdr:col>
      <xdr:colOff>304800</xdr:colOff>
      <xdr:row>29</xdr:row>
      <xdr:rowOff>7620</xdr:rowOff>
    </xdr:to>
    <xdr:graphicFrame macro="">
      <xdr:nvGraphicFramePr>
        <xdr:cNvPr id="14" name="Chart 13">
          <a:extLst>
            <a:ext uri="{FF2B5EF4-FFF2-40B4-BE49-F238E27FC236}">
              <a16:creationId xmlns:a16="http://schemas.microsoft.com/office/drawing/2014/main" id="{00AFF414-6C02-4A1C-881E-7C513B786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281940</xdr:colOff>
      <xdr:row>2</xdr:row>
      <xdr:rowOff>114300</xdr:rowOff>
    </xdr:from>
    <xdr:to>
      <xdr:col>22</xdr:col>
      <xdr:colOff>289560</xdr:colOff>
      <xdr:row>12</xdr:row>
      <xdr:rowOff>38100</xdr:rowOff>
    </xdr:to>
    <xdr:graphicFrame macro="">
      <xdr:nvGraphicFramePr>
        <xdr:cNvPr id="15" name="Chart 14">
          <a:extLst>
            <a:ext uri="{FF2B5EF4-FFF2-40B4-BE49-F238E27FC236}">
              <a16:creationId xmlns:a16="http://schemas.microsoft.com/office/drawing/2014/main" id="{069B5CF7-E53D-4363-A3A1-7F061BF88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137160</xdr:rowOff>
    </xdr:from>
    <xdr:to>
      <xdr:col>3</xdr:col>
      <xdr:colOff>1</xdr:colOff>
      <xdr:row>11</xdr:row>
      <xdr:rowOff>0</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B764FA52-7CC2-4BEB-A79C-1E7F401ACB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02920"/>
              <a:ext cx="1828801"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106680</xdr:rowOff>
    </xdr:from>
    <xdr:to>
      <xdr:col>3</xdr:col>
      <xdr:colOff>0</xdr:colOff>
      <xdr:row>22</xdr:row>
      <xdr:rowOff>129540</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C28AF606-1AAF-4F5E-8FC5-18645A96BAD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2118360"/>
              <a:ext cx="182880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30480</xdr:rowOff>
    </xdr:from>
    <xdr:to>
      <xdr:col>3</xdr:col>
      <xdr:colOff>0</xdr:colOff>
      <xdr:row>29</xdr:row>
      <xdr:rowOff>15240</xdr:rowOff>
    </xdr:to>
    <mc:AlternateContent xmlns:mc="http://schemas.openxmlformats.org/markup-compatibility/2006" xmlns:a14="http://schemas.microsoft.com/office/drawing/2010/main">
      <mc:Choice Requires="a14">
        <xdr:graphicFrame macro="">
          <xdr:nvGraphicFramePr>
            <xdr:cNvPr id="21" name="OrderYear">
              <a:extLst>
                <a:ext uri="{FF2B5EF4-FFF2-40B4-BE49-F238E27FC236}">
                  <a16:creationId xmlns:a16="http://schemas.microsoft.com/office/drawing/2014/main" id="{D8E20400-CEBA-42E2-B11A-A3F2EF4EA26C}"/>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mlns="">
        <xdr:sp macro="" textlink="">
          <xdr:nvSpPr>
            <xdr:cNvPr id="0" name=""/>
            <xdr:cNvSpPr>
              <a:spLocks noTextEdit="1"/>
            </xdr:cNvSpPr>
          </xdr:nvSpPr>
          <xdr:spPr>
            <a:xfrm>
              <a:off x="0" y="4236720"/>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0</xdr:rowOff>
    </xdr:from>
    <xdr:to>
      <xdr:col>22</xdr:col>
      <xdr:colOff>502920</xdr:colOff>
      <xdr:row>2</xdr:row>
      <xdr:rowOff>67236</xdr:rowOff>
    </xdr:to>
    <xdr:sp macro="" textlink="">
      <xdr:nvSpPr>
        <xdr:cNvPr id="28" name="TextBox 27">
          <a:extLst>
            <a:ext uri="{FF2B5EF4-FFF2-40B4-BE49-F238E27FC236}">
              <a16:creationId xmlns:a16="http://schemas.microsoft.com/office/drawing/2014/main" id="{A4B7E545-1DEC-4CBD-BF0B-C9604133D517}"/>
            </a:ext>
          </a:extLst>
        </xdr:cNvPr>
        <xdr:cNvSpPr txBox="1"/>
      </xdr:nvSpPr>
      <xdr:spPr>
        <a:xfrm>
          <a:off x="7620" y="0"/>
          <a:ext cx="14592300" cy="432996"/>
        </a:xfrm>
        <a:prstGeom prst="rect">
          <a:avLst/>
        </a:prstGeom>
        <a:solidFill>
          <a:srgbClr val="002851"/>
        </a:solidFill>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2400" b="1" cap="none" spc="50">
              <a:ln w="9525" cmpd="sng">
                <a:solidFill>
                  <a:schemeClr val="accent1"/>
                </a:solidFill>
                <a:prstDash val="solid"/>
              </a:ln>
              <a:solidFill>
                <a:srgbClr val="70AD47">
                  <a:tint val="1000"/>
                </a:srgbClr>
              </a:solidFill>
              <a:effectLst>
                <a:glow rad="38100">
                  <a:schemeClr val="accent1">
                    <a:alpha val="40000"/>
                  </a:schemeClr>
                </a:glow>
              </a:effectLst>
              <a:latin typeface="Segoe UI Semibold" panose="020B0702040204020203" pitchFamily="34" charset="0"/>
              <a:cs typeface="Segoe UI Semibold" panose="020B0702040204020203" pitchFamily="34" charset="0"/>
            </a:rPr>
            <a:t>"Sales Performance Dashboard</a:t>
          </a:r>
          <a:r>
            <a:rPr lang="en-IN" sz="2400" b="1"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Segoe UI Semibold" panose="020B0702040204020203" pitchFamily="34" charset="0"/>
              <a:cs typeface="Segoe UI Semibold" panose="020B0702040204020203" pitchFamily="34" charset="0"/>
            </a:rPr>
            <a:t> - India Retail Analysis"</a:t>
          </a:r>
          <a:endParaRPr lang="en-IN" sz="2400" b="1" cap="none" spc="50">
            <a:ln w="9525" cmpd="sng">
              <a:solidFill>
                <a:schemeClr val="accent1"/>
              </a:solidFill>
              <a:prstDash val="solid"/>
            </a:ln>
            <a:solidFill>
              <a:srgbClr val="70AD47">
                <a:tint val="1000"/>
              </a:srgbClr>
            </a:solidFill>
            <a:effectLst>
              <a:glow rad="38100">
                <a:schemeClr val="accent1">
                  <a:alpha val="40000"/>
                </a:schemeClr>
              </a:glow>
            </a:effectLst>
            <a:latin typeface="Segoe UI Semibold" panose="020B0702040204020203" pitchFamily="34" charset="0"/>
            <a:cs typeface="Segoe UI Semibold" panose="020B0702040204020203" pitchFamily="34" charset="0"/>
          </a:endParaRPr>
        </a:p>
      </xdr:txBody>
    </xdr:sp>
    <xdr:clientData/>
  </xdr:twoCellAnchor>
  <xdr:twoCellAnchor>
    <xdr:from>
      <xdr:col>3</xdr:col>
      <xdr:colOff>77096</xdr:colOff>
      <xdr:row>2</xdr:row>
      <xdr:rowOff>126851</xdr:rowOff>
    </xdr:from>
    <xdr:to>
      <xdr:col>5</xdr:col>
      <xdr:colOff>0</xdr:colOff>
      <xdr:row>7</xdr:row>
      <xdr:rowOff>152400</xdr:rowOff>
    </xdr:to>
    <xdr:grpSp>
      <xdr:nvGrpSpPr>
        <xdr:cNvPr id="9" name="Group 8">
          <a:extLst>
            <a:ext uri="{FF2B5EF4-FFF2-40B4-BE49-F238E27FC236}">
              <a16:creationId xmlns:a16="http://schemas.microsoft.com/office/drawing/2014/main" id="{55C9D5C8-A45C-485B-83B3-7F5F72B3D490}"/>
            </a:ext>
          </a:extLst>
        </xdr:cNvPr>
        <xdr:cNvGrpSpPr/>
      </xdr:nvGrpSpPr>
      <xdr:grpSpPr>
        <a:xfrm>
          <a:off x="1905896" y="492611"/>
          <a:ext cx="1827904" cy="939949"/>
          <a:chOff x="2164977" y="500231"/>
          <a:chExt cx="2596777" cy="1280608"/>
        </a:xfrm>
      </xdr:grpSpPr>
      <xdr:sp macro="" textlink="$D$2">
        <xdr:nvSpPr>
          <xdr:cNvPr id="23" name="Rectangle: Rounded Corners 22">
            <a:extLst>
              <a:ext uri="{FF2B5EF4-FFF2-40B4-BE49-F238E27FC236}">
                <a16:creationId xmlns:a16="http://schemas.microsoft.com/office/drawing/2014/main" id="{0FD153B2-E3C8-4A57-B12B-0457A802475F}"/>
              </a:ext>
            </a:extLst>
          </xdr:cNvPr>
          <xdr:cNvSpPr/>
        </xdr:nvSpPr>
        <xdr:spPr>
          <a:xfrm>
            <a:off x="2167358" y="500231"/>
            <a:ext cx="2594396" cy="127268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FE57D383-55AF-4ED1-B0CA-9E4531C2A41F}" type="TxLink">
              <a:rPr lang="en-US" sz="1600" b="1" i="0" u="none" strike="noStrike">
                <a:solidFill>
                  <a:srgbClr val="333333"/>
                </a:solidFill>
                <a:latin typeface="Segoe UI Semibold" panose="020B0702040204020203" pitchFamily="34" charset="0"/>
                <a:ea typeface="Calibri"/>
                <a:cs typeface="Segoe UI Semibold" panose="020B0702040204020203" pitchFamily="34" charset="0"/>
              </a:rPr>
              <a:pPr algn="ctr"/>
              <a:t>₹ 13,79,27,071.21</a:t>
            </a:fld>
            <a:endParaRPr lang="en-IN" sz="1600" b="1">
              <a:solidFill>
                <a:srgbClr val="333333"/>
              </a:solidFill>
              <a:latin typeface="Segoe UI Semibold" panose="020B0702040204020203" pitchFamily="34" charset="0"/>
              <a:cs typeface="Segoe UI Semibold" panose="020B0702040204020203" pitchFamily="34" charset="0"/>
            </a:endParaRPr>
          </a:p>
        </xdr:txBody>
      </xdr:sp>
      <xdr:sp macro="" textlink="">
        <xdr:nvSpPr>
          <xdr:cNvPr id="6" name="Rectangle: Rounded Corners 5">
            <a:extLst>
              <a:ext uri="{FF2B5EF4-FFF2-40B4-BE49-F238E27FC236}">
                <a16:creationId xmlns:a16="http://schemas.microsoft.com/office/drawing/2014/main" id="{F85789FB-4FCD-4167-8B2F-AEBB518C88A8}"/>
              </a:ext>
            </a:extLst>
          </xdr:cNvPr>
          <xdr:cNvSpPr/>
        </xdr:nvSpPr>
        <xdr:spPr>
          <a:xfrm>
            <a:off x="2164977" y="1269551"/>
            <a:ext cx="2596776" cy="511288"/>
          </a:xfrm>
          <a:prstGeom prst="roundRect">
            <a:avLst>
              <a:gd name="adj" fmla="val 39055"/>
            </a:avLst>
          </a:prstGeom>
          <a:solidFill>
            <a:srgbClr val="00285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29" name="TextBox 28">
            <a:extLst>
              <a:ext uri="{FF2B5EF4-FFF2-40B4-BE49-F238E27FC236}">
                <a16:creationId xmlns:a16="http://schemas.microsoft.com/office/drawing/2014/main" id="{43D52742-8F5D-49CD-9004-B56DB1F0E6AA}"/>
              </a:ext>
            </a:extLst>
          </xdr:cNvPr>
          <xdr:cNvSpPr txBox="1"/>
        </xdr:nvSpPr>
        <xdr:spPr>
          <a:xfrm>
            <a:off x="2357296" y="1332454"/>
            <a:ext cx="2247575" cy="358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mn-lt"/>
              </a:rPr>
              <a:t>Total Sales</a:t>
            </a:r>
          </a:p>
        </xdr:txBody>
      </xdr:sp>
    </xdr:grpSp>
    <xdr:clientData/>
  </xdr:twoCellAnchor>
  <xdr:twoCellAnchor>
    <xdr:from>
      <xdr:col>5</xdr:col>
      <xdr:colOff>63680</xdr:colOff>
      <xdr:row>2</xdr:row>
      <xdr:rowOff>127598</xdr:rowOff>
    </xdr:from>
    <xdr:to>
      <xdr:col>8</xdr:col>
      <xdr:colOff>63680</xdr:colOff>
      <xdr:row>7</xdr:row>
      <xdr:rowOff>152798</xdr:rowOff>
    </xdr:to>
    <xdr:grpSp>
      <xdr:nvGrpSpPr>
        <xdr:cNvPr id="8" name="Group 7">
          <a:extLst>
            <a:ext uri="{FF2B5EF4-FFF2-40B4-BE49-F238E27FC236}">
              <a16:creationId xmlns:a16="http://schemas.microsoft.com/office/drawing/2014/main" id="{569528A8-13F0-4220-BAC2-EC0FEC73EC93}"/>
            </a:ext>
          </a:extLst>
        </xdr:cNvPr>
        <xdr:cNvGrpSpPr/>
      </xdr:nvGrpSpPr>
      <xdr:grpSpPr>
        <a:xfrm>
          <a:off x="3797480" y="493358"/>
          <a:ext cx="1828800" cy="939600"/>
          <a:chOff x="4784166" y="462878"/>
          <a:chExt cx="2590797" cy="1305562"/>
        </a:xfrm>
      </xdr:grpSpPr>
      <xdr:sp macro="" textlink="$E$2">
        <xdr:nvSpPr>
          <xdr:cNvPr id="26" name="Rectangle: Rounded Corners 25">
            <a:extLst>
              <a:ext uri="{FF2B5EF4-FFF2-40B4-BE49-F238E27FC236}">
                <a16:creationId xmlns:a16="http://schemas.microsoft.com/office/drawing/2014/main" id="{657411C2-0891-4D18-9D76-67185C1768D5}"/>
              </a:ext>
            </a:extLst>
          </xdr:cNvPr>
          <xdr:cNvSpPr/>
        </xdr:nvSpPr>
        <xdr:spPr>
          <a:xfrm>
            <a:off x="4784166" y="462878"/>
            <a:ext cx="2587247" cy="127430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C5C10937-13B3-4A0A-AF4A-498A106AB038}" type="TxLink">
              <a:rPr lang="en-US" sz="2400" b="1" i="0" u="none" strike="noStrike">
                <a:solidFill>
                  <a:srgbClr val="333333"/>
                </a:solidFill>
                <a:latin typeface="Segoe UI Semibold" panose="020B0702040204020203" pitchFamily="34" charset="0"/>
                <a:ea typeface="Calibri"/>
                <a:cs typeface="Segoe UI Semibold" panose="020B0702040204020203" pitchFamily="34" charset="0"/>
              </a:rPr>
              <a:pPr marL="0" indent="0" algn="ctr"/>
              <a:t>5</a:t>
            </a:fld>
            <a:endParaRPr lang="en-IN" sz="2400" b="1" i="0" u="none" strike="noStrike">
              <a:solidFill>
                <a:srgbClr val="333333"/>
              </a:solidFill>
              <a:latin typeface="Segoe UI Semibold" panose="020B0702040204020203" pitchFamily="34" charset="0"/>
              <a:ea typeface="Calibri"/>
              <a:cs typeface="Segoe UI Semibold" panose="020B0702040204020203" pitchFamily="34" charset="0"/>
            </a:endParaRPr>
          </a:p>
        </xdr:txBody>
      </xdr:sp>
      <xdr:sp macro="" textlink="">
        <xdr:nvSpPr>
          <xdr:cNvPr id="30" name="Rectangle: Rounded Corners 29">
            <a:extLst>
              <a:ext uri="{FF2B5EF4-FFF2-40B4-BE49-F238E27FC236}">
                <a16:creationId xmlns:a16="http://schemas.microsoft.com/office/drawing/2014/main" id="{B052807C-3772-494C-91B9-C6D00157FB0F}"/>
              </a:ext>
            </a:extLst>
          </xdr:cNvPr>
          <xdr:cNvSpPr/>
        </xdr:nvSpPr>
        <xdr:spPr>
          <a:xfrm>
            <a:off x="4787152" y="1257152"/>
            <a:ext cx="2587811" cy="511288"/>
          </a:xfrm>
          <a:prstGeom prst="roundRect">
            <a:avLst>
              <a:gd name="adj" fmla="val 39055"/>
            </a:avLst>
          </a:prstGeom>
          <a:solidFill>
            <a:srgbClr val="00285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79BFE5E4-9CF3-4EB5-B474-81D277445BB2}"/>
              </a:ext>
            </a:extLst>
          </xdr:cNvPr>
          <xdr:cNvSpPr txBox="1"/>
        </xdr:nvSpPr>
        <xdr:spPr>
          <a:xfrm>
            <a:off x="4791635" y="1226820"/>
            <a:ext cx="2580341" cy="5334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IN" sz="1200" b="1" i="0" u="none" strike="noStrike">
                <a:solidFill>
                  <a:schemeClr val="bg1"/>
                </a:solidFill>
                <a:latin typeface="Segoe UI Semibold" panose="020B0702040204020203" pitchFamily="34" charset="0"/>
                <a:ea typeface="Calibri"/>
                <a:cs typeface="Segoe UI Semibold" panose="020B0702040204020203" pitchFamily="34" charset="0"/>
              </a:rPr>
              <a:t>Average Delivery Days</a:t>
            </a:r>
          </a:p>
        </xdr:txBody>
      </xdr:sp>
    </xdr:grpSp>
    <xdr:clientData/>
  </xdr:twoCellAnchor>
  <xdr:twoCellAnchor>
    <xdr:from>
      <xdr:col>8</xdr:col>
      <xdr:colOff>118844</xdr:colOff>
      <xdr:row>2</xdr:row>
      <xdr:rowOff>129540</xdr:rowOff>
    </xdr:from>
    <xdr:to>
      <xdr:col>11</xdr:col>
      <xdr:colOff>118844</xdr:colOff>
      <xdr:row>7</xdr:row>
      <xdr:rowOff>154740</xdr:rowOff>
    </xdr:to>
    <xdr:grpSp>
      <xdr:nvGrpSpPr>
        <xdr:cNvPr id="12" name="Group 11">
          <a:extLst>
            <a:ext uri="{FF2B5EF4-FFF2-40B4-BE49-F238E27FC236}">
              <a16:creationId xmlns:a16="http://schemas.microsoft.com/office/drawing/2014/main" id="{39AC2AD9-E0F1-4D59-993C-C9733BE93EEE}"/>
            </a:ext>
          </a:extLst>
        </xdr:cNvPr>
        <xdr:cNvGrpSpPr/>
      </xdr:nvGrpSpPr>
      <xdr:grpSpPr>
        <a:xfrm>
          <a:off x="5681444" y="495300"/>
          <a:ext cx="1828800" cy="939600"/>
          <a:chOff x="7706062" y="510540"/>
          <a:chExt cx="2599731" cy="1286884"/>
        </a:xfrm>
      </xdr:grpSpPr>
      <xdr:sp macro="" textlink="$F$2">
        <xdr:nvSpPr>
          <xdr:cNvPr id="25" name="Rectangle: Rounded Corners 24">
            <a:extLst>
              <a:ext uri="{FF2B5EF4-FFF2-40B4-BE49-F238E27FC236}">
                <a16:creationId xmlns:a16="http://schemas.microsoft.com/office/drawing/2014/main" id="{5F62CAB3-6C60-4DB1-BEE8-2270648842EA}"/>
              </a:ext>
            </a:extLst>
          </xdr:cNvPr>
          <xdr:cNvSpPr/>
        </xdr:nvSpPr>
        <xdr:spPr>
          <a:xfrm>
            <a:off x="7710193" y="510540"/>
            <a:ext cx="2595600" cy="1274400"/>
          </a:xfrm>
          <a:prstGeom prst="roundRect">
            <a:avLst>
              <a:gd name="adj" fmla="val 18871"/>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82912695-E5EE-4BC5-B8D1-32A87E87C563}" type="TxLink">
              <a:rPr lang="en-US" sz="2800" b="1" i="0" u="none" strike="noStrike">
                <a:solidFill>
                  <a:srgbClr val="333333"/>
                </a:solidFill>
                <a:latin typeface="Segoe UI Semibold" panose="020B0702040204020203" pitchFamily="34" charset="0"/>
                <a:ea typeface="Calibri"/>
                <a:cs typeface="Segoe UI Semibold" panose="020B0702040204020203" pitchFamily="34" charset="0"/>
              </a:rPr>
              <a:pPr marL="0" indent="0" algn="ctr"/>
              <a:t>1200</a:t>
            </a:fld>
            <a:endParaRPr lang="en-IN" sz="2800" b="1" i="0" u="none" strike="noStrike">
              <a:solidFill>
                <a:srgbClr val="333333"/>
              </a:solidFill>
              <a:latin typeface="Segoe UI Semibold" panose="020B0702040204020203" pitchFamily="34" charset="0"/>
              <a:ea typeface="Calibri"/>
              <a:cs typeface="Segoe UI Semibold" panose="020B0702040204020203" pitchFamily="34" charset="0"/>
            </a:endParaRPr>
          </a:p>
        </xdr:txBody>
      </xdr:sp>
      <xdr:sp macro="" textlink="">
        <xdr:nvSpPr>
          <xdr:cNvPr id="31" name="Rectangle: Rounded Corners 30">
            <a:extLst>
              <a:ext uri="{FF2B5EF4-FFF2-40B4-BE49-F238E27FC236}">
                <a16:creationId xmlns:a16="http://schemas.microsoft.com/office/drawing/2014/main" id="{4311616C-153C-4267-B296-EA17E990A7E7}"/>
              </a:ext>
            </a:extLst>
          </xdr:cNvPr>
          <xdr:cNvSpPr/>
        </xdr:nvSpPr>
        <xdr:spPr>
          <a:xfrm>
            <a:off x="7706062" y="1286136"/>
            <a:ext cx="2596776" cy="511288"/>
          </a:xfrm>
          <a:prstGeom prst="roundRect">
            <a:avLst>
              <a:gd name="adj" fmla="val 39055"/>
            </a:avLst>
          </a:prstGeom>
          <a:solidFill>
            <a:srgbClr val="00285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AD3CA4E3-D147-4C37-9CFE-5996AD705DBF}"/>
              </a:ext>
            </a:extLst>
          </xdr:cNvPr>
          <xdr:cNvSpPr txBox="1"/>
        </xdr:nvSpPr>
        <xdr:spPr>
          <a:xfrm>
            <a:off x="8168641" y="1356360"/>
            <a:ext cx="17449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Segoe UI Semibold" panose="020B0702040204020203" pitchFamily="34" charset="0"/>
                <a:cs typeface="Segoe UI Semibold" panose="020B0702040204020203" pitchFamily="34" charset="0"/>
              </a:rPr>
              <a:t>Total</a:t>
            </a:r>
            <a:r>
              <a:rPr lang="en-IN" sz="1400" b="1" baseline="0">
                <a:solidFill>
                  <a:schemeClr val="bg1"/>
                </a:solidFill>
              </a:rPr>
              <a:t> </a:t>
            </a:r>
            <a:r>
              <a:rPr lang="en-IN" sz="1400" b="1" baseline="0">
                <a:solidFill>
                  <a:schemeClr val="bg1"/>
                </a:solidFill>
                <a:latin typeface="Segoe UI Semibold" panose="020B0702040204020203" pitchFamily="34" charset="0"/>
                <a:cs typeface="Segoe UI Semibold" panose="020B0702040204020203" pitchFamily="34" charset="0"/>
              </a:rPr>
              <a:t>Orders</a:t>
            </a:r>
            <a:endParaRPr lang="en-IN" sz="1400" b="1">
              <a:solidFill>
                <a:schemeClr val="bg1"/>
              </a:solidFill>
              <a:latin typeface="Segoe UI Semibold" panose="020B0702040204020203" pitchFamily="34" charset="0"/>
              <a:cs typeface="Segoe UI Semibold" panose="020B0702040204020203" pitchFamily="34" charset="0"/>
            </a:endParaRPr>
          </a:p>
        </xdr:txBody>
      </xdr:sp>
    </xdr:grpSp>
    <xdr:clientData/>
  </xdr:twoCellAnchor>
  <xdr:twoCellAnchor>
    <xdr:from>
      <xdr:col>11</xdr:col>
      <xdr:colOff>197399</xdr:colOff>
      <xdr:row>2</xdr:row>
      <xdr:rowOff>131634</xdr:rowOff>
    </xdr:from>
    <xdr:to>
      <xdr:col>14</xdr:col>
      <xdr:colOff>197399</xdr:colOff>
      <xdr:row>7</xdr:row>
      <xdr:rowOff>156834</xdr:rowOff>
    </xdr:to>
    <xdr:grpSp>
      <xdr:nvGrpSpPr>
        <xdr:cNvPr id="16" name="Group 15">
          <a:extLst>
            <a:ext uri="{FF2B5EF4-FFF2-40B4-BE49-F238E27FC236}">
              <a16:creationId xmlns:a16="http://schemas.microsoft.com/office/drawing/2014/main" id="{EF6DA1D0-834A-4066-9D66-A50ED3401311}"/>
            </a:ext>
          </a:extLst>
        </xdr:cNvPr>
        <xdr:cNvGrpSpPr/>
      </xdr:nvGrpSpPr>
      <xdr:grpSpPr>
        <a:xfrm>
          <a:off x="7588799" y="497394"/>
          <a:ext cx="1828800" cy="939600"/>
          <a:chOff x="10682519" y="565974"/>
          <a:chExt cx="2599200" cy="1278814"/>
        </a:xfrm>
      </xdr:grpSpPr>
      <xdr:sp macro="" textlink="$G$2">
        <xdr:nvSpPr>
          <xdr:cNvPr id="27" name="Rectangle: Rounded Corners 26">
            <a:extLst>
              <a:ext uri="{FF2B5EF4-FFF2-40B4-BE49-F238E27FC236}">
                <a16:creationId xmlns:a16="http://schemas.microsoft.com/office/drawing/2014/main" id="{4616C20C-8141-4A8E-BC4D-487E66C1F31D}"/>
              </a:ext>
            </a:extLst>
          </xdr:cNvPr>
          <xdr:cNvSpPr/>
        </xdr:nvSpPr>
        <xdr:spPr>
          <a:xfrm>
            <a:off x="10682519" y="565974"/>
            <a:ext cx="2599200" cy="1274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F19E795D-3AB3-4151-951C-506EE1484B0F}" type="TxLink">
              <a:rPr lang="en-US" sz="2800" b="1" i="0" u="none" strike="noStrike">
                <a:solidFill>
                  <a:srgbClr val="333333"/>
                </a:solidFill>
                <a:latin typeface="Segoe UI Semibold" panose="020B0702040204020203" pitchFamily="34" charset="0"/>
                <a:ea typeface="Calibri"/>
                <a:cs typeface="Segoe UI Semibold" panose="020B0702040204020203" pitchFamily="34" charset="0"/>
              </a:rPr>
              <a:pPr marL="0" indent="0" algn="ctr"/>
              <a:t>3</a:t>
            </a:fld>
            <a:endParaRPr lang="en-IN" sz="2800" b="1" i="0" u="none" strike="noStrike">
              <a:solidFill>
                <a:srgbClr val="333333"/>
              </a:solidFill>
              <a:latin typeface="Segoe UI Semibold" panose="020B0702040204020203" pitchFamily="34" charset="0"/>
              <a:ea typeface="Calibri"/>
              <a:cs typeface="Segoe UI Semibold" panose="020B0702040204020203" pitchFamily="34" charset="0"/>
            </a:endParaRPr>
          </a:p>
        </xdr:txBody>
      </xdr:sp>
      <xdr:sp macro="" textlink="">
        <xdr:nvSpPr>
          <xdr:cNvPr id="32" name="Rectangle: Rounded Corners 31">
            <a:extLst>
              <a:ext uri="{FF2B5EF4-FFF2-40B4-BE49-F238E27FC236}">
                <a16:creationId xmlns:a16="http://schemas.microsoft.com/office/drawing/2014/main" id="{4F12EA4A-F174-4C0F-8B8B-726B204FBF1C}"/>
              </a:ext>
            </a:extLst>
          </xdr:cNvPr>
          <xdr:cNvSpPr/>
        </xdr:nvSpPr>
        <xdr:spPr>
          <a:xfrm>
            <a:off x="10683240" y="1333500"/>
            <a:ext cx="2596776" cy="511288"/>
          </a:xfrm>
          <a:prstGeom prst="roundRect">
            <a:avLst>
              <a:gd name="adj" fmla="val 39055"/>
            </a:avLst>
          </a:prstGeom>
          <a:solidFill>
            <a:srgbClr val="00285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401D50E9-CFA7-4A04-AD51-C6C8772A4205}"/>
              </a:ext>
            </a:extLst>
          </xdr:cNvPr>
          <xdr:cNvSpPr txBox="1"/>
        </xdr:nvSpPr>
        <xdr:spPr>
          <a:xfrm>
            <a:off x="10989589" y="1412802"/>
            <a:ext cx="2030399" cy="30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Segoe UI Semibold" panose="020B0702040204020203" pitchFamily="34" charset="0"/>
                <a:cs typeface="Segoe UI Semibold" panose="020B0702040204020203" pitchFamily="34" charset="0"/>
              </a:rPr>
              <a:t>Average Rating</a:t>
            </a:r>
          </a:p>
        </xdr:txBody>
      </xdr:sp>
    </xdr:grpSp>
    <xdr:clientData/>
  </xdr:twoCellAnchor>
  <xdr:twoCellAnchor>
    <xdr:from>
      <xdr:col>18</xdr:col>
      <xdr:colOff>381000</xdr:colOff>
      <xdr:row>12</xdr:row>
      <xdr:rowOff>99060</xdr:rowOff>
    </xdr:from>
    <xdr:to>
      <xdr:col>22</xdr:col>
      <xdr:colOff>289560</xdr:colOff>
      <xdr:row>29</xdr:row>
      <xdr:rowOff>38100</xdr:rowOff>
    </xdr:to>
    <xdr:sp macro="" textlink="">
      <xdr:nvSpPr>
        <xdr:cNvPr id="2" name="TextBox 1">
          <a:extLst>
            <a:ext uri="{FF2B5EF4-FFF2-40B4-BE49-F238E27FC236}">
              <a16:creationId xmlns:a16="http://schemas.microsoft.com/office/drawing/2014/main" id="{75CAE31D-C8E4-4E17-8A6B-9D40B7231B57}"/>
            </a:ext>
          </a:extLst>
        </xdr:cNvPr>
        <xdr:cNvSpPr txBox="1"/>
      </xdr:nvSpPr>
      <xdr:spPr>
        <a:xfrm>
          <a:off x="12039600" y="2293620"/>
          <a:ext cx="2346960" cy="3048000"/>
        </a:xfrm>
        <a:prstGeom prst="rect">
          <a:avLst/>
        </a:prstGeom>
        <a:solidFill>
          <a:srgbClr val="F5F7F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rgbClr val="002851"/>
              </a:solidFill>
              <a:latin typeface="Arial Black" panose="020B0A04020102020204" pitchFamily="34" charset="0"/>
              <a:cs typeface="Arial" panose="020B0604020202020204" pitchFamily="34" charset="0"/>
            </a:rPr>
            <a:t>Key</a:t>
          </a:r>
          <a:r>
            <a:rPr lang="en-IN" sz="1200" b="1" u="sng" baseline="0">
              <a:solidFill>
                <a:srgbClr val="002851"/>
              </a:solidFill>
              <a:latin typeface="Arial Black" panose="020B0A04020102020204" pitchFamily="34" charset="0"/>
              <a:cs typeface="Arial" panose="020B0604020202020204" pitchFamily="34" charset="0"/>
            </a:rPr>
            <a:t> Insights</a:t>
          </a:r>
        </a:p>
        <a:p>
          <a:pPr marL="0" lvl="0" indent="0" algn="l"/>
          <a:r>
            <a:rPr lang="en-IN" sz="1100" b="0">
              <a:solidFill>
                <a:srgbClr val="002851"/>
              </a:solidFill>
              <a:effectLst/>
              <a:latin typeface="+mn-lt"/>
              <a:ea typeface="+mn-ea"/>
              <a:cs typeface="+mn-cs"/>
            </a:rPr>
            <a:t>• Sales are evenly distributed across regions, with South slightly leading and North marginally lower.</a:t>
          </a:r>
        </a:p>
        <a:p>
          <a:pPr lvl="0" algn="l"/>
          <a:r>
            <a:rPr lang="en-IN" sz="1100" b="0">
              <a:solidFill>
                <a:srgbClr val="002851"/>
              </a:solidFill>
              <a:effectLst/>
              <a:latin typeface="+mn-lt"/>
              <a:ea typeface="+mn-ea"/>
              <a:cs typeface="+mn-cs"/>
            </a:rPr>
            <a:t>•  Tablets are the top-selling</a:t>
          </a:r>
          <a:r>
            <a:rPr lang="en-IN" sz="1100" b="0" baseline="0">
              <a:solidFill>
                <a:srgbClr val="002851"/>
              </a:solidFill>
              <a:effectLst/>
              <a:latin typeface="+mn-lt"/>
              <a:ea typeface="+mn-ea"/>
              <a:cs typeface="+mn-cs"/>
            </a:rPr>
            <a:t> product, while headphones show slightly lower sales compared to others.</a:t>
          </a:r>
          <a:endParaRPr lang="en-IN" sz="1100" b="0" u="none" spc="0" baseline="0">
            <a:solidFill>
              <a:srgbClr val="002851"/>
            </a:solidFill>
            <a:latin typeface="+mn-lt"/>
            <a:cs typeface="Arial" panose="020B0604020202020204" pitchFamily="34" charset="0"/>
          </a:endParaRPr>
        </a:p>
        <a:p>
          <a:pPr lvl="0" algn="l"/>
          <a:r>
            <a:rPr lang="en-IN" sz="1100" b="0">
              <a:solidFill>
                <a:srgbClr val="002851"/>
              </a:solidFill>
              <a:effectLst/>
              <a:latin typeface="+mn-lt"/>
              <a:ea typeface="+mn-ea"/>
              <a:cs typeface="+mn-cs"/>
            </a:rPr>
            <a:t>•  Sales were slightly higher in 2023 than</a:t>
          </a:r>
          <a:r>
            <a:rPr lang="en-IN" sz="1100" b="0" baseline="0">
              <a:solidFill>
                <a:srgbClr val="002851"/>
              </a:solidFill>
              <a:effectLst/>
              <a:latin typeface="+mn-lt"/>
              <a:ea typeface="+mn-ea"/>
              <a:cs typeface="+mn-cs"/>
            </a:rPr>
            <a:t> 2024, with a mid-year dip in 2023 and a year-end decline in 2024.</a:t>
          </a:r>
        </a:p>
        <a:p>
          <a:pPr lvl="0" algn="l"/>
          <a:r>
            <a:rPr lang="en-IN" sz="1100" b="0">
              <a:solidFill>
                <a:srgbClr val="002851"/>
              </a:solidFill>
              <a:effectLst/>
              <a:latin typeface="+mn-lt"/>
              <a:ea typeface="+mn-ea"/>
              <a:cs typeface="+mn-cs"/>
            </a:rPr>
            <a:t>•  Payment</a:t>
          </a:r>
          <a:r>
            <a:rPr lang="en-IN" sz="1100" b="0" baseline="0">
              <a:solidFill>
                <a:srgbClr val="002851"/>
              </a:solidFill>
              <a:effectLst/>
              <a:latin typeface="+mn-lt"/>
              <a:ea typeface="+mn-ea"/>
              <a:cs typeface="+mn-cs"/>
            </a:rPr>
            <a:t> Methods are evenly distributed, with no strong preference, though Cash is slightly higher among all.</a:t>
          </a:r>
        </a:p>
        <a:p>
          <a:pPr lvl="0" algn="l"/>
          <a:r>
            <a:rPr lang="en-IN" sz="1100" b="0">
              <a:solidFill>
                <a:srgbClr val="002851"/>
              </a:solidFill>
              <a:effectLst/>
              <a:latin typeface="+mn-lt"/>
              <a:ea typeface="+mn-ea"/>
              <a:cs typeface="+mn-cs"/>
            </a:rPr>
            <a:t>•  Rating</a:t>
          </a:r>
          <a:r>
            <a:rPr lang="en-IN" sz="1100" b="0" baseline="0">
              <a:solidFill>
                <a:srgbClr val="002851"/>
              </a:solidFill>
              <a:effectLst/>
              <a:latin typeface="+mn-lt"/>
              <a:ea typeface="+mn-ea"/>
              <a:cs typeface="+mn-cs"/>
            </a:rPr>
            <a:t> 4 has the highest number of orders, while ratings 3 and 5 have comparatively fewer orders.</a:t>
          </a:r>
          <a:endParaRPr lang="en-IN" sz="1100" b="0" u="none" spc="0" baseline="0">
            <a:solidFill>
              <a:srgbClr val="002851"/>
            </a:solidFill>
            <a:latin typeface="+mn-lt"/>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yal girdher" refreshedDate="46099.781693171295" createdVersion="7" refreshedVersion="7" minRefreshableVersion="3" recordCount="1200" xr:uid="{22FD76E2-5643-4ED3-99E1-A399FB10A8F5}">
  <cacheSource type="worksheet">
    <worksheetSource name="Table1"/>
  </cacheSource>
  <cacheFields count="26">
    <cacheField name="OrderID" numFmtId="49">
      <sharedItems count="1200">
        <s v="ORD1"/>
        <s v="ORD2"/>
        <s v="ORD3"/>
        <s v="ORD4"/>
        <s v="ORD5"/>
        <s v="ORD6"/>
        <s v="ORD7"/>
        <s v="ORD8"/>
        <s v="ORD9"/>
        <s v="ORD10"/>
        <s v="ORD11"/>
        <s v="ORD12"/>
        <s v="ORD13"/>
        <s v="ORD14"/>
        <s v="ORD15"/>
        <s v="ORD16"/>
        <s v="ORD17"/>
        <s v="ORD18"/>
        <s v="ORD19"/>
        <s v="ORD20"/>
        <s v="ORD21"/>
        <s v="ORD22"/>
        <s v="ORD23"/>
        <s v="ORD24"/>
        <s v="ORD25"/>
        <s v="ORD26"/>
        <s v="ORD27"/>
        <s v="ORD28"/>
        <s v="ORD29"/>
        <s v="ORD30"/>
        <s v="ORD31"/>
        <s v="ORD32"/>
        <s v="ORD33"/>
        <s v="ORD34"/>
        <s v="ORD35"/>
        <s v="ORD36"/>
        <s v="ORD37"/>
        <s v="ORD38"/>
        <s v="ORD39"/>
        <s v="ORD40"/>
        <s v="ORD41"/>
        <s v="ORD42"/>
        <s v="ORD43"/>
        <s v="ORD44"/>
        <s v="ORD45"/>
        <s v="ORD46"/>
        <s v="ORD47"/>
        <s v="ORD48"/>
        <s v="ORD49"/>
        <s v="ORD50"/>
        <s v="ORD51"/>
        <s v="ORD52"/>
        <s v="ORD53"/>
        <s v="ORD54"/>
        <s v="ORD55"/>
        <s v="ORD56"/>
        <s v="ORD57"/>
        <s v="ORD58"/>
        <s v="ORD59"/>
        <s v="ORD60"/>
        <s v="ORD61"/>
        <s v="ORD62"/>
        <s v="ORD63"/>
        <s v="ORD64"/>
        <s v="ORD65"/>
        <s v="ORD66"/>
        <s v="ORD67"/>
        <s v="ORD68"/>
        <s v="ORD69"/>
        <s v="ORD70"/>
        <s v="ORD71"/>
        <s v="ORD72"/>
        <s v="ORD73"/>
        <s v="ORD74"/>
        <s v="ORD75"/>
        <s v="ORD76"/>
        <s v="ORD77"/>
        <s v="ORD78"/>
        <s v="ORD79"/>
        <s v="ORD80"/>
        <s v="ORD81"/>
        <s v="ORD82"/>
        <s v="ORD83"/>
        <s v="ORD84"/>
        <s v="ORD85"/>
        <s v="ORD86"/>
        <s v="ORD87"/>
        <s v="ORD88"/>
        <s v="ORD89"/>
        <s v="ORD90"/>
        <s v="ORD91"/>
        <s v="ORD92"/>
        <s v="ORD93"/>
        <s v="ORD94"/>
        <s v="ORD95"/>
        <s v="ORD96"/>
        <s v="ORD97"/>
        <s v="ORD98"/>
        <s v="ORD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7"/>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haredItems>
    </cacheField>
    <cacheField name="CustomerName" numFmtId="0">
      <sharedItems count="100">
        <s v="Pooja Mehta"/>
        <s v="Pooja Gupta"/>
        <s v="Neha Patel"/>
        <s v="Anjali Patel"/>
        <s v="Rahul Yadav"/>
        <s v="Karan Verma"/>
        <s v="Pooja Yadav"/>
        <s v="Vikas Yadav"/>
        <s v="Priya Mehta"/>
        <s v="Anjali Gupta"/>
        <s v="Anjali Mehta"/>
        <s v="Anjali Agarwal"/>
        <s v="Sneha Singh"/>
        <s v="Priya Yadav"/>
        <s v="Rohit Gupta"/>
        <s v="Priya Joshi"/>
        <s v="Anjali Verma"/>
        <s v="Rohit Patel"/>
        <s v="Sneha Agarwal"/>
        <s v="Vikas Agarwal"/>
        <s v="Priya Singh"/>
        <s v="Karan Singh"/>
        <s v="Pooja Kumar"/>
        <s v="Karan Agarwal"/>
        <s v="Amit Mehta"/>
        <s v="Pooja Sharma"/>
        <s v="Karan Joshi"/>
        <s v="Priya Sharma"/>
        <s v="Neha Yadav"/>
        <s v="Vikas Sharma"/>
        <s v="Amit Singh"/>
        <s v="Neha Gupta"/>
        <s v="Rahul Joshi"/>
        <s v="Pooja Patel"/>
        <s v="Sneha Patel"/>
        <s v="Neha Mehta"/>
        <s v="Rahul Sharma"/>
        <s v="Rohit Joshi"/>
        <s v="Karan Sharma"/>
        <s v="Rahul Singh"/>
        <s v="Amit Agarwal"/>
        <s v="Priya Kumar"/>
        <s v="Rahul Gupta"/>
        <s v="Amit Patel"/>
        <s v="Karan Mehta"/>
        <s v="Sneha Kumar"/>
        <s v="Rohit Yadav"/>
        <s v="Neha Agarwal"/>
        <s v="Anjali Joshi"/>
        <s v="Vikas Kumar"/>
        <s v="Amit Kumar"/>
        <s v="Priya Verma"/>
        <s v="Rohit Sharma"/>
        <s v="Neha Sharma"/>
        <s v="Karan Kumar"/>
        <s v="Amit Verma"/>
        <s v="Anjali Sharma"/>
        <s v="Neha Joshi"/>
        <s v="Vikas Gupta"/>
        <s v="Amit Joshi"/>
        <s v="Amit Sharma"/>
        <s v="Anjali Kumar"/>
        <s v="Anjali Singh"/>
        <s v="Priya Gupta"/>
        <s v="Vikas Verma"/>
        <s v="Neha Verma"/>
        <s v="Neha Singh"/>
        <s v="Karan Yadav"/>
        <s v="Pooja Singh"/>
        <s v="Karan Patel"/>
        <s v="Amit Yadav"/>
        <s v="Rohit Verma"/>
        <s v="Sneha Sharma"/>
        <s v="Priya Agarwal"/>
        <s v="Pooja Verma"/>
        <s v="Rohit Mehta"/>
        <s v="Rahul Verma"/>
        <s v="Rohit Kumar"/>
        <s v="Pooja Agarwal"/>
        <s v="Rahul Patel"/>
        <s v="Rahul Agarwal"/>
        <s v="Pooja Joshi"/>
        <s v="Amit Gupta"/>
        <s v="Sneha Yadav"/>
        <s v="Priya Patel"/>
        <s v="Rahul Kumar"/>
        <s v="Rohit Singh"/>
        <s v="Sneha Mehta"/>
        <s v="Vikas Mehta"/>
        <s v="Rohit Agarwal"/>
        <s v="Vikas Patel"/>
        <s v="Neha Kumar"/>
        <s v="Anjali Yadav"/>
        <s v="Karan Gupta"/>
        <s v="Sneha Joshi"/>
        <s v="Sneha Gupta"/>
        <s v="Rahul Mehta"/>
        <s v="Vikas Joshi"/>
        <s v="Vikas Singh"/>
        <s v="Sneha Verma"/>
      </sharedItems>
    </cacheField>
    <cacheField name="Age" numFmtId="1">
      <sharedItems containsSemiMixedTypes="0" containsString="0" containsNumber="1" containsInteger="1" minValue="18" maxValue="60"/>
    </cacheField>
    <cacheField name="Gender" numFmtId="49">
      <sharedItems/>
    </cacheField>
    <cacheField name="City" numFmtId="49">
      <sharedItems/>
    </cacheField>
    <cacheField name="State" numFmtId="49">
      <sharedItems/>
    </cacheField>
    <cacheField name="OrderDate" numFmtId="14">
      <sharedItems containsSemiMixedTypes="0" containsNonDate="0" containsDate="1" containsString="0" minDate="2023-01-04T00:00:00" maxDate="2024-12-02T00:00:00"/>
    </cacheField>
    <cacheField name="DeliveryDate" numFmtId="14">
      <sharedItems containsSemiMixedTypes="0" containsNonDate="0" containsDate="1" containsString="0" minDate="2023-01-07T00:00:00" maxDate="2024-12-11T00:00:00"/>
    </cacheField>
    <cacheField name="Product" numFmtId="49">
      <sharedItems count="6">
        <s v="Mobile"/>
        <s v="Headphones"/>
        <s v="Laptop"/>
        <s v="Monitor"/>
        <s v="Tablet"/>
        <s v="Keyboard"/>
      </sharedItems>
    </cacheField>
    <cacheField name="Category" numFmtId="49">
      <sharedItems/>
    </cacheField>
    <cacheField name="Quantity" numFmtId="1">
      <sharedItems containsSemiMixedTypes="0" containsString="0" containsNumber="1" minValue="1" maxValue="5"/>
    </cacheField>
    <cacheField name="Price" numFmtId="164">
      <sharedItems containsSemiMixedTypes="0" containsString="0" containsNumber="1" minValue="5012" maxValue="79878"/>
    </cacheField>
    <cacheField name="Discount %" numFmtId="1">
      <sharedItems containsSemiMixedTypes="0" containsString="0" containsNumber="1" containsInteger="1" minValue="0" maxValue="15"/>
    </cacheField>
    <cacheField name="PaymentMethod" numFmtId="49">
      <sharedItems count="4">
        <s v="UPI"/>
        <s v="Card"/>
        <s v="Cash"/>
        <s v="NetBanking"/>
      </sharedItems>
    </cacheField>
    <cacheField name="SalesRep" numFmtId="49">
      <sharedItems/>
    </cacheField>
    <cacheField name="Region" numFmtId="49">
      <sharedItems count="4">
        <s v="South"/>
        <s v="West"/>
        <s v="North"/>
        <s v="East"/>
      </sharedItems>
    </cacheField>
    <cacheField name="Email" numFmtId="49">
      <sharedItems/>
    </cacheField>
    <cacheField name="Phone" numFmtId="49">
      <sharedItems/>
    </cacheField>
    <cacheField name="Rating" numFmtId="1">
      <sharedItems containsSemiMixedTypes="0" containsString="0" containsNumber="1" containsInteger="1" minValue="1" maxValue="5" count="5">
        <n v="4"/>
        <n v="5"/>
        <n v="1"/>
        <n v="3"/>
        <n v="2"/>
      </sharedItems>
    </cacheField>
    <cacheField name="Feedback" numFmtId="49">
      <sharedItems/>
    </cacheField>
    <cacheField name="ShippingCost" numFmtId="1">
      <sharedItems containsSemiMixedTypes="0" containsString="0" containsNumber="1" containsInteger="1" minValue="50" maxValue="500"/>
    </cacheField>
    <cacheField name="OrderStatus" numFmtId="49">
      <sharedItems/>
    </cacheField>
    <cacheField name="TotalSales" numFmtId="0">
      <sharedItems containsSemiMixedTypes="0" containsString="0" containsNumber="1" minValue="4302.7" maxValue="397180"/>
    </cacheField>
    <cacheField name="DeliveryTime" numFmtId="0">
      <sharedItems containsSemiMixedTypes="0" containsString="0" containsNumber="1" containsInteger="1" minValue="1" maxValue="10"/>
    </cacheField>
    <cacheField name="OrderMonth" numFmtId="0">
      <sharedItems count="12">
        <s v="January"/>
        <s v="April"/>
        <s v="September"/>
        <s v="August"/>
        <s v="July"/>
        <s v="October"/>
        <s v="May"/>
        <s v="November"/>
        <s v="February"/>
        <s v="June"/>
        <s v="March"/>
        <s v="December"/>
      </sharedItems>
    </cacheField>
    <cacheField name="Order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105072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27"/>
    <s v="Male"/>
    <s v="Amritsar"/>
    <s v="Delhi"/>
    <d v="2023-01-28T00:00:00"/>
    <d v="2023-02-05T00:00:00"/>
    <x v="0"/>
    <s v="Accessories"/>
    <n v="4"/>
    <n v="74820"/>
    <n v="5"/>
    <x v="0"/>
    <s v="Rohit"/>
    <x v="0"/>
    <s v="poojamehta@gmail.com"/>
    <s v="7477331342"/>
    <x v="0"/>
    <s v="Good"/>
    <n v="91"/>
    <s v="Delivered"/>
    <n v="284316"/>
    <n v="8"/>
    <x v="0"/>
    <x v="0"/>
  </r>
  <r>
    <x v="1"/>
    <x v="1"/>
    <n v="42"/>
    <s v="Male"/>
    <s v="Ludhiana"/>
    <s v="Delhi"/>
    <d v="2023-04-16T00:00:00"/>
    <d v="2023-04-19T00:00:00"/>
    <x v="1"/>
    <s v="Electronics"/>
    <n v="1"/>
    <n v="60823"/>
    <n v="0"/>
    <x v="1"/>
    <s v="Sneha"/>
    <x v="0"/>
    <s v="poojagupta@gmail.com"/>
    <s v="9445783077"/>
    <x v="1"/>
    <s v="Good"/>
    <n v="490"/>
    <s v="Delivered"/>
    <n v="60823"/>
    <n v="3"/>
    <x v="1"/>
    <x v="0"/>
  </r>
  <r>
    <x v="2"/>
    <x v="2"/>
    <n v="20"/>
    <s v="Female"/>
    <s v="Jaipur"/>
    <s v="Maharashtra"/>
    <d v="2024-04-29T00:00:00"/>
    <d v="2024-05-08T00:00:00"/>
    <x v="0"/>
    <s v="Electronics"/>
    <n v="5"/>
    <n v="19904"/>
    <n v="0"/>
    <x v="2"/>
    <s v="Neha"/>
    <x v="1"/>
    <s v="nehapatel@gmail.com"/>
    <s v="6496927099"/>
    <x v="2"/>
    <s v="Average"/>
    <n v="393"/>
    <s v="Cancelled"/>
    <n v="99520"/>
    <n v="9"/>
    <x v="1"/>
    <x v="1"/>
  </r>
  <r>
    <x v="3"/>
    <x v="3"/>
    <n v="45"/>
    <s v="Female"/>
    <s v="Delhi"/>
    <s v="Punjab"/>
    <d v="2024-09-10T00:00:00"/>
    <d v="2024-09-18T00:00:00"/>
    <x v="1"/>
    <s v="Electronics"/>
    <n v="3"/>
    <n v="27529"/>
    <n v="0"/>
    <x v="0"/>
    <s v="Amit"/>
    <x v="2"/>
    <s v="anjalipatel@gmail.com"/>
    <s v="6515988699"/>
    <x v="3"/>
    <s v="Bad"/>
    <n v="258"/>
    <s v="Cancelled"/>
    <n v="82587"/>
    <n v="8"/>
    <x v="2"/>
    <x v="1"/>
  </r>
  <r>
    <x v="4"/>
    <x v="4"/>
    <n v="38"/>
    <s v="Male"/>
    <s v="Jaipur"/>
    <s v="Punjab"/>
    <d v="2024-08-17T00:00:00"/>
    <d v="2024-08-21T00:00:00"/>
    <x v="2"/>
    <s v="Accessories"/>
    <n v="1"/>
    <n v="76158"/>
    <n v="10"/>
    <x v="1"/>
    <s v="Neha"/>
    <x v="0"/>
    <s v="rahulyadav@gmail.com"/>
    <s v="Missing"/>
    <x v="3"/>
    <s v="Good"/>
    <n v="418"/>
    <s v="Returned"/>
    <n v="68542.2"/>
    <n v="4"/>
    <x v="3"/>
    <x v="1"/>
  </r>
  <r>
    <x v="5"/>
    <x v="5"/>
    <n v="57"/>
    <s v="Female"/>
    <s v="Ludhiana"/>
    <s v="Rajasthan"/>
    <d v="2023-07-14T00:00:00"/>
    <d v="2023-07-15T00:00:00"/>
    <x v="3"/>
    <s v="Accessories"/>
    <n v="2"/>
    <n v="58163"/>
    <n v="0"/>
    <x v="2"/>
    <s v="Karan"/>
    <x v="2"/>
    <s v="karanverma@gmail.com"/>
    <s v="6256157868"/>
    <x v="3"/>
    <s v="Bad"/>
    <n v="471"/>
    <s v="Returned"/>
    <n v="116326"/>
    <n v="1"/>
    <x v="4"/>
    <x v="0"/>
  </r>
  <r>
    <x v="6"/>
    <x v="6"/>
    <n v="44"/>
    <s v="Female"/>
    <s v="Amritsar"/>
    <s v="Gujarat"/>
    <d v="2023-04-17T00:00:00"/>
    <d v="2023-04-19T00:00:00"/>
    <x v="4"/>
    <s v="Accessories"/>
    <n v="4"/>
    <n v="69041"/>
    <n v="10"/>
    <x v="2"/>
    <s v="Neha"/>
    <x v="2"/>
    <s v="poojayadav@gmail.com"/>
    <s v="7236634935"/>
    <x v="1"/>
    <s v="Excellent"/>
    <n v="91"/>
    <s v="Cancelled"/>
    <n v="248547.6"/>
    <n v="2"/>
    <x v="1"/>
    <x v="0"/>
  </r>
  <r>
    <x v="7"/>
    <x v="7"/>
    <n v="32"/>
    <s v="Male"/>
    <s v="Chandigarh"/>
    <s v="Gujarat"/>
    <d v="2023-08-29T00:00:00"/>
    <d v="2023-08-31T00:00:00"/>
    <x v="1"/>
    <s v="Accessories"/>
    <n v="1"/>
    <n v="41555"/>
    <n v="0"/>
    <x v="1"/>
    <s v="Priya"/>
    <x v="0"/>
    <s v="vikasyadav@gmail.com"/>
    <s v="Missing"/>
    <x v="0"/>
    <s v="Average"/>
    <n v="387"/>
    <s v="Cancelled"/>
    <n v="41555"/>
    <n v="2"/>
    <x v="3"/>
    <x v="0"/>
  </r>
  <r>
    <x v="8"/>
    <x v="8"/>
    <n v="30"/>
    <s v="Male"/>
    <s v="Jaipur"/>
    <s v="Rajasthan"/>
    <d v="2024-04-16T00:00:00"/>
    <d v="2024-04-21T00:00:00"/>
    <x v="5"/>
    <s v="Electronics"/>
    <n v="1"/>
    <n v="70341"/>
    <n v="15"/>
    <x v="1"/>
    <s v="Anjali"/>
    <x v="2"/>
    <s v="priyamehta@gmail.com"/>
    <s v="9728939116"/>
    <x v="1"/>
    <s v="Average"/>
    <n v="216"/>
    <s v="Cancelled"/>
    <n v="59789.85"/>
    <n v="5"/>
    <x v="1"/>
    <x v="1"/>
  </r>
  <r>
    <x v="9"/>
    <x v="9"/>
    <n v="20"/>
    <s v="Female"/>
    <s v="Chandigarh"/>
    <s v="Punjab"/>
    <d v="2023-04-27T00:00:00"/>
    <d v="2023-05-07T00:00:00"/>
    <x v="3"/>
    <s v="Accessories"/>
    <n v="2"/>
    <n v="35515"/>
    <n v="5"/>
    <x v="2"/>
    <s v="Priya"/>
    <x v="2"/>
    <s v="anjaligupta@gmail.com"/>
    <s v="7156732098"/>
    <x v="0"/>
    <s v="Average"/>
    <n v="482"/>
    <s v="Returned"/>
    <n v="67478.5"/>
    <n v="10"/>
    <x v="1"/>
    <x v="0"/>
  </r>
  <r>
    <x v="10"/>
    <x v="10"/>
    <n v="51"/>
    <s v="Male"/>
    <s v="Ludhiana"/>
    <s v="Gujarat"/>
    <d v="2023-10-09T00:00:00"/>
    <d v="2023-10-10T00:00:00"/>
    <x v="4"/>
    <s v="Accessories"/>
    <n v="5"/>
    <n v="5663"/>
    <n v="5"/>
    <x v="1"/>
    <s v="Karan"/>
    <x v="0"/>
    <s v="anjalimehta@gmail.com"/>
    <s v="9741319279"/>
    <x v="1"/>
    <s v="Good"/>
    <n v="456"/>
    <s v="Returned"/>
    <n v="26899.25"/>
    <n v="1"/>
    <x v="5"/>
    <x v="0"/>
  </r>
  <r>
    <x v="11"/>
    <x v="11"/>
    <n v="37"/>
    <s v="Male"/>
    <s v="Amritsar"/>
    <s v="Rajasthan"/>
    <d v="2024-10-23T00:00:00"/>
    <d v="2024-10-29T00:00:00"/>
    <x v="1"/>
    <s v="Accessories"/>
    <n v="4"/>
    <n v="34012"/>
    <n v="5"/>
    <x v="1"/>
    <s v="Rohit"/>
    <x v="0"/>
    <s v="Missing"/>
    <s v="7888560232"/>
    <x v="4"/>
    <s v="Excellent"/>
    <n v="272"/>
    <s v="Returned"/>
    <n v="129245.59999999999"/>
    <n v="6"/>
    <x v="5"/>
    <x v="1"/>
  </r>
  <r>
    <x v="12"/>
    <x v="12"/>
    <n v="42"/>
    <s v="Male"/>
    <s v="Pune"/>
    <s v="Rajasthan"/>
    <d v="2024-04-19T00:00:00"/>
    <d v="2024-04-21T00:00:00"/>
    <x v="4"/>
    <s v="Electronics"/>
    <n v="2"/>
    <n v="50358"/>
    <n v="5"/>
    <x v="0"/>
    <s v="Vikas"/>
    <x v="1"/>
    <s v="Missing"/>
    <s v="7583631103"/>
    <x v="3"/>
    <s v="Bad"/>
    <n v="82"/>
    <s v="Returned"/>
    <n v="95680.2"/>
    <n v="2"/>
    <x v="1"/>
    <x v="1"/>
  </r>
  <r>
    <x v="13"/>
    <x v="13"/>
    <n v="34"/>
    <s v="Male"/>
    <s v="Delhi"/>
    <s v="Punjab"/>
    <d v="2024-08-15T00:00:00"/>
    <d v="2024-08-22T00:00:00"/>
    <x v="0"/>
    <s v="Accessories"/>
    <n v="4"/>
    <n v="60856"/>
    <n v="15"/>
    <x v="2"/>
    <s v="Sneha"/>
    <x v="2"/>
    <s v="Missing"/>
    <s v="7236415617"/>
    <x v="2"/>
    <s v="Excellent"/>
    <n v="467"/>
    <s v="Delivered"/>
    <n v="206910.4"/>
    <n v="7"/>
    <x v="3"/>
    <x v="1"/>
  </r>
  <r>
    <x v="14"/>
    <x v="14"/>
    <n v="53"/>
    <s v="Female"/>
    <s v="Ahmedabad"/>
    <s v="Rajasthan"/>
    <d v="2023-07-15T00:00:00"/>
    <d v="2023-07-18T00:00:00"/>
    <x v="5"/>
    <s v="Electronics"/>
    <n v="3"/>
    <n v="42109.716287215415"/>
    <n v="15"/>
    <x v="0"/>
    <s v="Priya"/>
    <x v="0"/>
    <s v="rohitgupta@gmail.com"/>
    <s v="Missing"/>
    <x v="1"/>
    <s v="Good"/>
    <n v="161"/>
    <s v="Delivered"/>
    <n v="107379.77653239931"/>
    <n v="3"/>
    <x v="4"/>
    <x v="0"/>
  </r>
  <r>
    <x v="15"/>
    <x v="14"/>
    <n v="36"/>
    <s v="Male"/>
    <s v="Chandigarh"/>
    <s v="Punjab"/>
    <d v="2024-10-18T00:00:00"/>
    <d v="2024-10-24T00:00:00"/>
    <x v="0"/>
    <s v="Electronics"/>
    <n v="4"/>
    <n v="67350"/>
    <n v="0"/>
    <x v="1"/>
    <s v="Amit"/>
    <x v="0"/>
    <s v="rohitgupta@gmail.com"/>
    <s v="6472562159"/>
    <x v="3"/>
    <s v="Good"/>
    <n v="141"/>
    <s v="Returned"/>
    <n v="269400"/>
    <n v="6"/>
    <x v="5"/>
    <x v="1"/>
  </r>
  <r>
    <x v="16"/>
    <x v="15"/>
    <n v="51"/>
    <s v="Male"/>
    <s v="Delhi"/>
    <s v="Delhi"/>
    <d v="2023-05-27T00:00:00"/>
    <d v="2023-06-02T00:00:00"/>
    <x v="5"/>
    <s v="Accessories"/>
    <n v="3"/>
    <n v="5673"/>
    <n v="10"/>
    <x v="2"/>
    <s v="Sneha"/>
    <x v="0"/>
    <s v="priyajoshi@gmail.com"/>
    <s v="8583142457"/>
    <x v="4"/>
    <s v="Bad"/>
    <n v="459"/>
    <s v="Delivered"/>
    <n v="15317.1"/>
    <n v="6"/>
    <x v="6"/>
    <x v="0"/>
  </r>
  <r>
    <x v="17"/>
    <x v="16"/>
    <n v="48"/>
    <s v="Female"/>
    <s v="Chandigarh"/>
    <s v="Punjab"/>
    <d v="2023-11-05T00:00:00"/>
    <d v="2023-11-13T00:00:00"/>
    <x v="2"/>
    <s v="Electronics"/>
    <n v="4"/>
    <n v="35069"/>
    <n v="5"/>
    <x v="0"/>
    <s v="Amit"/>
    <x v="0"/>
    <s v="anjaliverma@gmail.com"/>
    <s v="8019163747"/>
    <x v="3"/>
    <s v="Excellent"/>
    <n v="263"/>
    <s v="Cancelled"/>
    <n v="133262.19999999998"/>
    <n v="8"/>
    <x v="7"/>
    <x v="0"/>
  </r>
  <r>
    <x v="18"/>
    <x v="17"/>
    <n v="53"/>
    <s v="Female"/>
    <s v="Pune"/>
    <s v="Rajasthan"/>
    <d v="2023-01-14T00:00:00"/>
    <d v="2023-01-16T00:00:00"/>
    <x v="2"/>
    <s v="Accessories"/>
    <n v="1"/>
    <n v="28582"/>
    <n v="0"/>
    <x v="3"/>
    <s v="Neha"/>
    <x v="2"/>
    <s v="rohitpatel@gmail.com"/>
    <s v="8150021097"/>
    <x v="1"/>
    <s v="Excellent"/>
    <n v="95"/>
    <s v="Delivered"/>
    <n v="28582"/>
    <n v="2"/>
    <x v="0"/>
    <x v="0"/>
  </r>
  <r>
    <x v="19"/>
    <x v="18"/>
    <n v="37"/>
    <s v="Female"/>
    <s v="Pune"/>
    <s v="Rajasthan"/>
    <d v="2023-07-27T00:00:00"/>
    <d v="2023-08-05T00:00:00"/>
    <x v="4"/>
    <s v="Accessories"/>
    <n v="2"/>
    <n v="42817"/>
    <n v="0"/>
    <x v="3"/>
    <s v="Pooja"/>
    <x v="3"/>
    <s v="snehaagarwal@gmail.com"/>
    <s v="9549818875"/>
    <x v="1"/>
    <s v="Good"/>
    <n v="312"/>
    <s v="Cancelled"/>
    <n v="85634"/>
    <n v="9"/>
    <x v="4"/>
    <x v="0"/>
  </r>
  <r>
    <x v="20"/>
    <x v="7"/>
    <n v="60"/>
    <s v="Female"/>
    <s v="Amritsar"/>
    <s v="Delhi"/>
    <d v="2023-09-15T00:00:00"/>
    <d v="2023-09-23T00:00:00"/>
    <x v="0"/>
    <s v="Electronics"/>
    <n v="3"/>
    <n v="45158"/>
    <n v="0"/>
    <x v="0"/>
    <s v="Anjali"/>
    <x v="3"/>
    <s v="Missing"/>
    <s v="8754773139"/>
    <x v="0"/>
    <s v="Bad"/>
    <n v="274"/>
    <s v="Delivered"/>
    <n v="135474"/>
    <n v="8"/>
    <x v="2"/>
    <x v="0"/>
  </r>
  <r>
    <x v="21"/>
    <x v="19"/>
    <n v="37"/>
    <s v="Male"/>
    <s v="Jaipur"/>
    <s v="Maharashtra"/>
    <d v="2023-07-10T00:00:00"/>
    <d v="2023-07-17T00:00:00"/>
    <x v="3"/>
    <s v="Electronics"/>
    <n v="1"/>
    <n v="56566"/>
    <n v="10"/>
    <x v="3"/>
    <s v="Rohit"/>
    <x v="0"/>
    <s v="vikasagarwal@gmail.com"/>
    <s v="8833155474"/>
    <x v="3"/>
    <s v="Excellent"/>
    <n v="134"/>
    <s v="Returned"/>
    <n v="50909.4"/>
    <n v="7"/>
    <x v="4"/>
    <x v="0"/>
  </r>
  <r>
    <x v="22"/>
    <x v="20"/>
    <n v="25"/>
    <s v="Female"/>
    <s v="Chandigarh"/>
    <s v="Rajasthan"/>
    <d v="2023-05-07T00:00:00"/>
    <d v="2023-05-17T00:00:00"/>
    <x v="4"/>
    <s v="Electronics"/>
    <n v="5"/>
    <n v="14757"/>
    <n v="0"/>
    <x v="0"/>
    <s v="Neha"/>
    <x v="0"/>
    <s v="priyasingh@gmail.com"/>
    <s v="Missing"/>
    <x v="2"/>
    <s v="Excellent"/>
    <n v="341"/>
    <s v="Cancelled"/>
    <n v="73785"/>
    <n v="10"/>
    <x v="6"/>
    <x v="0"/>
  </r>
  <r>
    <x v="23"/>
    <x v="21"/>
    <n v="23"/>
    <s v="Female"/>
    <s v="Amritsar"/>
    <s v="Maharashtra"/>
    <d v="2024-10-12T00:00:00"/>
    <d v="2024-10-18T00:00:00"/>
    <x v="1"/>
    <s v="Electronics"/>
    <n v="5"/>
    <n v="16091"/>
    <n v="15"/>
    <x v="3"/>
    <s v="Karan"/>
    <x v="3"/>
    <s v="karansingh@gmail.com"/>
    <s v="7989615227"/>
    <x v="3"/>
    <s v="Good"/>
    <n v="421"/>
    <s v="Delivered"/>
    <n v="68386.75"/>
    <n v="6"/>
    <x v="5"/>
    <x v="1"/>
  </r>
  <r>
    <x v="24"/>
    <x v="22"/>
    <n v="47"/>
    <s v="Female"/>
    <s v="Chandigarh"/>
    <s v="Maharashtra"/>
    <d v="2024-11-04T00:00:00"/>
    <d v="2024-11-05T00:00:00"/>
    <x v="5"/>
    <s v="Accessories"/>
    <n v="1"/>
    <n v="38597"/>
    <n v="15"/>
    <x v="2"/>
    <s v="Vikas"/>
    <x v="3"/>
    <s v="poojakumar@gmail.com"/>
    <s v="6303409028"/>
    <x v="0"/>
    <s v="Good"/>
    <n v="466"/>
    <s v="Returned"/>
    <n v="32807.449999999997"/>
    <n v="1"/>
    <x v="7"/>
    <x v="1"/>
  </r>
  <r>
    <x v="25"/>
    <x v="23"/>
    <n v="24"/>
    <s v="Male"/>
    <s v="Delhi"/>
    <s v="Delhi"/>
    <d v="2024-11-23T00:00:00"/>
    <d v="2024-11-28T00:00:00"/>
    <x v="3"/>
    <s v="Accessories"/>
    <n v="3"/>
    <n v="16895"/>
    <n v="5"/>
    <x v="3"/>
    <s v="Karan"/>
    <x v="2"/>
    <s v="karanagarwal@gmail.com"/>
    <s v="Missing"/>
    <x v="0"/>
    <s v="Excellent"/>
    <n v="318"/>
    <s v="Returned"/>
    <n v="48150.75"/>
    <n v="5"/>
    <x v="7"/>
    <x v="1"/>
  </r>
  <r>
    <x v="26"/>
    <x v="24"/>
    <n v="39"/>
    <s v="Female"/>
    <s v="Ahmedabad"/>
    <s v="Delhi"/>
    <d v="2024-05-08T00:00:00"/>
    <d v="2024-05-11T00:00:00"/>
    <x v="2"/>
    <s v="Accessories"/>
    <n v="1"/>
    <n v="25660"/>
    <n v="5"/>
    <x v="1"/>
    <s v="Pooja"/>
    <x v="0"/>
    <s v="Missing"/>
    <s v="Missing"/>
    <x v="0"/>
    <s v="Good"/>
    <n v="212"/>
    <s v="Returned"/>
    <n v="24377"/>
    <n v="3"/>
    <x v="6"/>
    <x v="1"/>
  </r>
  <r>
    <x v="27"/>
    <x v="4"/>
    <n v="59"/>
    <s v="Female"/>
    <s v="Ahmedabad"/>
    <s v="Maharashtra"/>
    <d v="2024-10-21T00:00:00"/>
    <d v="2024-10-26T00:00:00"/>
    <x v="5"/>
    <s v="Accessories"/>
    <n v="2"/>
    <n v="17174"/>
    <n v="15"/>
    <x v="0"/>
    <s v="Neha"/>
    <x v="2"/>
    <s v="rahulyadav@gmail.com"/>
    <s v="8228144377"/>
    <x v="3"/>
    <s v="Average"/>
    <n v="383"/>
    <s v="Returned"/>
    <n v="29195.8"/>
    <n v="5"/>
    <x v="5"/>
    <x v="1"/>
  </r>
  <r>
    <x v="28"/>
    <x v="25"/>
    <n v="47"/>
    <s v="Female"/>
    <s v="Jaipur"/>
    <s v="Delhi"/>
    <d v="2024-02-22T00:00:00"/>
    <d v="2024-02-23T00:00:00"/>
    <x v="4"/>
    <s v="Accessories"/>
    <n v="5"/>
    <n v="57424"/>
    <n v="5"/>
    <x v="3"/>
    <s v="Vikas"/>
    <x v="2"/>
    <s v="poojasharma@gmail.com"/>
    <s v="7422065786"/>
    <x v="4"/>
    <s v="Good"/>
    <n v="290"/>
    <s v="Delivered"/>
    <n v="272764"/>
    <n v="1"/>
    <x v="8"/>
    <x v="1"/>
  </r>
  <r>
    <x v="29"/>
    <x v="26"/>
    <n v="24"/>
    <s v="Male"/>
    <s v="Ahmedabad"/>
    <s v="Gujarat"/>
    <d v="2024-06-27T00:00:00"/>
    <d v="2024-06-30T00:00:00"/>
    <x v="0"/>
    <s v="Electronics"/>
    <n v="1"/>
    <n v="48390"/>
    <n v="10"/>
    <x v="1"/>
    <s v="Amit"/>
    <x v="3"/>
    <s v="karanjoshi@gmail.com"/>
    <s v="9357637057"/>
    <x v="1"/>
    <s v="Average"/>
    <n v="63"/>
    <s v="Delivered"/>
    <n v="43551"/>
    <n v="3"/>
    <x v="9"/>
    <x v="1"/>
  </r>
  <r>
    <x v="30"/>
    <x v="27"/>
    <n v="24"/>
    <s v="Female"/>
    <s v="Mumbai"/>
    <s v="Rajasthan"/>
    <d v="2023-10-11T00:00:00"/>
    <d v="2023-10-19T00:00:00"/>
    <x v="2"/>
    <s v="Electronics"/>
    <n v="5"/>
    <n v="71901"/>
    <n v="15"/>
    <x v="2"/>
    <s v="Anjali"/>
    <x v="3"/>
    <s v="priyasharma@gmail.com"/>
    <s v="7579106913"/>
    <x v="0"/>
    <s v="Bad"/>
    <n v="371"/>
    <s v="Delivered"/>
    <n v="305579.25"/>
    <n v="8"/>
    <x v="5"/>
    <x v="0"/>
  </r>
  <r>
    <x v="31"/>
    <x v="28"/>
    <n v="36"/>
    <s v="Male"/>
    <s v="Pune"/>
    <s v="Gujarat"/>
    <d v="2023-07-12T00:00:00"/>
    <d v="2023-07-21T00:00:00"/>
    <x v="1"/>
    <s v="Accessories"/>
    <n v="1"/>
    <n v="48189"/>
    <n v="15"/>
    <x v="0"/>
    <s v="Rohit"/>
    <x v="2"/>
    <s v="Missing"/>
    <s v="9238640945"/>
    <x v="4"/>
    <s v="Average"/>
    <n v="88"/>
    <s v="Delivered"/>
    <n v="40960.65"/>
    <n v="9"/>
    <x v="4"/>
    <x v="0"/>
  </r>
  <r>
    <x v="32"/>
    <x v="6"/>
    <n v="23"/>
    <s v="Female"/>
    <s v="Amritsar"/>
    <s v="Gujarat"/>
    <d v="2024-06-29T00:00:00"/>
    <d v="2024-06-30T00:00:00"/>
    <x v="5"/>
    <s v="Accessories"/>
    <n v="1"/>
    <n v="42109.716287215415"/>
    <n v="15"/>
    <x v="2"/>
    <s v="Anjali"/>
    <x v="1"/>
    <s v="poojayadav@gmail.com"/>
    <s v="6282057847"/>
    <x v="3"/>
    <s v="Good"/>
    <n v="421"/>
    <s v="Cancelled"/>
    <n v="35793.258844133103"/>
    <n v="1"/>
    <x v="9"/>
    <x v="1"/>
  </r>
  <r>
    <x v="33"/>
    <x v="29"/>
    <n v="46"/>
    <s v="Female"/>
    <s v="Ahmedabad"/>
    <s v="Maharashtra"/>
    <d v="2023-03-21T00:00:00"/>
    <d v="2023-03-29T00:00:00"/>
    <x v="3"/>
    <s v="Accessories"/>
    <n v="4"/>
    <n v="42109.716287215415"/>
    <n v="10"/>
    <x v="1"/>
    <s v="Pooja"/>
    <x v="0"/>
    <s v="vikassharma@gmail.com"/>
    <s v="7740614363"/>
    <x v="3"/>
    <s v="Excellent"/>
    <n v="237"/>
    <s v="Returned"/>
    <n v="151594.97863397549"/>
    <n v="8"/>
    <x v="10"/>
    <x v="0"/>
  </r>
  <r>
    <x v="34"/>
    <x v="30"/>
    <n v="48"/>
    <s v="Male"/>
    <s v="Ludhiana"/>
    <s v="Maharashtra"/>
    <d v="2023-06-01T00:00:00"/>
    <d v="2023-06-05T00:00:00"/>
    <x v="2"/>
    <s v="Electronics"/>
    <n v="5"/>
    <n v="5317"/>
    <n v="5"/>
    <x v="0"/>
    <s v="Karan"/>
    <x v="2"/>
    <s v="amitsingh@gmail.com"/>
    <s v="7275740052"/>
    <x v="2"/>
    <s v="Bad"/>
    <n v="299"/>
    <s v="Cancelled"/>
    <n v="25255.75"/>
    <n v="4"/>
    <x v="9"/>
    <x v="0"/>
  </r>
  <r>
    <x v="35"/>
    <x v="31"/>
    <n v="32"/>
    <s v="Male"/>
    <s v="Ahmedabad"/>
    <s v="Punjab"/>
    <d v="2023-02-18T00:00:00"/>
    <d v="2023-02-22T00:00:00"/>
    <x v="4"/>
    <s v="Accessories"/>
    <n v="1"/>
    <n v="42221"/>
    <n v="0"/>
    <x v="2"/>
    <s v="Anjali"/>
    <x v="2"/>
    <s v="nehagupta@gmail.com"/>
    <s v="9298055970"/>
    <x v="0"/>
    <s v="Bad"/>
    <n v="153"/>
    <s v="Returned"/>
    <n v="42221"/>
    <n v="4"/>
    <x v="8"/>
    <x v="0"/>
  </r>
  <r>
    <x v="36"/>
    <x v="32"/>
    <n v="49"/>
    <s v="Male"/>
    <s v="Delhi"/>
    <s v="Punjab"/>
    <d v="2023-08-27T00:00:00"/>
    <d v="2023-09-02T00:00:00"/>
    <x v="1"/>
    <s v="Accessories"/>
    <n v="1"/>
    <n v="12673"/>
    <n v="10"/>
    <x v="2"/>
    <s v="Karan"/>
    <x v="3"/>
    <s v="rahuljoshi@gmail.com"/>
    <s v="9193987880"/>
    <x v="2"/>
    <s v="Bad"/>
    <n v="466"/>
    <s v="Cancelled"/>
    <n v="11405.7"/>
    <n v="6"/>
    <x v="3"/>
    <x v="0"/>
  </r>
  <r>
    <x v="37"/>
    <x v="13"/>
    <n v="55"/>
    <s v="Male"/>
    <s v="Mumbai"/>
    <s v="Delhi"/>
    <d v="2024-04-22T00:00:00"/>
    <d v="2024-04-25T00:00:00"/>
    <x v="5"/>
    <s v="Accessories"/>
    <n v="4"/>
    <n v="39376"/>
    <n v="0"/>
    <x v="1"/>
    <s v="Pooja"/>
    <x v="0"/>
    <s v="priyayadav@gmail.com"/>
    <s v="9351669472"/>
    <x v="2"/>
    <s v="Excellent"/>
    <n v="236"/>
    <s v="Delivered"/>
    <n v="157504"/>
    <n v="3"/>
    <x v="1"/>
    <x v="1"/>
  </r>
  <r>
    <x v="38"/>
    <x v="33"/>
    <n v="31"/>
    <s v="Male"/>
    <s v="Ahmedabad"/>
    <s v="Punjab"/>
    <d v="2024-05-29T00:00:00"/>
    <d v="2024-05-30T00:00:00"/>
    <x v="2"/>
    <s v="Accessories"/>
    <n v="3"/>
    <n v="49128"/>
    <n v="0"/>
    <x v="1"/>
    <s v="Priya"/>
    <x v="2"/>
    <s v="poojapatel@gmail.com"/>
    <s v="8135859758"/>
    <x v="3"/>
    <s v="Excellent"/>
    <n v="285"/>
    <s v="Returned"/>
    <n v="147384"/>
    <n v="1"/>
    <x v="6"/>
    <x v="1"/>
  </r>
  <r>
    <x v="39"/>
    <x v="34"/>
    <n v="57"/>
    <s v="Male"/>
    <s v="Amritsar"/>
    <s v="Delhi"/>
    <d v="2024-01-20T00:00:00"/>
    <d v="2024-01-26T00:00:00"/>
    <x v="1"/>
    <s v="Accessories"/>
    <n v="4"/>
    <n v="42109.716287215415"/>
    <n v="0"/>
    <x v="1"/>
    <s v="Rahul"/>
    <x v="3"/>
    <s v="snehapatel@gmail.com"/>
    <s v="9116838200"/>
    <x v="0"/>
    <s v="Excellent"/>
    <n v="351"/>
    <s v="Returned"/>
    <n v="168438.86514886166"/>
    <n v="6"/>
    <x v="0"/>
    <x v="1"/>
  </r>
  <r>
    <x v="40"/>
    <x v="35"/>
    <n v="57"/>
    <s v="Female"/>
    <s v="Mumbai"/>
    <s v="Delhi"/>
    <d v="2024-10-14T00:00:00"/>
    <d v="2024-10-20T00:00:00"/>
    <x v="3"/>
    <s v="Electronics"/>
    <n v="1"/>
    <n v="42109.716287215415"/>
    <n v="10"/>
    <x v="2"/>
    <s v="Vikas"/>
    <x v="3"/>
    <s v="Missing"/>
    <s v="7579647403"/>
    <x v="0"/>
    <s v="Good"/>
    <n v="204"/>
    <s v="Cancelled"/>
    <n v="37898.744658493873"/>
    <n v="6"/>
    <x v="5"/>
    <x v="1"/>
  </r>
  <r>
    <x v="41"/>
    <x v="13"/>
    <n v="23"/>
    <s v="Female"/>
    <s v="Mumbai"/>
    <s v="Rajasthan"/>
    <d v="2024-08-15T00:00:00"/>
    <d v="2024-08-21T00:00:00"/>
    <x v="5"/>
    <s v="Accessories"/>
    <n v="4"/>
    <n v="7537"/>
    <n v="15"/>
    <x v="3"/>
    <s v="Priya"/>
    <x v="0"/>
    <s v="priyayadav@gmail.com"/>
    <s v="6517637347"/>
    <x v="2"/>
    <s v="Bad"/>
    <n v="397"/>
    <s v="Returned"/>
    <n v="25625.8"/>
    <n v="6"/>
    <x v="3"/>
    <x v="1"/>
  </r>
  <r>
    <x v="42"/>
    <x v="36"/>
    <n v="44"/>
    <s v="Male"/>
    <s v="Ahmedabad"/>
    <s v="Delhi"/>
    <d v="2024-02-05T00:00:00"/>
    <d v="2024-02-06T00:00:00"/>
    <x v="0"/>
    <s v="Electronics"/>
    <n v="5"/>
    <n v="10734"/>
    <n v="15"/>
    <x v="2"/>
    <s v="Amit"/>
    <x v="0"/>
    <s v="Missing"/>
    <s v="Missing"/>
    <x v="3"/>
    <s v="Good"/>
    <n v="431"/>
    <s v="Delivered"/>
    <n v="45619.5"/>
    <n v="1"/>
    <x v="8"/>
    <x v="1"/>
  </r>
  <r>
    <x v="43"/>
    <x v="35"/>
    <n v="27"/>
    <s v="Female"/>
    <s v="Ahmedabad"/>
    <s v="Rajasthan"/>
    <d v="2023-02-04T00:00:00"/>
    <d v="2023-02-12T00:00:00"/>
    <x v="1"/>
    <s v="Accessories"/>
    <n v="4"/>
    <n v="73419"/>
    <n v="10"/>
    <x v="3"/>
    <s v="Vikas"/>
    <x v="0"/>
    <s v="nehamehta@gmail.com"/>
    <s v="8078296027"/>
    <x v="4"/>
    <s v="Bad"/>
    <n v="479"/>
    <s v="Cancelled"/>
    <n v="264308.40000000002"/>
    <n v="8"/>
    <x v="8"/>
    <x v="0"/>
  </r>
  <r>
    <x v="44"/>
    <x v="37"/>
    <n v="47"/>
    <s v="Male"/>
    <s v="Amritsar"/>
    <s v="Rajasthan"/>
    <d v="2024-04-13T00:00:00"/>
    <d v="2024-04-20T00:00:00"/>
    <x v="0"/>
    <s v="Electronics"/>
    <n v="3"/>
    <n v="68209"/>
    <n v="5"/>
    <x v="3"/>
    <s v="Pooja"/>
    <x v="0"/>
    <s v="rohitjoshi@gmail.com"/>
    <s v="6567952750"/>
    <x v="3"/>
    <s v="Good"/>
    <n v="124"/>
    <s v="Returned"/>
    <n v="194395.65"/>
    <n v="7"/>
    <x v="1"/>
    <x v="1"/>
  </r>
  <r>
    <x v="45"/>
    <x v="38"/>
    <n v="48"/>
    <s v="Female"/>
    <s v="Ludhiana"/>
    <s v="Rajasthan"/>
    <d v="2024-11-30T00:00:00"/>
    <d v="2024-12-09T00:00:00"/>
    <x v="1"/>
    <s v="Accessories"/>
    <n v="5"/>
    <n v="58638"/>
    <n v="0"/>
    <x v="2"/>
    <s v="Amit"/>
    <x v="1"/>
    <s v="karansharma@gmail.com"/>
    <s v="8584604098"/>
    <x v="2"/>
    <s v="Bad"/>
    <n v="483"/>
    <s v="Delivered"/>
    <n v="293190"/>
    <n v="9"/>
    <x v="7"/>
    <x v="1"/>
  </r>
  <r>
    <x v="46"/>
    <x v="39"/>
    <n v="34"/>
    <s v="Male"/>
    <s v="Ludhiana"/>
    <s v="Punjab"/>
    <d v="2024-05-02T00:00:00"/>
    <d v="2024-05-12T00:00:00"/>
    <x v="3"/>
    <s v="Accessories"/>
    <n v="3"/>
    <n v="70545"/>
    <n v="5"/>
    <x v="1"/>
    <s v="Pooja"/>
    <x v="2"/>
    <s v="rahulsingh@gmail.com"/>
    <s v="9968928393"/>
    <x v="1"/>
    <s v="Good"/>
    <n v="232"/>
    <s v="Delivered"/>
    <n v="201053.25"/>
    <n v="10"/>
    <x v="6"/>
    <x v="1"/>
  </r>
  <r>
    <x v="47"/>
    <x v="40"/>
    <n v="57"/>
    <s v="Male"/>
    <s v="Pune"/>
    <s v="Maharashtra"/>
    <d v="2023-05-06T00:00:00"/>
    <d v="2023-05-10T00:00:00"/>
    <x v="1"/>
    <s v="Electronics"/>
    <n v="1"/>
    <n v="77979"/>
    <n v="10"/>
    <x v="2"/>
    <s v="Vikas"/>
    <x v="3"/>
    <s v="amitagarwal@gmail.com"/>
    <s v="9692344070"/>
    <x v="4"/>
    <s v="Excellent"/>
    <n v="147"/>
    <s v="Delivered"/>
    <n v="70181.100000000006"/>
    <n v="4"/>
    <x v="6"/>
    <x v="0"/>
  </r>
  <r>
    <x v="48"/>
    <x v="41"/>
    <n v="43"/>
    <s v="Male"/>
    <s v="Mumbai"/>
    <s v="Punjab"/>
    <d v="2024-03-30T00:00:00"/>
    <d v="2024-03-31T00:00:00"/>
    <x v="4"/>
    <s v="Accessories"/>
    <n v="4"/>
    <n v="66660"/>
    <n v="10"/>
    <x v="1"/>
    <s v="Vikas"/>
    <x v="0"/>
    <s v="priyakumar@gmail.com"/>
    <s v="6765861438"/>
    <x v="4"/>
    <s v="Average"/>
    <n v="442"/>
    <s v="Returned"/>
    <n v="239976"/>
    <n v="1"/>
    <x v="10"/>
    <x v="1"/>
  </r>
  <r>
    <x v="49"/>
    <x v="42"/>
    <n v="55"/>
    <s v="Male"/>
    <s v="Chandigarh"/>
    <s v="Maharashtra"/>
    <d v="2023-03-17T00:00:00"/>
    <d v="2023-03-27T00:00:00"/>
    <x v="0"/>
    <s v="Accessories"/>
    <n v="2"/>
    <n v="55227"/>
    <n v="0"/>
    <x v="3"/>
    <s v="Anjali"/>
    <x v="2"/>
    <s v="rahulgupta@gmail.com"/>
    <s v="Missing"/>
    <x v="1"/>
    <s v="Excellent"/>
    <n v="290"/>
    <s v="Cancelled"/>
    <n v="110454"/>
    <n v="10"/>
    <x v="10"/>
    <x v="0"/>
  </r>
  <r>
    <x v="50"/>
    <x v="43"/>
    <n v="18"/>
    <s v="Female"/>
    <s v="Delhi"/>
    <s v="Rajasthan"/>
    <d v="2023-06-22T00:00:00"/>
    <d v="2023-06-28T00:00:00"/>
    <x v="5"/>
    <s v="Electronics"/>
    <n v="4"/>
    <n v="31119"/>
    <n v="0"/>
    <x v="1"/>
    <s v="Neha"/>
    <x v="1"/>
    <s v="amitpatel@gmail.com"/>
    <s v="7491699352"/>
    <x v="0"/>
    <s v="Good"/>
    <n v="239"/>
    <s v="Returned"/>
    <n v="124476"/>
    <n v="6"/>
    <x v="9"/>
    <x v="0"/>
  </r>
  <r>
    <x v="51"/>
    <x v="44"/>
    <n v="33"/>
    <s v="Male"/>
    <s v="Amritsar"/>
    <s v="Rajasthan"/>
    <d v="2023-12-11T00:00:00"/>
    <d v="2023-12-19T00:00:00"/>
    <x v="4"/>
    <s v="Electronics"/>
    <n v="3"/>
    <n v="70143"/>
    <n v="0"/>
    <x v="0"/>
    <s v="Karan"/>
    <x v="2"/>
    <s v="karanmehta@gmail.com"/>
    <s v="7017554560"/>
    <x v="3"/>
    <s v="Bad"/>
    <n v="166"/>
    <s v="Cancelled"/>
    <n v="210429"/>
    <n v="8"/>
    <x v="11"/>
    <x v="0"/>
  </r>
  <r>
    <x v="52"/>
    <x v="32"/>
    <n v="55"/>
    <s v="Male"/>
    <s v="Ahmedabad"/>
    <s v="Rajasthan"/>
    <d v="2024-07-19T00:00:00"/>
    <d v="2024-07-23T00:00:00"/>
    <x v="1"/>
    <s v="Accessories"/>
    <n v="4"/>
    <n v="60188"/>
    <n v="10"/>
    <x v="3"/>
    <s v="Rahul"/>
    <x v="3"/>
    <s v="rahuljoshi@gmail.com"/>
    <s v="Missing"/>
    <x v="3"/>
    <s v="Good"/>
    <n v="265"/>
    <s v="Returned"/>
    <n v="216676.80000000002"/>
    <n v="4"/>
    <x v="4"/>
    <x v="1"/>
  </r>
  <r>
    <x v="53"/>
    <x v="4"/>
    <n v="30"/>
    <s v="Male"/>
    <s v="Ludhiana"/>
    <s v="Gujarat"/>
    <d v="2023-09-17T00:00:00"/>
    <d v="2023-09-24T00:00:00"/>
    <x v="1"/>
    <s v="Electronics"/>
    <n v="3"/>
    <n v="35964"/>
    <n v="15"/>
    <x v="1"/>
    <s v="Anjali"/>
    <x v="2"/>
    <s v="rahulyadav@gmail.com"/>
    <s v="6911948962"/>
    <x v="2"/>
    <s v="Bad"/>
    <n v="410"/>
    <s v="Cancelled"/>
    <n v="91708.2"/>
    <n v="7"/>
    <x v="2"/>
    <x v="0"/>
  </r>
  <r>
    <x v="54"/>
    <x v="14"/>
    <n v="57"/>
    <s v="Female"/>
    <s v="Delhi"/>
    <s v="Gujarat"/>
    <d v="2023-06-10T00:00:00"/>
    <d v="2023-06-12T00:00:00"/>
    <x v="5"/>
    <s v="Accessories"/>
    <n v="2.9447852760736195"/>
    <n v="23925"/>
    <n v="0"/>
    <x v="0"/>
    <s v="Rahul"/>
    <x v="3"/>
    <s v="rohitgupta@gmail.com"/>
    <s v="9538782563"/>
    <x v="3"/>
    <s v="Good"/>
    <n v="470"/>
    <s v="Cancelled"/>
    <n v="70453.987730061344"/>
    <n v="2"/>
    <x v="9"/>
    <x v="0"/>
  </r>
  <r>
    <x v="55"/>
    <x v="45"/>
    <n v="18"/>
    <s v="Female"/>
    <s v="Delhi"/>
    <s v="Rajasthan"/>
    <d v="2023-09-24T00:00:00"/>
    <d v="2023-09-29T00:00:00"/>
    <x v="5"/>
    <s v="Electronics"/>
    <n v="5"/>
    <n v="62214"/>
    <n v="10"/>
    <x v="1"/>
    <s v="Neha"/>
    <x v="1"/>
    <s v="snehakumar@gmail.com"/>
    <s v="8654655867"/>
    <x v="1"/>
    <s v="Excellent"/>
    <n v="492"/>
    <s v="Cancelled"/>
    <n v="279963"/>
    <n v="5"/>
    <x v="2"/>
    <x v="0"/>
  </r>
  <r>
    <x v="56"/>
    <x v="26"/>
    <n v="19"/>
    <s v="Male"/>
    <s v="Amritsar"/>
    <s v="Delhi"/>
    <d v="2023-12-22T00:00:00"/>
    <d v="2023-12-26T00:00:00"/>
    <x v="4"/>
    <s v="Electronics"/>
    <n v="1"/>
    <n v="9227"/>
    <n v="5"/>
    <x v="2"/>
    <s v="Rohit"/>
    <x v="1"/>
    <s v="karanjoshi@gmail.com"/>
    <s v="7515415327"/>
    <x v="2"/>
    <s v="Bad"/>
    <n v="272"/>
    <s v="Cancelled"/>
    <n v="8765.65"/>
    <n v="4"/>
    <x v="11"/>
    <x v="0"/>
  </r>
  <r>
    <x v="57"/>
    <x v="29"/>
    <n v="27"/>
    <s v="Female"/>
    <s v="Ludhiana"/>
    <s v="Maharashtra"/>
    <d v="2024-11-04T00:00:00"/>
    <d v="2024-11-10T00:00:00"/>
    <x v="2"/>
    <s v="Electronics"/>
    <n v="5"/>
    <n v="42109.716287215415"/>
    <n v="10"/>
    <x v="0"/>
    <s v="Pooja"/>
    <x v="1"/>
    <s v="vikassharma@gmail.com"/>
    <s v="8378266760"/>
    <x v="0"/>
    <s v="Bad"/>
    <n v="82"/>
    <s v="Returned"/>
    <n v="189493.72329246937"/>
    <n v="6"/>
    <x v="7"/>
    <x v="1"/>
  </r>
  <r>
    <x v="58"/>
    <x v="38"/>
    <n v="24"/>
    <s v="Female"/>
    <s v="Chandigarh"/>
    <s v="Rajasthan"/>
    <d v="2024-06-27T00:00:00"/>
    <d v="2024-06-29T00:00:00"/>
    <x v="2"/>
    <s v="Accessories"/>
    <n v="3"/>
    <n v="73631"/>
    <n v="10"/>
    <x v="2"/>
    <s v="Vikas"/>
    <x v="0"/>
    <s v="karansharma@gmail.com"/>
    <s v="8965305536"/>
    <x v="0"/>
    <s v="Good"/>
    <n v="167"/>
    <s v="Cancelled"/>
    <n v="198803.7"/>
    <n v="2"/>
    <x v="9"/>
    <x v="1"/>
  </r>
  <r>
    <x v="59"/>
    <x v="40"/>
    <n v="35"/>
    <s v="Male"/>
    <s v="Delhi"/>
    <s v="Rajasthan"/>
    <d v="2024-06-15T00:00:00"/>
    <d v="2024-06-25T00:00:00"/>
    <x v="0"/>
    <s v="Accessories"/>
    <n v="4"/>
    <n v="66562"/>
    <n v="0"/>
    <x v="3"/>
    <s v="Sneha"/>
    <x v="2"/>
    <s v="amitagarwal@gmail.com"/>
    <s v="8861911540"/>
    <x v="4"/>
    <s v="Average"/>
    <n v="477"/>
    <s v="Returned"/>
    <n v="266248"/>
    <n v="10"/>
    <x v="9"/>
    <x v="1"/>
  </r>
  <r>
    <x v="60"/>
    <x v="46"/>
    <n v="51"/>
    <s v="Male"/>
    <s v="Pune"/>
    <s v="Gujarat"/>
    <d v="2023-08-03T00:00:00"/>
    <d v="2023-08-04T00:00:00"/>
    <x v="2"/>
    <s v="Accessories"/>
    <n v="5"/>
    <n v="8296"/>
    <n v="0"/>
    <x v="1"/>
    <s v="Neha"/>
    <x v="3"/>
    <s v="rohityadav@gmail.com"/>
    <s v="8328130701"/>
    <x v="2"/>
    <s v="Excellent"/>
    <n v="117"/>
    <s v="Cancelled"/>
    <n v="41480"/>
    <n v="1"/>
    <x v="3"/>
    <x v="0"/>
  </r>
  <r>
    <x v="61"/>
    <x v="7"/>
    <n v="22"/>
    <s v="Male"/>
    <s v="Amritsar"/>
    <s v="Rajasthan"/>
    <d v="2023-01-13T00:00:00"/>
    <d v="2023-01-21T00:00:00"/>
    <x v="0"/>
    <s v="Electronics"/>
    <n v="2"/>
    <n v="41685"/>
    <n v="10"/>
    <x v="1"/>
    <s v="Rohit"/>
    <x v="3"/>
    <s v="vikasyadav@gmail.com"/>
    <s v="Missing"/>
    <x v="1"/>
    <s v="Bad"/>
    <n v="179"/>
    <s v="Returned"/>
    <n v="75033"/>
    <n v="8"/>
    <x v="0"/>
    <x v="0"/>
  </r>
  <r>
    <x v="62"/>
    <x v="19"/>
    <n v="55"/>
    <s v="Female"/>
    <s v="Ludhiana"/>
    <s v="Maharashtra"/>
    <d v="2023-05-07T00:00:00"/>
    <d v="2023-05-17T00:00:00"/>
    <x v="0"/>
    <s v="Accessories"/>
    <n v="5"/>
    <n v="30845"/>
    <n v="15"/>
    <x v="3"/>
    <s v="Sneha"/>
    <x v="0"/>
    <s v="Missing"/>
    <s v="6885825801"/>
    <x v="4"/>
    <s v="Average"/>
    <n v="406"/>
    <s v="Returned"/>
    <n v="131091.25"/>
    <n v="10"/>
    <x v="6"/>
    <x v="0"/>
  </r>
  <r>
    <x v="63"/>
    <x v="8"/>
    <n v="33"/>
    <s v="Male"/>
    <s v="Ahmedabad"/>
    <s v="Maharashtra"/>
    <d v="2023-12-06T00:00:00"/>
    <d v="2023-12-15T00:00:00"/>
    <x v="1"/>
    <s v="Electronics"/>
    <n v="1"/>
    <n v="25123"/>
    <n v="0"/>
    <x v="2"/>
    <s v="Neha"/>
    <x v="1"/>
    <s v="Missing"/>
    <s v="7629826659"/>
    <x v="2"/>
    <s v="Average"/>
    <n v="172"/>
    <s v="Returned"/>
    <n v="25123"/>
    <n v="9"/>
    <x v="11"/>
    <x v="0"/>
  </r>
  <r>
    <x v="64"/>
    <x v="47"/>
    <n v="50"/>
    <s v="Male"/>
    <s v="Ahmedabad"/>
    <s v="Maharashtra"/>
    <d v="2023-03-26T00:00:00"/>
    <d v="2023-04-01T00:00:00"/>
    <x v="4"/>
    <s v="Electronics"/>
    <n v="5"/>
    <n v="75059"/>
    <n v="5"/>
    <x v="0"/>
    <s v="Rohit"/>
    <x v="1"/>
    <s v="nehaagarwal@gmail.com"/>
    <s v="7761337282"/>
    <x v="1"/>
    <s v="Good"/>
    <n v="309"/>
    <s v="Cancelled"/>
    <n v="356530.25"/>
    <n v="6"/>
    <x v="10"/>
    <x v="0"/>
  </r>
  <r>
    <x v="65"/>
    <x v="35"/>
    <n v="54"/>
    <s v="Female"/>
    <s v="Pune"/>
    <s v="Maharashtra"/>
    <d v="2023-10-22T00:00:00"/>
    <d v="2023-10-23T00:00:00"/>
    <x v="5"/>
    <s v="Accessories"/>
    <n v="5"/>
    <n v="40232"/>
    <n v="5"/>
    <x v="3"/>
    <s v="Pooja"/>
    <x v="2"/>
    <s v="Missing"/>
    <s v="6543700056"/>
    <x v="1"/>
    <s v="Good"/>
    <n v="369"/>
    <s v="Delivered"/>
    <n v="191102"/>
    <n v="1"/>
    <x v="5"/>
    <x v="0"/>
  </r>
  <r>
    <x v="66"/>
    <x v="16"/>
    <n v="54"/>
    <s v="Male"/>
    <s v="Jaipur"/>
    <s v="Gujarat"/>
    <d v="2023-08-10T00:00:00"/>
    <d v="2023-08-13T00:00:00"/>
    <x v="1"/>
    <s v="Electronics"/>
    <n v="4"/>
    <n v="62735"/>
    <n v="0"/>
    <x v="2"/>
    <s v="Amit"/>
    <x v="1"/>
    <s v="anjaliverma@gmail.com"/>
    <s v="8176400304"/>
    <x v="1"/>
    <s v="Excellent"/>
    <n v="235"/>
    <s v="Cancelled"/>
    <n v="250940"/>
    <n v="3"/>
    <x v="3"/>
    <x v="0"/>
  </r>
  <r>
    <x v="67"/>
    <x v="48"/>
    <n v="30"/>
    <s v="Male"/>
    <s v="Jaipur"/>
    <s v="Maharashtra"/>
    <d v="2024-10-27T00:00:00"/>
    <d v="2024-11-06T00:00:00"/>
    <x v="1"/>
    <s v="Electronics"/>
    <n v="2"/>
    <n v="49367"/>
    <n v="5"/>
    <x v="1"/>
    <s v="Sneha"/>
    <x v="1"/>
    <s v="anjalijoshi@gmail.com"/>
    <s v="7032069500"/>
    <x v="4"/>
    <s v="Excellent"/>
    <n v="58"/>
    <s v="Returned"/>
    <n v="93797.299999999988"/>
    <n v="10"/>
    <x v="5"/>
    <x v="1"/>
  </r>
  <r>
    <x v="68"/>
    <x v="22"/>
    <n v="54"/>
    <s v="Female"/>
    <s v="Delhi"/>
    <s v="Maharashtra"/>
    <d v="2024-11-25T00:00:00"/>
    <d v="2024-12-05T00:00:00"/>
    <x v="2"/>
    <s v="Accessories"/>
    <n v="1"/>
    <n v="40316"/>
    <n v="15"/>
    <x v="1"/>
    <s v="Sneha"/>
    <x v="0"/>
    <s v="poojakumar@gmail.com"/>
    <s v="8470200310"/>
    <x v="2"/>
    <s v="Good"/>
    <n v="342"/>
    <s v="Delivered"/>
    <n v="34268.6"/>
    <n v="10"/>
    <x v="7"/>
    <x v="1"/>
  </r>
  <r>
    <x v="69"/>
    <x v="31"/>
    <n v="37"/>
    <s v="Female"/>
    <s v="Amritsar"/>
    <s v="Maharashtra"/>
    <d v="2023-02-19T00:00:00"/>
    <d v="2023-02-22T00:00:00"/>
    <x v="2"/>
    <s v="Accessories"/>
    <n v="4"/>
    <n v="68250"/>
    <n v="5"/>
    <x v="0"/>
    <s v="Priya"/>
    <x v="3"/>
    <s v="nehagupta@gmail.com"/>
    <s v="7628005127"/>
    <x v="2"/>
    <s v="Average"/>
    <n v="286"/>
    <s v="Cancelled"/>
    <n v="259350"/>
    <n v="3"/>
    <x v="8"/>
    <x v="0"/>
  </r>
  <r>
    <x v="70"/>
    <x v="49"/>
    <n v="41"/>
    <s v="Female"/>
    <s v="Jaipur"/>
    <s v="Rajasthan"/>
    <d v="2024-11-19T00:00:00"/>
    <d v="2024-11-24T00:00:00"/>
    <x v="4"/>
    <s v="Accessories"/>
    <n v="2"/>
    <n v="26344"/>
    <n v="15"/>
    <x v="3"/>
    <s v="Neha"/>
    <x v="0"/>
    <s v="vikaskumar@gmail.com"/>
    <s v="7948501305"/>
    <x v="1"/>
    <s v="Good"/>
    <n v="406"/>
    <s v="Cancelled"/>
    <n v="44784.799999999996"/>
    <n v="5"/>
    <x v="7"/>
    <x v="1"/>
  </r>
  <r>
    <x v="71"/>
    <x v="6"/>
    <n v="60"/>
    <s v="Male"/>
    <s v="Amritsar"/>
    <s v="Gujarat"/>
    <d v="2024-06-23T00:00:00"/>
    <d v="2024-07-01T00:00:00"/>
    <x v="2"/>
    <s v="Accessories"/>
    <n v="4"/>
    <n v="26242"/>
    <n v="0"/>
    <x v="2"/>
    <s v="Amit"/>
    <x v="3"/>
    <s v="poojayadav@gmail.com"/>
    <s v="Missing"/>
    <x v="3"/>
    <s v="Good"/>
    <n v="186"/>
    <s v="Cancelled"/>
    <n v="104968"/>
    <n v="8"/>
    <x v="9"/>
    <x v="1"/>
  </r>
  <r>
    <x v="72"/>
    <x v="15"/>
    <n v="52"/>
    <s v="Male"/>
    <s v="Pune"/>
    <s v="Rajasthan"/>
    <d v="2024-10-20T00:00:00"/>
    <d v="2024-10-27T00:00:00"/>
    <x v="1"/>
    <s v="Accessories"/>
    <n v="1"/>
    <n v="78615"/>
    <n v="5"/>
    <x v="2"/>
    <s v="Vikas"/>
    <x v="1"/>
    <s v="priyajoshi@gmail.com"/>
    <s v="Missing"/>
    <x v="0"/>
    <s v="Average"/>
    <n v="385"/>
    <s v="Cancelled"/>
    <n v="74684.25"/>
    <n v="7"/>
    <x v="5"/>
    <x v="1"/>
  </r>
  <r>
    <x v="73"/>
    <x v="50"/>
    <n v="23"/>
    <s v="Male"/>
    <s v="Jaipur"/>
    <s v="Delhi"/>
    <d v="2023-01-10T00:00:00"/>
    <d v="2023-01-14T00:00:00"/>
    <x v="5"/>
    <s v="Accessories"/>
    <n v="2"/>
    <n v="6684"/>
    <n v="5"/>
    <x v="3"/>
    <s v="Sneha"/>
    <x v="0"/>
    <s v="amitkumar@gmail.com"/>
    <s v="7391262479"/>
    <x v="3"/>
    <s v="Excellent"/>
    <n v="298"/>
    <s v="Delivered"/>
    <n v="12699.599999999999"/>
    <n v="4"/>
    <x v="0"/>
    <x v="0"/>
  </r>
  <r>
    <x v="74"/>
    <x v="50"/>
    <n v="47"/>
    <s v="Male"/>
    <s v="Jaipur"/>
    <s v="Punjab"/>
    <d v="2023-07-30T00:00:00"/>
    <d v="2023-08-08T00:00:00"/>
    <x v="1"/>
    <s v="Electronics"/>
    <n v="5"/>
    <n v="64527"/>
    <n v="15"/>
    <x v="3"/>
    <s v="Vikas"/>
    <x v="2"/>
    <s v="amitkumar@gmail.com"/>
    <s v="7264987717"/>
    <x v="3"/>
    <s v="Average"/>
    <n v="499"/>
    <s v="Returned"/>
    <n v="274239.75"/>
    <n v="9"/>
    <x v="4"/>
    <x v="0"/>
  </r>
  <r>
    <x v="75"/>
    <x v="19"/>
    <n v="30"/>
    <s v="Male"/>
    <s v="Delhi"/>
    <s v="Rajasthan"/>
    <d v="2023-10-22T00:00:00"/>
    <d v="2023-11-01T00:00:00"/>
    <x v="4"/>
    <s v="Accessories"/>
    <n v="3"/>
    <n v="38262"/>
    <n v="10"/>
    <x v="0"/>
    <s v="Vikas"/>
    <x v="3"/>
    <s v="vikasagarwal@gmail.com"/>
    <s v="6654524462"/>
    <x v="1"/>
    <s v="Excellent"/>
    <n v="166"/>
    <s v="Returned"/>
    <n v="103307.40000000001"/>
    <n v="10"/>
    <x v="5"/>
    <x v="0"/>
  </r>
  <r>
    <x v="76"/>
    <x v="45"/>
    <n v="47"/>
    <s v="Male"/>
    <s v="Pune"/>
    <s v="Rajasthan"/>
    <d v="2023-09-30T00:00:00"/>
    <d v="2023-10-01T00:00:00"/>
    <x v="5"/>
    <s v="Electronics"/>
    <n v="2"/>
    <n v="39244"/>
    <n v="15"/>
    <x v="2"/>
    <s v="Pooja"/>
    <x v="1"/>
    <s v="snehakumar@gmail.com"/>
    <s v="7726245784"/>
    <x v="1"/>
    <s v="Excellent"/>
    <n v="194"/>
    <s v="Returned"/>
    <n v="66714.8"/>
    <n v="1"/>
    <x v="2"/>
    <x v="0"/>
  </r>
  <r>
    <x v="77"/>
    <x v="21"/>
    <n v="38"/>
    <s v="Female"/>
    <s v="Jaipur"/>
    <s v="Maharashtra"/>
    <d v="2023-04-24T00:00:00"/>
    <d v="2023-05-04T00:00:00"/>
    <x v="0"/>
    <s v="Accessories"/>
    <n v="2.9447852760736195"/>
    <n v="34461"/>
    <n v="15"/>
    <x v="1"/>
    <s v="Vikas"/>
    <x v="1"/>
    <s v="Missing"/>
    <s v="8839768039"/>
    <x v="0"/>
    <s v="Excellent"/>
    <n v="448"/>
    <s v="Delivered"/>
    <n v="86258.208588957044"/>
    <n v="10"/>
    <x v="1"/>
    <x v="0"/>
  </r>
  <r>
    <x v="78"/>
    <x v="51"/>
    <n v="56"/>
    <s v="Male"/>
    <s v="Delhi"/>
    <s v="Rajasthan"/>
    <d v="2023-08-04T00:00:00"/>
    <d v="2023-08-14T00:00:00"/>
    <x v="3"/>
    <s v="Accessories"/>
    <n v="5"/>
    <n v="65108"/>
    <n v="10"/>
    <x v="1"/>
    <s v="Pooja"/>
    <x v="3"/>
    <s v="Missing"/>
    <s v="9770046799"/>
    <x v="3"/>
    <s v="Good"/>
    <n v="482"/>
    <s v="Returned"/>
    <n v="292986"/>
    <n v="10"/>
    <x v="3"/>
    <x v="0"/>
  </r>
  <r>
    <x v="79"/>
    <x v="52"/>
    <n v="45"/>
    <s v="Female"/>
    <s v="Chandigarh"/>
    <s v="Delhi"/>
    <d v="2024-11-12T00:00:00"/>
    <d v="2024-11-17T00:00:00"/>
    <x v="0"/>
    <s v="Electronics"/>
    <n v="2"/>
    <n v="13900"/>
    <n v="10"/>
    <x v="0"/>
    <s v="Rahul"/>
    <x v="3"/>
    <s v="Missing"/>
    <s v="6377237011"/>
    <x v="1"/>
    <s v="Bad"/>
    <n v="152"/>
    <s v="Cancelled"/>
    <n v="25020"/>
    <n v="5"/>
    <x v="7"/>
    <x v="1"/>
  </r>
  <r>
    <x v="80"/>
    <x v="53"/>
    <n v="50"/>
    <s v="Male"/>
    <s v="Amritsar"/>
    <s v="Maharashtra"/>
    <d v="2023-10-11T00:00:00"/>
    <d v="2023-10-21T00:00:00"/>
    <x v="2"/>
    <s v="Accessories"/>
    <n v="2.9447852760736195"/>
    <n v="54993"/>
    <n v="5"/>
    <x v="1"/>
    <s v="Rohit"/>
    <x v="3"/>
    <s v="nehasharma@gmail.com"/>
    <s v="7810100358"/>
    <x v="4"/>
    <s v="Excellent"/>
    <n v="401"/>
    <s v="Delivered"/>
    <n v="153845.44785276073"/>
    <n v="10"/>
    <x v="5"/>
    <x v="0"/>
  </r>
  <r>
    <x v="81"/>
    <x v="54"/>
    <n v="36"/>
    <s v="Male"/>
    <s v="Delhi"/>
    <s v="Delhi"/>
    <d v="2024-08-09T00:00:00"/>
    <d v="2024-08-10T00:00:00"/>
    <x v="1"/>
    <s v="Accessories"/>
    <n v="3"/>
    <n v="26105"/>
    <n v="10"/>
    <x v="3"/>
    <s v="Neha"/>
    <x v="2"/>
    <s v="Missing"/>
    <s v="7904211591"/>
    <x v="0"/>
    <s v="Excellent"/>
    <n v="185"/>
    <s v="Cancelled"/>
    <n v="70483.5"/>
    <n v="1"/>
    <x v="3"/>
    <x v="1"/>
  </r>
  <r>
    <x v="82"/>
    <x v="55"/>
    <n v="39"/>
    <s v="Female"/>
    <s v="Jaipur"/>
    <s v="Punjab"/>
    <d v="2023-09-30T00:00:00"/>
    <d v="2023-10-07T00:00:00"/>
    <x v="3"/>
    <s v="Accessories"/>
    <n v="3"/>
    <n v="47367"/>
    <n v="0"/>
    <x v="2"/>
    <s v="Priya"/>
    <x v="0"/>
    <s v="amitverma@gmail.com"/>
    <s v="8960221749"/>
    <x v="4"/>
    <s v="Bad"/>
    <n v="267"/>
    <s v="Returned"/>
    <n v="142101"/>
    <n v="7"/>
    <x v="2"/>
    <x v="0"/>
  </r>
  <r>
    <x v="83"/>
    <x v="8"/>
    <n v="36"/>
    <s v="Male"/>
    <s v="Ahmedabad"/>
    <s v="Maharashtra"/>
    <d v="2023-09-24T00:00:00"/>
    <d v="2023-09-26T00:00:00"/>
    <x v="3"/>
    <s v="Electronics"/>
    <n v="5"/>
    <n v="57171"/>
    <n v="15"/>
    <x v="3"/>
    <s v="Sneha"/>
    <x v="0"/>
    <s v="Missing"/>
    <s v="7124375345"/>
    <x v="2"/>
    <s v="Good"/>
    <n v="89"/>
    <s v="Delivered"/>
    <n v="242976.75"/>
    <n v="2"/>
    <x v="2"/>
    <x v="0"/>
  </r>
  <r>
    <x v="84"/>
    <x v="56"/>
    <n v="50"/>
    <s v="Female"/>
    <s v="Chandigarh"/>
    <s v="Maharashtra"/>
    <d v="2024-11-15T00:00:00"/>
    <d v="2024-11-22T00:00:00"/>
    <x v="2"/>
    <s v="Accessories"/>
    <n v="2"/>
    <n v="54558"/>
    <n v="0"/>
    <x v="1"/>
    <s v="Priya"/>
    <x v="3"/>
    <s v="anjalisharma@gmail.com"/>
    <s v="9020736720"/>
    <x v="2"/>
    <s v="Good"/>
    <n v="114"/>
    <s v="Delivered"/>
    <n v="109116"/>
    <n v="7"/>
    <x v="7"/>
    <x v="1"/>
  </r>
  <r>
    <x v="85"/>
    <x v="44"/>
    <n v="19"/>
    <s v="Male"/>
    <s v="Amritsar"/>
    <s v="Rajasthan"/>
    <d v="2024-07-31T00:00:00"/>
    <d v="2024-08-10T00:00:00"/>
    <x v="5"/>
    <s v="Electronics"/>
    <n v="5"/>
    <n v="19728"/>
    <n v="15"/>
    <x v="3"/>
    <s v="Rohit"/>
    <x v="1"/>
    <s v="karanmehta@gmail.com"/>
    <s v="7605728377"/>
    <x v="4"/>
    <s v="Excellent"/>
    <n v="162"/>
    <s v="Returned"/>
    <n v="83844"/>
    <n v="10"/>
    <x v="4"/>
    <x v="1"/>
  </r>
  <r>
    <x v="86"/>
    <x v="54"/>
    <n v="51"/>
    <s v="Male"/>
    <s v="Delhi"/>
    <s v="Maharashtra"/>
    <d v="2024-07-11T00:00:00"/>
    <d v="2024-07-15T00:00:00"/>
    <x v="1"/>
    <s v="Accessories"/>
    <n v="5"/>
    <n v="43480"/>
    <n v="0"/>
    <x v="2"/>
    <s v="Pooja"/>
    <x v="1"/>
    <s v="karankumar@gmail.com"/>
    <s v="7158852849"/>
    <x v="1"/>
    <s v="Bad"/>
    <n v="163"/>
    <s v="Delivered"/>
    <n v="217400"/>
    <n v="4"/>
    <x v="4"/>
    <x v="1"/>
  </r>
  <r>
    <x v="87"/>
    <x v="57"/>
    <n v="59"/>
    <s v="Male"/>
    <s v="Mumbai"/>
    <s v="Delhi"/>
    <d v="2024-05-02T00:00:00"/>
    <d v="2024-05-07T00:00:00"/>
    <x v="2"/>
    <s v="Electronics"/>
    <n v="1"/>
    <n v="5062"/>
    <n v="15"/>
    <x v="1"/>
    <s v="Priya"/>
    <x v="2"/>
    <s v="nehajoshi@gmail.com"/>
    <s v="7279752874"/>
    <x v="0"/>
    <s v="Good"/>
    <n v="318"/>
    <s v="Returned"/>
    <n v="4302.7"/>
    <n v="5"/>
    <x v="6"/>
    <x v="1"/>
  </r>
  <r>
    <x v="88"/>
    <x v="58"/>
    <n v="41"/>
    <s v="Male"/>
    <s v="Ahmedabad"/>
    <s v="Rajasthan"/>
    <d v="2024-11-21T00:00:00"/>
    <d v="2024-11-29T00:00:00"/>
    <x v="3"/>
    <s v="Accessories"/>
    <n v="2"/>
    <n v="19664"/>
    <n v="5"/>
    <x v="1"/>
    <s v="Amit"/>
    <x v="2"/>
    <s v="vikasgupta@gmail.com"/>
    <s v="7302393751"/>
    <x v="2"/>
    <s v="Average"/>
    <n v="474"/>
    <s v="Delivered"/>
    <n v="37361.599999999999"/>
    <n v="8"/>
    <x v="7"/>
    <x v="1"/>
  </r>
  <r>
    <x v="89"/>
    <x v="59"/>
    <n v="32"/>
    <s v="Male"/>
    <s v="Ahmedabad"/>
    <s v="Delhi"/>
    <d v="2024-03-08T00:00:00"/>
    <d v="2024-03-14T00:00:00"/>
    <x v="5"/>
    <s v="Electronics"/>
    <n v="5"/>
    <n v="38540"/>
    <n v="0"/>
    <x v="2"/>
    <s v="Amit"/>
    <x v="3"/>
    <s v="amitjoshi@gmail.com"/>
    <s v="6562253326"/>
    <x v="0"/>
    <s v="Average"/>
    <n v="284"/>
    <s v="Delivered"/>
    <n v="192700"/>
    <n v="6"/>
    <x v="10"/>
    <x v="1"/>
  </r>
  <r>
    <x v="90"/>
    <x v="48"/>
    <n v="32"/>
    <s v="Male"/>
    <s v="Ludhiana"/>
    <s v="Rajasthan"/>
    <d v="2023-12-20T00:00:00"/>
    <d v="2023-12-28T00:00:00"/>
    <x v="2"/>
    <s v="Electronics"/>
    <n v="4"/>
    <n v="42109.716287215415"/>
    <n v="10"/>
    <x v="3"/>
    <s v="Neha"/>
    <x v="0"/>
    <s v="anjalijoshi@gmail.com"/>
    <s v="9930091531"/>
    <x v="2"/>
    <s v="Excellent"/>
    <n v="54"/>
    <s v="Returned"/>
    <n v="151594.97863397549"/>
    <n v="8"/>
    <x v="11"/>
    <x v="0"/>
  </r>
  <r>
    <x v="91"/>
    <x v="38"/>
    <n v="22"/>
    <s v="Male"/>
    <s v="Amritsar"/>
    <s v="Delhi"/>
    <d v="2023-05-26T00:00:00"/>
    <d v="2023-05-30T00:00:00"/>
    <x v="1"/>
    <s v="Accessories"/>
    <n v="1"/>
    <n v="44210"/>
    <n v="15"/>
    <x v="3"/>
    <s v="Vikas"/>
    <x v="0"/>
    <s v="karansharma@gmail.com"/>
    <s v="Missing"/>
    <x v="4"/>
    <s v="Bad"/>
    <n v="270"/>
    <s v="Delivered"/>
    <n v="37578.5"/>
    <n v="4"/>
    <x v="6"/>
    <x v="0"/>
  </r>
  <r>
    <x v="92"/>
    <x v="6"/>
    <n v="36"/>
    <s v="Female"/>
    <s v="Ludhiana"/>
    <s v="Delhi"/>
    <d v="2024-05-15T00:00:00"/>
    <d v="2024-05-24T00:00:00"/>
    <x v="5"/>
    <s v="Accessories"/>
    <n v="1"/>
    <n v="21287"/>
    <n v="15"/>
    <x v="2"/>
    <s v="Sneha"/>
    <x v="3"/>
    <s v="poojayadav@gmail.com"/>
    <s v="6687342095"/>
    <x v="0"/>
    <s v="Good"/>
    <n v="263"/>
    <s v="Cancelled"/>
    <n v="18093.95"/>
    <n v="9"/>
    <x v="6"/>
    <x v="1"/>
  </r>
  <r>
    <x v="93"/>
    <x v="60"/>
    <n v="45"/>
    <s v="Male"/>
    <s v="Ahmedabad"/>
    <s v="Punjab"/>
    <d v="2024-02-28T00:00:00"/>
    <d v="2024-03-06T00:00:00"/>
    <x v="3"/>
    <s v="Electronics"/>
    <n v="3"/>
    <n v="78099"/>
    <n v="0"/>
    <x v="0"/>
    <s v="Vikas"/>
    <x v="0"/>
    <s v="amitsharma@gmail.com"/>
    <s v="7704272626"/>
    <x v="2"/>
    <s v="Bad"/>
    <n v="398"/>
    <s v="Cancelled"/>
    <n v="234297"/>
    <n v="7"/>
    <x v="8"/>
    <x v="1"/>
  </r>
  <r>
    <x v="94"/>
    <x v="61"/>
    <n v="25"/>
    <s v="Male"/>
    <s v="Amritsar"/>
    <s v="Delhi"/>
    <d v="2023-09-05T00:00:00"/>
    <d v="2023-09-14T00:00:00"/>
    <x v="0"/>
    <s v="Accessories"/>
    <n v="2"/>
    <n v="39105"/>
    <n v="10"/>
    <x v="0"/>
    <s v="Priya"/>
    <x v="3"/>
    <s v="anjalikumar@gmail.com"/>
    <s v="Missing"/>
    <x v="1"/>
    <s v="Bad"/>
    <n v="214"/>
    <s v="Delivered"/>
    <n v="70389"/>
    <n v="9"/>
    <x v="2"/>
    <x v="0"/>
  </r>
  <r>
    <x v="95"/>
    <x v="20"/>
    <n v="31"/>
    <s v="Male"/>
    <s v="Ludhiana"/>
    <s v="Punjab"/>
    <d v="2024-09-12T00:00:00"/>
    <d v="2024-09-18T00:00:00"/>
    <x v="0"/>
    <s v="Electronics"/>
    <n v="4"/>
    <n v="15586"/>
    <n v="10"/>
    <x v="3"/>
    <s v="Pooja"/>
    <x v="0"/>
    <s v="priyasingh@gmail.com"/>
    <s v="7921019299"/>
    <x v="0"/>
    <s v="Good"/>
    <n v="153"/>
    <s v="Cancelled"/>
    <n v="56109.599999999999"/>
    <n v="6"/>
    <x v="2"/>
    <x v="1"/>
  </r>
  <r>
    <x v="96"/>
    <x v="62"/>
    <n v="26"/>
    <s v="Female"/>
    <s v="Chandigarh"/>
    <s v="Delhi"/>
    <d v="2023-05-02T00:00:00"/>
    <d v="2023-05-12T00:00:00"/>
    <x v="4"/>
    <s v="Electronics"/>
    <n v="3"/>
    <n v="49835"/>
    <n v="10"/>
    <x v="3"/>
    <s v="Priya"/>
    <x v="2"/>
    <s v="anjalisingh@gmail.com"/>
    <s v="6839860278"/>
    <x v="2"/>
    <s v="Average"/>
    <n v="167"/>
    <s v="Delivered"/>
    <n v="134554.5"/>
    <n v="10"/>
    <x v="6"/>
    <x v="0"/>
  </r>
  <r>
    <x v="97"/>
    <x v="63"/>
    <n v="48"/>
    <s v="Female"/>
    <s v="Mumbai"/>
    <s v="Punjab"/>
    <d v="2024-05-30T00:00:00"/>
    <d v="2024-06-03T00:00:00"/>
    <x v="1"/>
    <s v="Electronics"/>
    <n v="3"/>
    <n v="77630"/>
    <n v="5"/>
    <x v="3"/>
    <s v="Amit"/>
    <x v="3"/>
    <s v="priyagupta@gmail.com"/>
    <s v="9683536942"/>
    <x v="3"/>
    <s v="Good"/>
    <n v="441"/>
    <s v="Delivered"/>
    <n v="221245.5"/>
    <n v="4"/>
    <x v="6"/>
    <x v="1"/>
  </r>
  <r>
    <x v="98"/>
    <x v="32"/>
    <n v="38"/>
    <s v="Male"/>
    <s v="Ludhiana"/>
    <s v="Maharashtra"/>
    <d v="2024-07-26T00:00:00"/>
    <d v="2024-07-31T00:00:00"/>
    <x v="5"/>
    <s v="Electronics"/>
    <n v="3"/>
    <n v="42109.716287215415"/>
    <n v="10"/>
    <x v="0"/>
    <s v="Amit"/>
    <x v="0"/>
    <s v="rahuljoshi@gmail.com"/>
    <s v="7663057138"/>
    <x v="1"/>
    <s v="Average"/>
    <n v="379"/>
    <s v="Delivered"/>
    <n v="113696.23397548162"/>
    <n v="5"/>
    <x v="4"/>
    <x v="1"/>
  </r>
  <r>
    <x v="99"/>
    <x v="64"/>
    <n v="46"/>
    <s v="Male"/>
    <s v="Delhi"/>
    <s v="Delhi"/>
    <d v="2023-09-28T00:00:00"/>
    <d v="2023-10-04T00:00:00"/>
    <x v="4"/>
    <s v="Electronics"/>
    <n v="2.9447852760736195"/>
    <n v="16725"/>
    <n v="5"/>
    <x v="1"/>
    <s v="Anjali"/>
    <x v="3"/>
    <s v="vikasverma@gmail.com"/>
    <s v="9768103700"/>
    <x v="3"/>
    <s v="Average"/>
    <n v="337"/>
    <s v="Delivered"/>
    <n v="46788.95705521472"/>
    <n v="6"/>
    <x v="2"/>
    <x v="0"/>
  </r>
  <r>
    <x v="100"/>
    <x v="52"/>
    <n v="57"/>
    <s v="Female"/>
    <s v="Ahmedabad"/>
    <s v="Rajasthan"/>
    <d v="2024-03-19T00:00:00"/>
    <d v="2024-03-21T00:00:00"/>
    <x v="5"/>
    <s v="Accessories"/>
    <n v="5"/>
    <n v="7146"/>
    <n v="5"/>
    <x v="0"/>
    <s v="Pooja"/>
    <x v="1"/>
    <s v="rohitsharma@gmail.com"/>
    <s v="7358477845"/>
    <x v="4"/>
    <s v="Excellent"/>
    <n v="206"/>
    <s v="Cancelled"/>
    <n v="33943.5"/>
    <n v="2"/>
    <x v="10"/>
    <x v="1"/>
  </r>
  <r>
    <x v="101"/>
    <x v="17"/>
    <n v="23"/>
    <s v="Male"/>
    <s v="Ahmedabad"/>
    <s v="Delhi"/>
    <d v="2023-04-24T00:00:00"/>
    <d v="2023-04-30T00:00:00"/>
    <x v="3"/>
    <s v="Electronics"/>
    <n v="2"/>
    <n v="38650"/>
    <n v="10"/>
    <x v="0"/>
    <s v="Neha"/>
    <x v="3"/>
    <s v="Missing"/>
    <s v="7060605422"/>
    <x v="2"/>
    <s v="Excellent"/>
    <n v="111"/>
    <s v="Delivered"/>
    <n v="69570"/>
    <n v="6"/>
    <x v="1"/>
    <x v="0"/>
  </r>
  <r>
    <x v="102"/>
    <x v="65"/>
    <n v="42"/>
    <s v="Female"/>
    <s v="Amritsar"/>
    <s v="Gujarat"/>
    <d v="2024-09-25T00:00:00"/>
    <d v="2024-10-05T00:00:00"/>
    <x v="1"/>
    <s v="Electronics"/>
    <n v="5"/>
    <n v="23481"/>
    <n v="0"/>
    <x v="3"/>
    <s v="Neha"/>
    <x v="0"/>
    <s v="nehaverma@gmail.com"/>
    <s v="9920527177"/>
    <x v="1"/>
    <s v="Excellent"/>
    <n v="117"/>
    <s v="Delivered"/>
    <n v="117405"/>
    <n v="10"/>
    <x v="2"/>
    <x v="1"/>
  </r>
  <r>
    <x v="103"/>
    <x v="64"/>
    <n v="59"/>
    <s v="Male"/>
    <s v="Jaipur"/>
    <s v="Punjab"/>
    <d v="2023-09-16T00:00:00"/>
    <d v="2023-09-24T00:00:00"/>
    <x v="3"/>
    <s v="Accessories"/>
    <n v="3"/>
    <n v="67571"/>
    <n v="15"/>
    <x v="2"/>
    <s v="Vikas"/>
    <x v="1"/>
    <s v="vikasverma@gmail.com"/>
    <s v="9763414094"/>
    <x v="3"/>
    <s v="Excellent"/>
    <n v="169"/>
    <s v="Delivered"/>
    <n v="172306.05"/>
    <n v="8"/>
    <x v="2"/>
    <x v="0"/>
  </r>
  <r>
    <x v="104"/>
    <x v="17"/>
    <n v="45"/>
    <s v="Female"/>
    <s v="Jaipur"/>
    <s v="Maharashtra"/>
    <d v="2023-06-08T00:00:00"/>
    <d v="2023-06-12T00:00:00"/>
    <x v="5"/>
    <s v="Accessories"/>
    <n v="2"/>
    <n v="64529"/>
    <n v="15"/>
    <x v="1"/>
    <s v="Rahul"/>
    <x v="3"/>
    <s v="rohitpatel@gmail.com"/>
    <s v="8103539789"/>
    <x v="3"/>
    <s v="Average"/>
    <n v="225"/>
    <s v="Delivered"/>
    <n v="109699.3"/>
    <n v="4"/>
    <x v="9"/>
    <x v="0"/>
  </r>
  <r>
    <x v="105"/>
    <x v="14"/>
    <n v="18"/>
    <s v="Male"/>
    <s v="Mumbai"/>
    <s v="Punjab"/>
    <d v="2023-05-20T00:00:00"/>
    <d v="2023-05-23T00:00:00"/>
    <x v="5"/>
    <s v="Electronics"/>
    <n v="4"/>
    <n v="41660"/>
    <n v="5"/>
    <x v="0"/>
    <s v="Pooja"/>
    <x v="3"/>
    <s v="Missing"/>
    <s v="7914584229"/>
    <x v="0"/>
    <s v="Excellent"/>
    <n v="397"/>
    <s v="Cancelled"/>
    <n v="158308"/>
    <n v="3"/>
    <x v="6"/>
    <x v="0"/>
  </r>
  <r>
    <x v="106"/>
    <x v="47"/>
    <n v="36"/>
    <s v="Female"/>
    <s v="Delhi"/>
    <s v="Punjab"/>
    <d v="2024-03-09T00:00:00"/>
    <d v="2024-03-19T00:00:00"/>
    <x v="2"/>
    <s v="Electronics"/>
    <n v="2"/>
    <n v="67480"/>
    <n v="0"/>
    <x v="1"/>
    <s v="Sneha"/>
    <x v="0"/>
    <s v="nehaagarwal@gmail.com"/>
    <s v="8920209099"/>
    <x v="3"/>
    <s v="Good"/>
    <n v="139"/>
    <s v="Returned"/>
    <n v="134960"/>
    <n v="10"/>
    <x v="10"/>
    <x v="1"/>
  </r>
  <r>
    <x v="107"/>
    <x v="66"/>
    <n v="48"/>
    <s v="Female"/>
    <s v="Chandigarh"/>
    <s v="Rajasthan"/>
    <d v="2024-10-21T00:00:00"/>
    <d v="2024-10-31T00:00:00"/>
    <x v="5"/>
    <s v="Accessories"/>
    <n v="3"/>
    <n v="42106"/>
    <n v="0"/>
    <x v="3"/>
    <s v="Amit"/>
    <x v="3"/>
    <s v="nehasingh@gmail.com"/>
    <s v="9571647284"/>
    <x v="1"/>
    <s v="Average"/>
    <n v="289"/>
    <s v="Returned"/>
    <n v="126318"/>
    <n v="10"/>
    <x v="5"/>
    <x v="1"/>
  </r>
  <r>
    <x v="108"/>
    <x v="51"/>
    <n v="30"/>
    <s v="Female"/>
    <s v="Ahmedabad"/>
    <s v="Punjab"/>
    <d v="2024-08-17T00:00:00"/>
    <d v="2024-08-24T00:00:00"/>
    <x v="4"/>
    <s v="Accessories"/>
    <n v="3"/>
    <n v="72446"/>
    <n v="0"/>
    <x v="1"/>
    <s v="Pooja"/>
    <x v="3"/>
    <s v="priyaverma@gmail.com"/>
    <s v="9191999923"/>
    <x v="3"/>
    <s v="Bad"/>
    <n v="277"/>
    <s v="Cancelled"/>
    <n v="217338"/>
    <n v="7"/>
    <x v="3"/>
    <x v="1"/>
  </r>
  <r>
    <x v="109"/>
    <x v="0"/>
    <n v="21"/>
    <s v="Male"/>
    <s v="Pune"/>
    <s v="Maharashtra"/>
    <d v="2023-03-29T00:00:00"/>
    <d v="2023-04-07T00:00:00"/>
    <x v="4"/>
    <s v="Electronics"/>
    <n v="1"/>
    <n v="34533"/>
    <n v="5"/>
    <x v="1"/>
    <s v="Karan"/>
    <x v="0"/>
    <s v="poojamehta@gmail.com"/>
    <s v="9045199141"/>
    <x v="4"/>
    <s v="Excellent"/>
    <n v="475"/>
    <s v="Delivered"/>
    <n v="32806.35"/>
    <n v="9"/>
    <x v="10"/>
    <x v="0"/>
  </r>
  <r>
    <x v="110"/>
    <x v="67"/>
    <n v="44"/>
    <s v="Male"/>
    <s v="Mumbai"/>
    <s v="Delhi"/>
    <d v="2023-06-17T00:00:00"/>
    <d v="2023-06-22T00:00:00"/>
    <x v="2"/>
    <s v="Accessories"/>
    <n v="3"/>
    <n v="22599"/>
    <n v="15"/>
    <x v="3"/>
    <s v="Rahul"/>
    <x v="2"/>
    <s v="karanyadav@gmail.com"/>
    <s v="6789126759"/>
    <x v="4"/>
    <s v="Excellent"/>
    <n v="86"/>
    <s v="Cancelled"/>
    <n v="57627.45"/>
    <n v="5"/>
    <x v="9"/>
    <x v="0"/>
  </r>
  <r>
    <x v="111"/>
    <x v="68"/>
    <n v="41"/>
    <s v="Female"/>
    <s v="Delhi"/>
    <s v="Maharashtra"/>
    <d v="2024-07-21T00:00:00"/>
    <d v="2024-07-23T00:00:00"/>
    <x v="2"/>
    <s v="Electronics"/>
    <n v="4"/>
    <n v="42109.716287215415"/>
    <n v="5"/>
    <x v="2"/>
    <s v="Neha"/>
    <x v="1"/>
    <s v="poojasingh@gmail.com"/>
    <s v="8101150045"/>
    <x v="0"/>
    <s v="Good"/>
    <n v="267"/>
    <s v="Returned"/>
    <n v="160016.92189141858"/>
    <n v="2"/>
    <x v="4"/>
    <x v="1"/>
  </r>
  <r>
    <x v="112"/>
    <x v="69"/>
    <n v="57"/>
    <s v="Male"/>
    <s v="Chandigarh"/>
    <s v="Maharashtra"/>
    <d v="2023-01-11T00:00:00"/>
    <d v="2023-01-15T00:00:00"/>
    <x v="3"/>
    <s v="Electronics"/>
    <n v="5"/>
    <n v="61727"/>
    <n v="15"/>
    <x v="1"/>
    <s v="Amit"/>
    <x v="1"/>
    <s v="karanpatel@gmail.com"/>
    <s v="9100910045"/>
    <x v="1"/>
    <s v="Excellent"/>
    <n v="410"/>
    <s v="Delivered"/>
    <n v="262339.75"/>
    <n v="4"/>
    <x v="0"/>
    <x v="0"/>
  </r>
  <r>
    <x v="113"/>
    <x v="70"/>
    <n v="29"/>
    <s v="Female"/>
    <s v="Pune"/>
    <s v="Gujarat"/>
    <d v="2024-03-12T00:00:00"/>
    <d v="2024-03-15T00:00:00"/>
    <x v="1"/>
    <s v="Accessories"/>
    <n v="1"/>
    <n v="25412"/>
    <n v="0"/>
    <x v="1"/>
    <s v="Pooja"/>
    <x v="0"/>
    <s v="amityadav@gmail.com"/>
    <s v="6639679622"/>
    <x v="0"/>
    <s v="Excellent"/>
    <n v="368"/>
    <s v="Cancelled"/>
    <n v="25412"/>
    <n v="3"/>
    <x v="10"/>
    <x v="1"/>
  </r>
  <r>
    <x v="114"/>
    <x v="71"/>
    <n v="50"/>
    <s v="Male"/>
    <s v="Pune"/>
    <s v="Punjab"/>
    <d v="2023-10-15T00:00:00"/>
    <d v="2023-10-18T00:00:00"/>
    <x v="1"/>
    <s v="Accessories"/>
    <n v="5"/>
    <n v="59889"/>
    <n v="5"/>
    <x v="1"/>
    <s v="Anjali"/>
    <x v="3"/>
    <s v="rohitverma@gmail.com"/>
    <s v="7517983659"/>
    <x v="1"/>
    <s v="Excellent"/>
    <n v="82"/>
    <s v="Cancelled"/>
    <n v="284472.75"/>
    <n v="3"/>
    <x v="5"/>
    <x v="0"/>
  </r>
  <r>
    <x v="115"/>
    <x v="55"/>
    <n v="43"/>
    <s v="Female"/>
    <s v="Delhi"/>
    <s v="Punjab"/>
    <d v="2024-02-19T00:00:00"/>
    <d v="2024-02-29T00:00:00"/>
    <x v="5"/>
    <s v="Electronics"/>
    <n v="3"/>
    <n v="15052"/>
    <n v="15"/>
    <x v="1"/>
    <s v="Rahul"/>
    <x v="0"/>
    <s v="Missing"/>
    <s v="9804299370"/>
    <x v="2"/>
    <s v="Bad"/>
    <n v="344"/>
    <s v="Delivered"/>
    <n v="38382.6"/>
    <n v="10"/>
    <x v="8"/>
    <x v="1"/>
  </r>
  <r>
    <x v="116"/>
    <x v="27"/>
    <n v="32"/>
    <s v="Female"/>
    <s v="Pune"/>
    <s v="Punjab"/>
    <d v="2024-07-02T00:00:00"/>
    <d v="2024-07-10T00:00:00"/>
    <x v="4"/>
    <s v="Electronics"/>
    <n v="4"/>
    <n v="59969"/>
    <n v="15"/>
    <x v="2"/>
    <s v="Pooja"/>
    <x v="0"/>
    <s v="priyasharma@gmail.com"/>
    <s v="8051959695"/>
    <x v="4"/>
    <s v="Good"/>
    <n v="201"/>
    <s v="Returned"/>
    <n v="203894.6"/>
    <n v="8"/>
    <x v="4"/>
    <x v="1"/>
  </r>
  <r>
    <x v="117"/>
    <x v="72"/>
    <n v="43"/>
    <s v="Male"/>
    <s v="Chandigarh"/>
    <s v="Maharashtra"/>
    <d v="2024-11-25T00:00:00"/>
    <d v="2024-12-04T00:00:00"/>
    <x v="1"/>
    <s v="Accessories"/>
    <n v="4"/>
    <n v="7915"/>
    <n v="5"/>
    <x v="2"/>
    <s v="Vikas"/>
    <x v="3"/>
    <s v="Missing"/>
    <s v="Missing"/>
    <x v="4"/>
    <s v="Good"/>
    <n v="313"/>
    <s v="Returned"/>
    <n v="30077"/>
    <n v="9"/>
    <x v="7"/>
    <x v="1"/>
  </r>
  <r>
    <x v="118"/>
    <x v="34"/>
    <n v="56"/>
    <s v="Male"/>
    <s v="Chandigarh"/>
    <s v="Punjab"/>
    <d v="2023-12-12T00:00:00"/>
    <d v="2023-12-17T00:00:00"/>
    <x v="4"/>
    <s v="Accessories"/>
    <n v="2"/>
    <n v="49237"/>
    <n v="5"/>
    <x v="2"/>
    <s v="Rahul"/>
    <x v="2"/>
    <s v="Missing"/>
    <s v="8411369421"/>
    <x v="1"/>
    <s v="Excellent"/>
    <n v="368"/>
    <s v="Returned"/>
    <n v="93550.299999999988"/>
    <n v="5"/>
    <x v="11"/>
    <x v="0"/>
  </r>
  <r>
    <x v="119"/>
    <x v="73"/>
    <n v="58"/>
    <s v="Male"/>
    <s v="Amritsar"/>
    <s v="Gujarat"/>
    <d v="2023-06-17T00:00:00"/>
    <d v="2023-06-25T00:00:00"/>
    <x v="3"/>
    <s v="Electronics"/>
    <n v="1"/>
    <n v="14721"/>
    <n v="0"/>
    <x v="2"/>
    <s v="Amit"/>
    <x v="2"/>
    <s v="priyaagarwal@gmail.com"/>
    <s v="8466577671"/>
    <x v="2"/>
    <s v="Average"/>
    <n v="389"/>
    <s v="Cancelled"/>
    <n v="14721"/>
    <n v="8"/>
    <x v="9"/>
    <x v="0"/>
  </r>
  <r>
    <x v="120"/>
    <x v="74"/>
    <n v="58"/>
    <s v="Male"/>
    <s v="Amritsar"/>
    <s v="Gujarat"/>
    <d v="2023-07-01T00:00:00"/>
    <d v="2023-07-07T00:00:00"/>
    <x v="5"/>
    <s v="Accessories"/>
    <n v="3"/>
    <n v="56601"/>
    <n v="10"/>
    <x v="3"/>
    <s v="Amit"/>
    <x v="0"/>
    <s v="poojaverma@gmail.com"/>
    <s v="7253328039"/>
    <x v="0"/>
    <s v="Good"/>
    <n v="351"/>
    <s v="Delivered"/>
    <n v="152822.70000000001"/>
    <n v="6"/>
    <x v="4"/>
    <x v="0"/>
  </r>
  <r>
    <x v="121"/>
    <x v="10"/>
    <n v="51"/>
    <s v="Male"/>
    <s v="Pune"/>
    <s v="Maharashtra"/>
    <d v="2024-08-09T00:00:00"/>
    <d v="2024-08-13T00:00:00"/>
    <x v="1"/>
    <s v="Electronics"/>
    <n v="5"/>
    <n v="15616"/>
    <n v="15"/>
    <x v="2"/>
    <s v="Priya"/>
    <x v="0"/>
    <s v="anjalimehta@gmail.com"/>
    <s v="6938804783"/>
    <x v="0"/>
    <s v="Bad"/>
    <n v="280"/>
    <s v="Delivered"/>
    <n v="66368"/>
    <n v="4"/>
    <x v="3"/>
    <x v="1"/>
  </r>
  <r>
    <x v="122"/>
    <x v="75"/>
    <n v="21"/>
    <s v="Male"/>
    <s v="Pune"/>
    <s v="Delhi"/>
    <d v="2024-07-11T00:00:00"/>
    <d v="2024-07-14T00:00:00"/>
    <x v="4"/>
    <s v="Electronics"/>
    <n v="3"/>
    <n v="38204"/>
    <n v="15"/>
    <x v="1"/>
    <s v="Rohit"/>
    <x v="3"/>
    <s v="rohitmehta@gmail.com"/>
    <s v="9817776094"/>
    <x v="4"/>
    <s v="Excellent"/>
    <n v="184"/>
    <s v="Cancelled"/>
    <n v="97420.2"/>
    <n v="3"/>
    <x v="4"/>
    <x v="1"/>
  </r>
  <r>
    <x v="123"/>
    <x v="54"/>
    <n v="21"/>
    <s v="Male"/>
    <s v="Chandigarh"/>
    <s v="Gujarat"/>
    <d v="2024-07-12T00:00:00"/>
    <d v="2024-07-18T00:00:00"/>
    <x v="5"/>
    <s v="Accessories"/>
    <n v="2"/>
    <n v="20406"/>
    <n v="5"/>
    <x v="2"/>
    <s v="Anjali"/>
    <x v="3"/>
    <s v="karankumar@gmail.com"/>
    <s v="9457983473"/>
    <x v="1"/>
    <s v="Excellent"/>
    <n v="500"/>
    <s v="Returned"/>
    <n v="38771.4"/>
    <n v="6"/>
    <x v="4"/>
    <x v="1"/>
  </r>
  <r>
    <x v="124"/>
    <x v="75"/>
    <n v="35"/>
    <s v="Male"/>
    <s v="Pune"/>
    <s v="Gujarat"/>
    <d v="2023-02-28T00:00:00"/>
    <d v="2023-03-01T00:00:00"/>
    <x v="2"/>
    <s v="Accessories"/>
    <n v="1"/>
    <n v="35905"/>
    <n v="10"/>
    <x v="2"/>
    <s v="Rahul"/>
    <x v="3"/>
    <s v="Missing"/>
    <s v="8829092567"/>
    <x v="3"/>
    <s v="Average"/>
    <n v="484"/>
    <s v="Delivered"/>
    <n v="32314.5"/>
    <n v="1"/>
    <x v="8"/>
    <x v="0"/>
  </r>
  <r>
    <x v="125"/>
    <x v="76"/>
    <n v="38"/>
    <s v="Female"/>
    <s v="Mumbai"/>
    <s v="Gujarat"/>
    <d v="2024-01-24T00:00:00"/>
    <d v="2024-01-27T00:00:00"/>
    <x v="3"/>
    <s v="Accessories"/>
    <n v="5"/>
    <n v="22423"/>
    <n v="5"/>
    <x v="1"/>
    <s v="Rohit"/>
    <x v="1"/>
    <s v="rahulverma@gmail.com"/>
    <s v="6988782045"/>
    <x v="2"/>
    <s v="Excellent"/>
    <n v="301"/>
    <s v="Cancelled"/>
    <n v="106509.25"/>
    <n v="3"/>
    <x v="0"/>
    <x v="1"/>
  </r>
  <r>
    <x v="126"/>
    <x v="44"/>
    <n v="26"/>
    <s v="Female"/>
    <s v="Ludhiana"/>
    <s v="Gujarat"/>
    <d v="2023-02-17T00:00:00"/>
    <d v="2023-02-20T00:00:00"/>
    <x v="0"/>
    <s v="Accessories"/>
    <n v="4"/>
    <n v="41571"/>
    <n v="5"/>
    <x v="0"/>
    <s v="Karan"/>
    <x v="3"/>
    <s v="karanmehta@gmail.com"/>
    <s v="6232607834"/>
    <x v="2"/>
    <s v="Good"/>
    <n v="466"/>
    <s v="Returned"/>
    <n v="157969.79999999999"/>
    <n v="3"/>
    <x v="8"/>
    <x v="0"/>
  </r>
  <r>
    <x v="127"/>
    <x v="77"/>
    <n v="22"/>
    <s v="Male"/>
    <s v="Jaipur"/>
    <s v="Punjab"/>
    <d v="2024-05-25T00:00:00"/>
    <d v="2024-05-28T00:00:00"/>
    <x v="1"/>
    <s v="Electronics"/>
    <n v="1"/>
    <n v="63863"/>
    <n v="10"/>
    <x v="2"/>
    <s v="Karan"/>
    <x v="1"/>
    <s v="Missing"/>
    <s v="6891610140"/>
    <x v="3"/>
    <s v="Bad"/>
    <n v="452"/>
    <s v="Delivered"/>
    <n v="57476.700000000004"/>
    <n v="3"/>
    <x v="6"/>
    <x v="1"/>
  </r>
  <r>
    <x v="128"/>
    <x v="78"/>
    <n v="44"/>
    <s v="Female"/>
    <s v="Jaipur"/>
    <s v="Gujarat"/>
    <d v="2023-08-15T00:00:00"/>
    <d v="2023-08-20T00:00:00"/>
    <x v="2"/>
    <s v="Electronics"/>
    <n v="1"/>
    <n v="11647"/>
    <n v="10"/>
    <x v="0"/>
    <s v="Rahul"/>
    <x v="2"/>
    <s v="Missing"/>
    <s v="6188155093"/>
    <x v="4"/>
    <s v="Good"/>
    <n v="389"/>
    <s v="Returned"/>
    <n v="10482.300000000001"/>
    <n v="5"/>
    <x v="3"/>
    <x v="0"/>
  </r>
  <r>
    <x v="129"/>
    <x v="10"/>
    <n v="28"/>
    <s v="Female"/>
    <s v="Pune"/>
    <s v="Delhi"/>
    <d v="2023-08-05T00:00:00"/>
    <d v="2023-08-15T00:00:00"/>
    <x v="2"/>
    <s v="Electronics"/>
    <n v="1"/>
    <n v="68707"/>
    <n v="0"/>
    <x v="2"/>
    <s v="Vikas"/>
    <x v="1"/>
    <s v="anjalimehta@gmail.com"/>
    <s v="8266641104"/>
    <x v="3"/>
    <s v="Bad"/>
    <n v="248"/>
    <s v="Delivered"/>
    <n v="68707"/>
    <n v="10"/>
    <x v="3"/>
    <x v="0"/>
  </r>
  <r>
    <x v="130"/>
    <x v="3"/>
    <n v="36"/>
    <s v="Male"/>
    <s v="Ludhiana"/>
    <s v="Rajasthan"/>
    <d v="2023-08-15T00:00:00"/>
    <d v="2023-08-19T00:00:00"/>
    <x v="2"/>
    <s v="Accessories"/>
    <n v="3"/>
    <n v="30176"/>
    <n v="10"/>
    <x v="3"/>
    <s v="Anjali"/>
    <x v="1"/>
    <s v="anjalipatel@gmail.com"/>
    <s v="6217692626"/>
    <x v="2"/>
    <s v="Bad"/>
    <n v="86"/>
    <s v="Returned"/>
    <n v="81475.199999999997"/>
    <n v="4"/>
    <x v="3"/>
    <x v="0"/>
  </r>
  <r>
    <x v="131"/>
    <x v="14"/>
    <n v="18"/>
    <s v="Male"/>
    <s v="Amritsar"/>
    <s v="Gujarat"/>
    <d v="2023-11-28T00:00:00"/>
    <d v="2023-12-03T00:00:00"/>
    <x v="3"/>
    <s v="Accessories"/>
    <n v="3"/>
    <n v="24434"/>
    <n v="5"/>
    <x v="3"/>
    <s v="Karan"/>
    <x v="3"/>
    <s v="rohitgupta@gmail.com"/>
    <s v="Missing"/>
    <x v="3"/>
    <s v="Good"/>
    <n v="227"/>
    <s v="Cancelled"/>
    <n v="69636.899999999994"/>
    <n v="5"/>
    <x v="7"/>
    <x v="0"/>
  </r>
  <r>
    <x v="132"/>
    <x v="79"/>
    <n v="57"/>
    <s v="Male"/>
    <s v="Delhi"/>
    <s v="Delhi"/>
    <d v="2023-12-13T00:00:00"/>
    <d v="2023-12-14T00:00:00"/>
    <x v="3"/>
    <s v="Electronics"/>
    <n v="5"/>
    <n v="32579"/>
    <n v="0"/>
    <x v="0"/>
    <s v="Vikas"/>
    <x v="0"/>
    <s v="Missing"/>
    <s v="8156944541"/>
    <x v="0"/>
    <s v="Average"/>
    <n v="436"/>
    <s v="Returned"/>
    <n v="162895"/>
    <n v="1"/>
    <x v="11"/>
    <x v="0"/>
  </r>
  <r>
    <x v="133"/>
    <x v="80"/>
    <n v="46"/>
    <s v="Male"/>
    <s v="Mumbai"/>
    <s v="Rajasthan"/>
    <d v="2024-03-05T00:00:00"/>
    <d v="2024-03-15T00:00:00"/>
    <x v="4"/>
    <s v="Electronics"/>
    <n v="3"/>
    <n v="68790"/>
    <n v="15"/>
    <x v="3"/>
    <s v="Sneha"/>
    <x v="2"/>
    <s v="rahulagarwal@gmail.com"/>
    <s v="6037422707"/>
    <x v="3"/>
    <s v="Good"/>
    <n v="292"/>
    <s v="Cancelled"/>
    <n v="175414.5"/>
    <n v="10"/>
    <x v="10"/>
    <x v="1"/>
  </r>
  <r>
    <x v="134"/>
    <x v="80"/>
    <n v="28"/>
    <s v="Female"/>
    <s v="Jaipur"/>
    <s v="Rajasthan"/>
    <d v="2024-07-11T00:00:00"/>
    <d v="2024-07-15T00:00:00"/>
    <x v="4"/>
    <s v="Accessories"/>
    <n v="1"/>
    <n v="39484"/>
    <n v="5"/>
    <x v="3"/>
    <s v="Karan"/>
    <x v="2"/>
    <s v="rahulagarwal@gmail.com"/>
    <s v="6044244116"/>
    <x v="0"/>
    <s v="Excellent"/>
    <n v="66"/>
    <s v="Delivered"/>
    <n v="37509.799999999996"/>
    <n v="4"/>
    <x v="4"/>
    <x v="1"/>
  </r>
  <r>
    <x v="135"/>
    <x v="56"/>
    <n v="31"/>
    <s v="Male"/>
    <s v="Ludhiana"/>
    <s v="Rajasthan"/>
    <d v="2023-03-25T00:00:00"/>
    <d v="2023-03-31T00:00:00"/>
    <x v="0"/>
    <s v="Electronics"/>
    <n v="4"/>
    <n v="58755"/>
    <n v="5"/>
    <x v="0"/>
    <s v="Pooja"/>
    <x v="1"/>
    <s v="anjalisharma@gmail.com"/>
    <s v="7762851243"/>
    <x v="4"/>
    <s v="Good"/>
    <n v="88"/>
    <s v="Cancelled"/>
    <n v="223269"/>
    <n v="6"/>
    <x v="10"/>
    <x v="0"/>
  </r>
  <r>
    <x v="136"/>
    <x v="68"/>
    <n v="39"/>
    <s v="Male"/>
    <s v="Delhi"/>
    <s v="Punjab"/>
    <d v="2023-02-04T00:00:00"/>
    <d v="2023-02-10T00:00:00"/>
    <x v="2"/>
    <s v="Accessories"/>
    <n v="3"/>
    <n v="33174"/>
    <n v="10"/>
    <x v="1"/>
    <s v="Amit"/>
    <x v="0"/>
    <s v="poojasingh@gmail.com"/>
    <s v="8576244781"/>
    <x v="4"/>
    <s v="Bad"/>
    <n v="214"/>
    <s v="Returned"/>
    <n v="89569.8"/>
    <n v="6"/>
    <x v="8"/>
    <x v="0"/>
  </r>
  <r>
    <x v="137"/>
    <x v="25"/>
    <n v="29"/>
    <s v="Male"/>
    <s v="Jaipur"/>
    <s v="Delhi"/>
    <d v="2024-05-31T00:00:00"/>
    <d v="2024-06-09T00:00:00"/>
    <x v="2"/>
    <s v="Accessories"/>
    <n v="3"/>
    <n v="46369"/>
    <n v="0"/>
    <x v="2"/>
    <s v="Karan"/>
    <x v="0"/>
    <s v="poojasharma@gmail.com"/>
    <s v="9462165641"/>
    <x v="0"/>
    <s v="Good"/>
    <n v="259"/>
    <s v="Cancelled"/>
    <n v="139107"/>
    <n v="9"/>
    <x v="6"/>
    <x v="1"/>
  </r>
  <r>
    <x v="138"/>
    <x v="52"/>
    <n v="20"/>
    <s v="Male"/>
    <s v="Amritsar"/>
    <s v="Gujarat"/>
    <d v="2023-10-17T00:00:00"/>
    <d v="2023-10-18T00:00:00"/>
    <x v="5"/>
    <s v="Electronics"/>
    <n v="4"/>
    <n v="34042"/>
    <n v="15"/>
    <x v="3"/>
    <s v="Neha"/>
    <x v="1"/>
    <s v="rohitsharma@gmail.com"/>
    <s v="Missing"/>
    <x v="1"/>
    <s v="Good"/>
    <n v="241"/>
    <s v="Returned"/>
    <n v="115742.8"/>
    <n v="1"/>
    <x v="5"/>
    <x v="0"/>
  </r>
  <r>
    <x v="139"/>
    <x v="81"/>
    <n v="60"/>
    <s v="Male"/>
    <s v="Ahmedabad"/>
    <s v="Gujarat"/>
    <d v="2023-05-25T00:00:00"/>
    <d v="2023-05-28T00:00:00"/>
    <x v="5"/>
    <s v="Electronics"/>
    <n v="1"/>
    <n v="26945"/>
    <n v="15"/>
    <x v="1"/>
    <s v="Rahul"/>
    <x v="1"/>
    <s v="poojajoshi@gmail.com"/>
    <s v="6078429785"/>
    <x v="4"/>
    <s v="Bad"/>
    <n v="75"/>
    <s v="Returned"/>
    <n v="22903.25"/>
    <n v="3"/>
    <x v="6"/>
    <x v="0"/>
  </r>
  <r>
    <x v="140"/>
    <x v="66"/>
    <n v="60"/>
    <s v="Female"/>
    <s v="Amritsar"/>
    <s v="Delhi"/>
    <d v="2024-01-25T00:00:00"/>
    <d v="2024-02-02T00:00:00"/>
    <x v="2"/>
    <s v="Accessories"/>
    <n v="2"/>
    <n v="69095"/>
    <n v="15"/>
    <x v="3"/>
    <s v="Anjali"/>
    <x v="2"/>
    <s v="nehasingh@gmail.com"/>
    <s v="6999295658"/>
    <x v="2"/>
    <s v="Good"/>
    <n v="468"/>
    <s v="Delivered"/>
    <n v="117461.5"/>
    <n v="8"/>
    <x v="0"/>
    <x v="1"/>
  </r>
  <r>
    <x v="141"/>
    <x v="67"/>
    <n v="59"/>
    <s v="Female"/>
    <s v="Mumbai"/>
    <s v="Delhi"/>
    <d v="2024-06-15T00:00:00"/>
    <d v="2024-06-20T00:00:00"/>
    <x v="0"/>
    <s v="Electronics"/>
    <n v="3"/>
    <n v="49476"/>
    <n v="5"/>
    <x v="2"/>
    <s v="Rahul"/>
    <x v="3"/>
    <s v="karanyadav@gmail.com"/>
    <s v="7184268687"/>
    <x v="0"/>
    <s v="Good"/>
    <n v="439"/>
    <s v="Delivered"/>
    <n v="141006.6"/>
    <n v="5"/>
    <x v="9"/>
    <x v="1"/>
  </r>
  <r>
    <x v="142"/>
    <x v="60"/>
    <n v="31"/>
    <s v="Male"/>
    <s v="Pune"/>
    <s v="Delhi"/>
    <d v="2023-05-06T00:00:00"/>
    <d v="2023-05-13T00:00:00"/>
    <x v="2"/>
    <s v="Electronics"/>
    <n v="4"/>
    <n v="26267"/>
    <n v="0"/>
    <x v="0"/>
    <s v="Priya"/>
    <x v="1"/>
    <s v="amitsharma@gmail.com"/>
    <s v="8887114121"/>
    <x v="3"/>
    <s v="Bad"/>
    <n v="160"/>
    <s v="Returned"/>
    <n v="105068"/>
    <n v="7"/>
    <x v="6"/>
    <x v="0"/>
  </r>
  <r>
    <x v="143"/>
    <x v="45"/>
    <n v="60"/>
    <s v="Male"/>
    <s v="Chandigarh"/>
    <s v="Rajasthan"/>
    <d v="2024-03-11T00:00:00"/>
    <d v="2024-03-15T00:00:00"/>
    <x v="2"/>
    <s v="Accessories"/>
    <n v="4"/>
    <n v="48182"/>
    <n v="15"/>
    <x v="3"/>
    <s v="Rohit"/>
    <x v="0"/>
    <s v="snehakumar@gmail.com"/>
    <s v="7797989485"/>
    <x v="1"/>
    <s v="Excellent"/>
    <n v="482"/>
    <s v="Cancelled"/>
    <n v="163818.79999999999"/>
    <n v="4"/>
    <x v="10"/>
    <x v="1"/>
  </r>
  <r>
    <x v="144"/>
    <x v="54"/>
    <n v="56"/>
    <s v="Female"/>
    <s v="Pune"/>
    <s v="Rajasthan"/>
    <d v="2024-07-24T00:00:00"/>
    <d v="2024-07-28T00:00:00"/>
    <x v="3"/>
    <s v="Accessories"/>
    <n v="4"/>
    <n v="16715"/>
    <n v="15"/>
    <x v="2"/>
    <s v="Rahul"/>
    <x v="1"/>
    <s v="Missing"/>
    <s v="8410200786"/>
    <x v="2"/>
    <s v="Good"/>
    <n v="478"/>
    <s v="Returned"/>
    <n v="56831"/>
    <n v="4"/>
    <x v="4"/>
    <x v="1"/>
  </r>
  <r>
    <x v="145"/>
    <x v="11"/>
    <n v="43"/>
    <s v="Female"/>
    <s v="Ahmedabad"/>
    <s v="Maharashtra"/>
    <d v="2024-06-23T00:00:00"/>
    <d v="2024-06-26T00:00:00"/>
    <x v="2"/>
    <s v="Accessories"/>
    <n v="2"/>
    <n v="42241"/>
    <n v="10"/>
    <x v="3"/>
    <s v="Amit"/>
    <x v="3"/>
    <s v="anjaliagarwal@gmail.com"/>
    <s v="8141797131"/>
    <x v="3"/>
    <s v="Bad"/>
    <n v="338"/>
    <s v="Returned"/>
    <n v="76033.8"/>
    <n v="3"/>
    <x v="9"/>
    <x v="1"/>
  </r>
  <r>
    <x v="146"/>
    <x v="4"/>
    <n v="39"/>
    <s v="Male"/>
    <s v="Ludhiana"/>
    <s v="Maharashtra"/>
    <d v="2024-03-21T00:00:00"/>
    <d v="2024-03-24T00:00:00"/>
    <x v="4"/>
    <s v="Accessories"/>
    <n v="3"/>
    <n v="69436"/>
    <n v="5"/>
    <x v="0"/>
    <s v="Amit"/>
    <x v="3"/>
    <s v="rahulyadav@gmail.com"/>
    <s v="6672679331"/>
    <x v="4"/>
    <s v="Average"/>
    <n v="100"/>
    <s v="Delivered"/>
    <n v="197892.59999999998"/>
    <n v="3"/>
    <x v="10"/>
    <x v="1"/>
  </r>
  <r>
    <x v="147"/>
    <x v="52"/>
    <n v="35"/>
    <s v="Female"/>
    <s v="Pune"/>
    <s v="Gujarat"/>
    <d v="2024-09-27T00:00:00"/>
    <d v="2024-10-02T00:00:00"/>
    <x v="5"/>
    <s v="Electronics"/>
    <n v="1"/>
    <n v="49143"/>
    <n v="10"/>
    <x v="3"/>
    <s v="Rahul"/>
    <x v="0"/>
    <s v="rohitsharma@gmail.com"/>
    <s v="6779458940"/>
    <x v="1"/>
    <s v="Excellent"/>
    <n v="437"/>
    <s v="Delivered"/>
    <n v="44228.700000000004"/>
    <n v="5"/>
    <x v="2"/>
    <x v="1"/>
  </r>
  <r>
    <x v="148"/>
    <x v="82"/>
    <n v="50"/>
    <s v="Male"/>
    <s v="Delhi"/>
    <s v="Rajasthan"/>
    <d v="2024-08-10T00:00:00"/>
    <d v="2024-08-16T00:00:00"/>
    <x v="0"/>
    <s v="Electronics"/>
    <n v="4"/>
    <n v="69837"/>
    <n v="10"/>
    <x v="0"/>
    <s v="Sneha"/>
    <x v="1"/>
    <s v="amitgupta@gmail.com"/>
    <s v="7257247979"/>
    <x v="3"/>
    <s v="Good"/>
    <n v="308"/>
    <s v="Delivered"/>
    <n v="251413.2"/>
    <n v="6"/>
    <x v="3"/>
    <x v="1"/>
  </r>
  <r>
    <x v="149"/>
    <x v="26"/>
    <n v="47"/>
    <s v="Female"/>
    <s v="Pune"/>
    <s v="Rajasthan"/>
    <d v="2024-09-05T00:00:00"/>
    <d v="2024-09-10T00:00:00"/>
    <x v="3"/>
    <s v="Accessories"/>
    <n v="4"/>
    <n v="24360"/>
    <n v="10"/>
    <x v="3"/>
    <s v="Karan"/>
    <x v="1"/>
    <s v="karanjoshi@gmail.com"/>
    <s v="Missing"/>
    <x v="0"/>
    <s v="Good"/>
    <n v="427"/>
    <s v="Cancelled"/>
    <n v="87696"/>
    <n v="5"/>
    <x v="2"/>
    <x v="1"/>
  </r>
  <r>
    <x v="150"/>
    <x v="46"/>
    <n v="51"/>
    <s v="Female"/>
    <s v="Chandigarh"/>
    <s v="Delhi"/>
    <d v="2024-01-05T00:00:00"/>
    <d v="2024-01-10T00:00:00"/>
    <x v="5"/>
    <s v="Electronics"/>
    <n v="3"/>
    <n v="23714"/>
    <n v="15"/>
    <x v="3"/>
    <s v="Karan"/>
    <x v="0"/>
    <s v="rohityadav@gmail.com"/>
    <s v="9359629935"/>
    <x v="2"/>
    <s v="Average"/>
    <n v="421"/>
    <s v="Cancelled"/>
    <n v="60470.7"/>
    <n v="5"/>
    <x v="0"/>
    <x v="1"/>
  </r>
  <r>
    <x v="151"/>
    <x v="71"/>
    <n v="58"/>
    <s v="Male"/>
    <s v="Delhi"/>
    <s v="Delhi"/>
    <d v="2023-01-20T00:00:00"/>
    <d v="2023-01-23T00:00:00"/>
    <x v="5"/>
    <s v="Electronics"/>
    <n v="1"/>
    <n v="20556"/>
    <n v="10"/>
    <x v="1"/>
    <s v="Anjali"/>
    <x v="2"/>
    <s v="rohitverma@gmail.com"/>
    <s v="6030606989"/>
    <x v="0"/>
    <s v="Good"/>
    <n v="290"/>
    <s v="Delivered"/>
    <n v="18500.400000000001"/>
    <n v="3"/>
    <x v="0"/>
    <x v="0"/>
  </r>
  <r>
    <x v="152"/>
    <x v="77"/>
    <n v="53"/>
    <s v="Male"/>
    <s v="Delhi"/>
    <s v="Maharashtra"/>
    <d v="2023-06-30T00:00:00"/>
    <d v="2023-07-02T00:00:00"/>
    <x v="5"/>
    <s v="Electronics"/>
    <n v="4"/>
    <n v="40607"/>
    <n v="10"/>
    <x v="3"/>
    <s v="Amit"/>
    <x v="0"/>
    <s v="rohitkumar@gmail.com"/>
    <s v="8611624493"/>
    <x v="0"/>
    <s v="Good"/>
    <n v="113"/>
    <s v="Delivered"/>
    <n v="146185.20000000001"/>
    <n v="2"/>
    <x v="9"/>
    <x v="0"/>
  </r>
  <r>
    <x v="153"/>
    <x v="77"/>
    <n v="34"/>
    <s v="Female"/>
    <s v="Mumbai"/>
    <s v="Gujarat"/>
    <d v="2023-01-10T00:00:00"/>
    <d v="2023-01-15T00:00:00"/>
    <x v="3"/>
    <s v="Electronics"/>
    <n v="2.9447852760736195"/>
    <n v="73937"/>
    <n v="0"/>
    <x v="0"/>
    <s v="Rahul"/>
    <x v="2"/>
    <s v="rohitkumar@gmail.com"/>
    <s v="8589369922"/>
    <x v="0"/>
    <s v="Average"/>
    <n v="142"/>
    <s v="Returned"/>
    <n v="217728.58895705521"/>
    <n v="5"/>
    <x v="0"/>
    <x v="0"/>
  </r>
  <r>
    <x v="154"/>
    <x v="42"/>
    <n v="59"/>
    <s v="Female"/>
    <s v="Pune"/>
    <s v="Rajasthan"/>
    <d v="2023-05-19T00:00:00"/>
    <d v="2023-05-29T00:00:00"/>
    <x v="1"/>
    <s v="Accessories"/>
    <n v="2"/>
    <n v="78548"/>
    <n v="0"/>
    <x v="3"/>
    <s v="Priya"/>
    <x v="3"/>
    <s v="rahulgupta@gmail.com"/>
    <s v="9208941536"/>
    <x v="1"/>
    <s v="Good"/>
    <n v="372"/>
    <s v="Delivered"/>
    <n v="157096"/>
    <n v="10"/>
    <x v="6"/>
    <x v="0"/>
  </r>
  <r>
    <x v="155"/>
    <x v="60"/>
    <n v="53"/>
    <s v="Female"/>
    <s v="Jaipur"/>
    <s v="Rajasthan"/>
    <d v="2023-04-04T00:00:00"/>
    <d v="2023-04-11T00:00:00"/>
    <x v="2"/>
    <s v="Accessories"/>
    <n v="2"/>
    <n v="39885"/>
    <n v="10"/>
    <x v="2"/>
    <s v="Rohit"/>
    <x v="1"/>
    <s v="amitsharma@gmail.com"/>
    <s v="7703529208"/>
    <x v="1"/>
    <s v="Excellent"/>
    <n v="333"/>
    <s v="Delivered"/>
    <n v="71793"/>
    <n v="7"/>
    <x v="1"/>
    <x v="0"/>
  </r>
  <r>
    <x v="156"/>
    <x v="44"/>
    <n v="58"/>
    <s v="Female"/>
    <s v="Chandigarh"/>
    <s v="Maharashtra"/>
    <d v="2024-05-21T00:00:00"/>
    <d v="2024-05-22T00:00:00"/>
    <x v="5"/>
    <s v="Accessories"/>
    <n v="5"/>
    <n v="58258"/>
    <n v="5"/>
    <x v="0"/>
    <s v="Karan"/>
    <x v="0"/>
    <s v="karanmehta@gmail.com"/>
    <s v="6834233975"/>
    <x v="0"/>
    <s v="Average"/>
    <n v="81"/>
    <s v="Returned"/>
    <n v="276725.5"/>
    <n v="1"/>
    <x v="6"/>
    <x v="1"/>
  </r>
  <r>
    <x v="157"/>
    <x v="83"/>
    <n v="19"/>
    <s v="Male"/>
    <s v="Amritsar"/>
    <s v="Maharashtra"/>
    <d v="2023-05-31T00:00:00"/>
    <d v="2023-06-10T00:00:00"/>
    <x v="2"/>
    <s v="Electronics"/>
    <n v="2"/>
    <n v="58541"/>
    <n v="0"/>
    <x v="1"/>
    <s v="Priya"/>
    <x v="1"/>
    <s v="snehayadav@gmail.com"/>
    <s v="6439286721"/>
    <x v="4"/>
    <s v="Bad"/>
    <n v="321"/>
    <s v="Returned"/>
    <n v="117082"/>
    <n v="10"/>
    <x v="6"/>
    <x v="0"/>
  </r>
  <r>
    <x v="158"/>
    <x v="20"/>
    <n v="28"/>
    <s v="Female"/>
    <s v="Jaipur"/>
    <s v="Delhi"/>
    <d v="2024-02-21T00:00:00"/>
    <d v="2024-03-02T00:00:00"/>
    <x v="2"/>
    <s v="Electronics"/>
    <n v="3"/>
    <n v="41804"/>
    <n v="10"/>
    <x v="1"/>
    <s v="Rahul"/>
    <x v="0"/>
    <s v="priyasingh@gmail.com"/>
    <s v="6142367936"/>
    <x v="1"/>
    <s v="Good"/>
    <n v="132"/>
    <s v="Returned"/>
    <n v="112870.8"/>
    <n v="10"/>
    <x v="8"/>
    <x v="1"/>
  </r>
  <r>
    <x v="159"/>
    <x v="49"/>
    <n v="31"/>
    <s v="Female"/>
    <s v="Ahmedabad"/>
    <s v="Punjab"/>
    <d v="2023-02-20T00:00:00"/>
    <d v="2023-03-01T00:00:00"/>
    <x v="5"/>
    <s v="Electronics"/>
    <n v="5"/>
    <n v="68458"/>
    <n v="0"/>
    <x v="0"/>
    <s v="Rahul"/>
    <x v="1"/>
    <s v="vikaskumar@gmail.com"/>
    <s v="8319941896"/>
    <x v="3"/>
    <s v="Excellent"/>
    <n v="246"/>
    <s v="Delivered"/>
    <n v="342290"/>
    <n v="9"/>
    <x v="8"/>
    <x v="0"/>
  </r>
  <r>
    <x v="160"/>
    <x v="44"/>
    <n v="56"/>
    <s v="Male"/>
    <s v="Mumbai"/>
    <s v="Delhi"/>
    <d v="2024-03-27T00:00:00"/>
    <d v="2024-04-06T00:00:00"/>
    <x v="5"/>
    <s v="Accessories"/>
    <n v="3"/>
    <n v="29720"/>
    <n v="15"/>
    <x v="2"/>
    <s v="Pooja"/>
    <x v="3"/>
    <s v="karanmehta@gmail.com"/>
    <s v="8983435395"/>
    <x v="0"/>
    <s v="Good"/>
    <n v="401"/>
    <s v="Cancelled"/>
    <n v="75786"/>
    <n v="10"/>
    <x v="10"/>
    <x v="1"/>
  </r>
  <r>
    <x v="161"/>
    <x v="84"/>
    <n v="56"/>
    <s v="Male"/>
    <s v="Chandigarh"/>
    <s v="Delhi"/>
    <d v="2024-01-13T00:00:00"/>
    <d v="2024-01-20T00:00:00"/>
    <x v="3"/>
    <s v="Electronics"/>
    <n v="5"/>
    <n v="5439"/>
    <n v="15"/>
    <x v="2"/>
    <s v="Karan"/>
    <x v="3"/>
    <s v="priyapatel@gmail.com"/>
    <s v="7920684660"/>
    <x v="0"/>
    <s v="Excellent"/>
    <n v="92"/>
    <s v="Delivered"/>
    <n v="23115.75"/>
    <n v="7"/>
    <x v="0"/>
    <x v="1"/>
  </r>
  <r>
    <x v="162"/>
    <x v="10"/>
    <n v="48"/>
    <s v="Female"/>
    <s v="Chandigarh"/>
    <s v="Maharashtra"/>
    <d v="2024-03-25T00:00:00"/>
    <d v="2024-03-30T00:00:00"/>
    <x v="4"/>
    <s v="Electronics"/>
    <n v="4"/>
    <n v="34698"/>
    <n v="15"/>
    <x v="0"/>
    <s v="Vikas"/>
    <x v="0"/>
    <s v="anjalimehta@gmail.com"/>
    <s v="Missing"/>
    <x v="2"/>
    <s v="Bad"/>
    <n v="406"/>
    <s v="Delivered"/>
    <n v="117973.2"/>
    <n v="5"/>
    <x v="10"/>
    <x v="1"/>
  </r>
  <r>
    <x v="163"/>
    <x v="32"/>
    <n v="52"/>
    <s v="Male"/>
    <s v="Amritsar"/>
    <s v="Maharashtra"/>
    <d v="2023-03-16T00:00:00"/>
    <d v="2023-03-26T00:00:00"/>
    <x v="0"/>
    <s v="Accessories"/>
    <n v="3"/>
    <n v="68367"/>
    <n v="10"/>
    <x v="1"/>
    <s v="Vikas"/>
    <x v="2"/>
    <s v="rahuljoshi@gmail.com"/>
    <s v="9352541087"/>
    <x v="0"/>
    <s v="Bad"/>
    <n v="478"/>
    <s v="Delivered"/>
    <n v="184590.9"/>
    <n v="10"/>
    <x v="10"/>
    <x v="0"/>
  </r>
  <r>
    <x v="164"/>
    <x v="9"/>
    <n v="39"/>
    <s v="Female"/>
    <s v="Jaipur"/>
    <s v="Maharashtra"/>
    <d v="2023-02-03T00:00:00"/>
    <d v="2023-02-08T00:00:00"/>
    <x v="5"/>
    <s v="Accessories"/>
    <n v="5"/>
    <n v="16535"/>
    <n v="15"/>
    <x v="3"/>
    <s v="Rohit"/>
    <x v="3"/>
    <s v="anjaligupta@gmail.com"/>
    <s v="7665352630"/>
    <x v="3"/>
    <s v="Bad"/>
    <n v="141"/>
    <s v="Returned"/>
    <n v="70273.75"/>
    <n v="5"/>
    <x v="8"/>
    <x v="0"/>
  </r>
  <r>
    <x v="165"/>
    <x v="8"/>
    <n v="27"/>
    <s v="Female"/>
    <s v="Jaipur"/>
    <s v="Punjab"/>
    <d v="2023-03-15T00:00:00"/>
    <d v="2023-03-22T00:00:00"/>
    <x v="4"/>
    <s v="Accessories"/>
    <n v="2"/>
    <n v="69669"/>
    <n v="15"/>
    <x v="2"/>
    <s v="Anjali"/>
    <x v="1"/>
    <s v="priyamehta@gmail.com"/>
    <s v="7496251981"/>
    <x v="2"/>
    <s v="Bad"/>
    <n v="296"/>
    <s v="Returned"/>
    <n v="118437.3"/>
    <n v="7"/>
    <x v="10"/>
    <x v="0"/>
  </r>
  <r>
    <x v="166"/>
    <x v="54"/>
    <n v="46"/>
    <s v="Female"/>
    <s v="Pune"/>
    <s v="Punjab"/>
    <d v="2023-06-01T00:00:00"/>
    <d v="2023-06-08T00:00:00"/>
    <x v="3"/>
    <s v="Accessories"/>
    <n v="2"/>
    <n v="5251"/>
    <n v="5"/>
    <x v="2"/>
    <s v="Pooja"/>
    <x v="0"/>
    <s v="karankumar@gmail.com"/>
    <s v="7691271301"/>
    <x v="1"/>
    <s v="Average"/>
    <n v="416"/>
    <s v="Cancelled"/>
    <n v="9976.9"/>
    <n v="7"/>
    <x v="9"/>
    <x v="0"/>
  </r>
  <r>
    <x v="167"/>
    <x v="85"/>
    <n v="34"/>
    <s v="Female"/>
    <s v="Jaipur"/>
    <s v="Punjab"/>
    <d v="2024-09-04T00:00:00"/>
    <d v="2024-09-12T00:00:00"/>
    <x v="4"/>
    <s v="Accessories"/>
    <n v="3"/>
    <n v="28893"/>
    <n v="15"/>
    <x v="0"/>
    <s v="Vikas"/>
    <x v="3"/>
    <s v="Missing"/>
    <s v="Missing"/>
    <x v="3"/>
    <s v="Bad"/>
    <n v="82"/>
    <s v="Delivered"/>
    <n v="73677.149999999994"/>
    <n v="8"/>
    <x v="2"/>
    <x v="1"/>
  </r>
  <r>
    <x v="168"/>
    <x v="29"/>
    <n v="22"/>
    <s v="Female"/>
    <s v="Chandigarh"/>
    <s v="Gujarat"/>
    <d v="2023-10-14T00:00:00"/>
    <d v="2023-10-17T00:00:00"/>
    <x v="5"/>
    <s v="Electronics"/>
    <n v="5"/>
    <n v="41362"/>
    <n v="10"/>
    <x v="0"/>
    <s v="Rahul"/>
    <x v="2"/>
    <s v="vikassharma@gmail.com"/>
    <s v="8683989980"/>
    <x v="3"/>
    <s v="Average"/>
    <n v="152"/>
    <s v="Delivered"/>
    <n v="186129"/>
    <n v="3"/>
    <x v="5"/>
    <x v="0"/>
  </r>
  <r>
    <x v="169"/>
    <x v="82"/>
    <n v="28"/>
    <s v="Female"/>
    <s v="Amritsar"/>
    <s v="Punjab"/>
    <d v="2024-03-22T00:00:00"/>
    <d v="2024-03-29T00:00:00"/>
    <x v="5"/>
    <s v="Electronics"/>
    <n v="5"/>
    <n v="53334"/>
    <n v="15"/>
    <x v="1"/>
    <s v="Pooja"/>
    <x v="0"/>
    <s v="amitgupta@gmail.com"/>
    <s v="8275491479"/>
    <x v="1"/>
    <s v="Excellent"/>
    <n v="223"/>
    <s v="Returned"/>
    <n v="226669.5"/>
    <n v="7"/>
    <x v="10"/>
    <x v="1"/>
  </r>
  <r>
    <x v="170"/>
    <x v="31"/>
    <n v="23"/>
    <s v="Male"/>
    <s v="Jaipur"/>
    <s v="Delhi"/>
    <d v="2023-08-08T00:00:00"/>
    <d v="2023-08-17T00:00:00"/>
    <x v="5"/>
    <s v="Accessories"/>
    <n v="5"/>
    <n v="45767"/>
    <n v="15"/>
    <x v="1"/>
    <s v="Rahul"/>
    <x v="0"/>
    <s v="Missing"/>
    <s v="8545772060"/>
    <x v="3"/>
    <s v="Bad"/>
    <n v="310"/>
    <s v="Returned"/>
    <n v="194509.75"/>
    <n v="9"/>
    <x v="3"/>
    <x v="0"/>
  </r>
  <r>
    <x v="171"/>
    <x v="9"/>
    <n v="50"/>
    <s v="Male"/>
    <s v="Amritsar"/>
    <s v="Gujarat"/>
    <d v="2024-05-08T00:00:00"/>
    <d v="2024-05-15T00:00:00"/>
    <x v="1"/>
    <s v="Accessories"/>
    <n v="4"/>
    <n v="19559"/>
    <n v="0"/>
    <x v="2"/>
    <s v="Pooja"/>
    <x v="1"/>
    <s v="Missing"/>
    <s v="Missing"/>
    <x v="0"/>
    <s v="Average"/>
    <n v="238"/>
    <s v="Delivered"/>
    <n v="78236"/>
    <n v="7"/>
    <x v="6"/>
    <x v="1"/>
  </r>
  <r>
    <x v="172"/>
    <x v="0"/>
    <n v="42"/>
    <s v="Male"/>
    <s v="Chandigarh"/>
    <s v="Punjab"/>
    <d v="2023-04-03T00:00:00"/>
    <d v="2023-04-06T00:00:00"/>
    <x v="3"/>
    <s v="Electronics"/>
    <n v="4"/>
    <n v="40835"/>
    <n v="0"/>
    <x v="2"/>
    <s v="Rohit"/>
    <x v="2"/>
    <s v="poojamehta@gmail.com"/>
    <s v="9411201736"/>
    <x v="4"/>
    <s v="Bad"/>
    <n v="69"/>
    <s v="Delivered"/>
    <n v="163340"/>
    <n v="3"/>
    <x v="1"/>
    <x v="0"/>
  </r>
  <r>
    <x v="173"/>
    <x v="86"/>
    <n v="54"/>
    <s v="Female"/>
    <s v="Delhi"/>
    <s v="Gujarat"/>
    <d v="2023-06-06T00:00:00"/>
    <d v="2023-06-10T00:00:00"/>
    <x v="4"/>
    <s v="Accessories"/>
    <n v="2"/>
    <n v="20155"/>
    <n v="0"/>
    <x v="2"/>
    <s v="Amit"/>
    <x v="0"/>
    <s v="rohitsingh@gmail.com"/>
    <s v="9683672145"/>
    <x v="1"/>
    <s v="Average"/>
    <n v="317"/>
    <s v="Cancelled"/>
    <n v="40310"/>
    <n v="4"/>
    <x v="9"/>
    <x v="0"/>
  </r>
  <r>
    <x v="174"/>
    <x v="46"/>
    <n v="23"/>
    <s v="Female"/>
    <s v="Delhi"/>
    <s v="Maharashtra"/>
    <d v="2023-10-11T00:00:00"/>
    <d v="2023-10-21T00:00:00"/>
    <x v="4"/>
    <s v="Electronics"/>
    <n v="4"/>
    <n v="30980"/>
    <n v="5"/>
    <x v="3"/>
    <s v="Rahul"/>
    <x v="2"/>
    <s v="Missing"/>
    <s v="7216956630"/>
    <x v="0"/>
    <s v="Good"/>
    <n v="416"/>
    <s v="Returned"/>
    <n v="117724"/>
    <n v="10"/>
    <x v="5"/>
    <x v="0"/>
  </r>
  <r>
    <x v="175"/>
    <x v="2"/>
    <n v="24"/>
    <s v="Male"/>
    <s v="Chandigarh"/>
    <s v="Gujarat"/>
    <d v="2023-06-26T00:00:00"/>
    <d v="2023-06-28T00:00:00"/>
    <x v="2"/>
    <s v="Electronics"/>
    <n v="2"/>
    <n v="67861"/>
    <n v="10"/>
    <x v="2"/>
    <s v="Sneha"/>
    <x v="1"/>
    <s v="nehapatel@gmail.com"/>
    <s v="7587067361"/>
    <x v="3"/>
    <s v="Good"/>
    <n v="399"/>
    <s v="Returned"/>
    <n v="122149.8"/>
    <n v="2"/>
    <x v="9"/>
    <x v="0"/>
  </r>
  <r>
    <x v="176"/>
    <x v="28"/>
    <n v="58"/>
    <s v="Male"/>
    <s v="Mumbai"/>
    <s v="Rajasthan"/>
    <d v="2023-12-13T00:00:00"/>
    <d v="2023-12-23T00:00:00"/>
    <x v="2"/>
    <s v="Electronics"/>
    <n v="5"/>
    <n v="13315"/>
    <n v="5"/>
    <x v="1"/>
    <s v="Karan"/>
    <x v="2"/>
    <s v="nehayadav@gmail.com"/>
    <s v="6226534434"/>
    <x v="3"/>
    <s v="Good"/>
    <n v="92"/>
    <s v="Delivered"/>
    <n v="63246.25"/>
    <n v="10"/>
    <x v="11"/>
    <x v="0"/>
  </r>
  <r>
    <x v="177"/>
    <x v="65"/>
    <n v="48"/>
    <s v="Female"/>
    <s v="Delhi"/>
    <s v="Maharashtra"/>
    <d v="2023-07-09T00:00:00"/>
    <d v="2023-07-15T00:00:00"/>
    <x v="0"/>
    <s v="Electronics"/>
    <n v="3"/>
    <n v="7525"/>
    <n v="0"/>
    <x v="3"/>
    <s v="Priya"/>
    <x v="3"/>
    <s v="nehaverma@gmail.com"/>
    <s v="8906702394"/>
    <x v="3"/>
    <s v="Bad"/>
    <n v="491"/>
    <s v="Delivered"/>
    <n v="22575"/>
    <n v="6"/>
    <x v="4"/>
    <x v="0"/>
  </r>
  <r>
    <x v="178"/>
    <x v="11"/>
    <n v="27"/>
    <s v="Male"/>
    <s v="Ludhiana"/>
    <s v="Punjab"/>
    <d v="2023-02-09T00:00:00"/>
    <d v="2023-02-14T00:00:00"/>
    <x v="3"/>
    <s v="Electronics"/>
    <n v="2"/>
    <n v="32407"/>
    <n v="10"/>
    <x v="3"/>
    <s v="Karan"/>
    <x v="0"/>
    <s v="anjaliagarwal@gmail.com"/>
    <s v="7424563119"/>
    <x v="3"/>
    <s v="Average"/>
    <n v="108"/>
    <s v="Delivered"/>
    <n v="58332.6"/>
    <n v="5"/>
    <x v="8"/>
    <x v="0"/>
  </r>
  <r>
    <x v="179"/>
    <x v="20"/>
    <n v="30"/>
    <s v="Female"/>
    <s v="Chandigarh"/>
    <s v="Rajasthan"/>
    <d v="2024-05-09T00:00:00"/>
    <d v="2024-05-10T00:00:00"/>
    <x v="4"/>
    <s v="Electronics"/>
    <n v="3"/>
    <n v="15202"/>
    <n v="0"/>
    <x v="3"/>
    <s v="Pooja"/>
    <x v="1"/>
    <s v="priyasingh@gmail.com"/>
    <s v="6880128683"/>
    <x v="1"/>
    <s v="Bad"/>
    <n v="383"/>
    <s v="Delivered"/>
    <n v="45606"/>
    <n v="1"/>
    <x v="6"/>
    <x v="1"/>
  </r>
  <r>
    <x v="180"/>
    <x v="4"/>
    <n v="49"/>
    <s v="Female"/>
    <s v="Chandigarh"/>
    <s v="Punjab"/>
    <d v="2023-04-08T00:00:00"/>
    <d v="2023-04-13T00:00:00"/>
    <x v="3"/>
    <s v="Accessories"/>
    <n v="4"/>
    <n v="41664"/>
    <n v="5"/>
    <x v="0"/>
    <s v="Sneha"/>
    <x v="2"/>
    <s v="rahulyadav@gmail.com"/>
    <s v="8158634177"/>
    <x v="4"/>
    <s v="Good"/>
    <n v="157"/>
    <s v="Cancelled"/>
    <n v="158323.19999999998"/>
    <n v="5"/>
    <x v="1"/>
    <x v="0"/>
  </r>
  <r>
    <x v="181"/>
    <x v="75"/>
    <n v="40"/>
    <s v="Female"/>
    <s v="Chandigarh"/>
    <s v="Maharashtra"/>
    <d v="2023-09-24T00:00:00"/>
    <d v="2023-09-29T00:00:00"/>
    <x v="2"/>
    <s v="Electronics"/>
    <n v="1"/>
    <n v="29116"/>
    <n v="5"/>
    <x v="2"/>
    <s v="Rahul"/>
    <x v="1"/>
    <s v="rohitmehta@gmail.com"/>
    <s v="7538561672"/>
    <x v="0"/>
    <s v="Good"/>
    <n v="408"/>
    <s v="Delivered"/>
    <n v="27660.199999999997"/>
    <n v="5"/>
    <x v="2"/>
    <x v="0"/>
  </r>
  <r>
    <x v="182"/>
    <x v="76"/>
    <n v="59"/>
    <s v="Female"/>
    <s v="Pune"/>
    <s v="Punjab"/>
    <d v="2024-11-17T00:00:00"/>
    <d v="2024-11-27T00:00:00"/>
    <x v="2"/>
    <s v="Accessories"/>
    <n v="3"/>
    <n v="6383"/>
    <n v="15"/>
    <x v="0"/>
    <s v="Karan"/>
    <x v="1"/>
    <s v="rahulverma@gmail.com"/>
    <s v="9444514257"/>
    <x v="2"/>
    <s v="Good"/>
    <n v="435"/>
    <s v="Cancelled"/>
    <n v="16276.65"/>
    <n v="10"/>
    <x v="7"/>
    <x v="1"/>
  </r>
  <r>
    <x v="183"/>
    <x v="31"/>
    <n v="52"/>
    <s v="Female"/>
    <s v="Delhi"/>
    <s v="Rajasthan"/>
    <d v="2023-10-02T00:00:00"/>
    <d v="2023-10-09T00:00:00"/>
    <x v="0"/>
    <s v="Electronics"/>
    <n v="5"/>
    <n v="77020"/>
    <n v="15"/>
    <x v="2"/>
    <s v="Anjali"/>
    <x v="1"/>
    <s v="nehagupta@gmail.com"/>
    <s v="8835000712"/>
    <x v="3"/>
    <s v="Bad"/>
    <n v="262"/>
    <s v="Cancelled"/>
    <n v="327335"/>
    <n v="7"/>
    <x v="5"/>
    <x v="0"/>
  </r>
  <r>
    <x v="184"/>
    <x v="49"/>
    <n v="38"/>
    <s v="Female"/>
    <s v="Jaipur"/>
    <s v="Punjab"/>
    <d v="2023-03-26T00:00:00"/>
    <d v="2023-03-27T00:00:00"/>
    <x v="4"/>
    <s v="Accessories"/>
    <n v="5"/>
    <n v="14212"/>
    <n v="10"/>
    <x v="2"/>
    <s v="Rohit"/>
    <x v="0"/>
    <s v="vikaskumar@gmail.com"/>
    <s v="8263842302"/>
    <x v="1"/>
    <s v="Good"/>
    <n v="390"/>
    <s v="Returned"/>
    <n v="63954"/>
    <n v="1"/>
    <x v="10"/>
    <x v="0"/>
  </r>
  <r>
    <x v="185"/>
    <x v="11"/>
    <n v="53"/>
    <s v="Male"/>
    <s v="Ahmedabad"/>
    <s v="Maharashtra"/>
    <d v="2023-05-18T00:00:00"/>
    <d v="2023-05-22T00:00:00"/>
    <x v="3"/>
    <s v="Accessories"/>
    <n v="5"/>
    <n v="27212"/>
    <n v="0"/>
    <x v="3"/>
    <s v="Vikas"/>
    <x v="2"/>
    <s v="anjaliagarwal@gmail.com"/>
    <s v="7937692123"/>
    <x v="0"/>
    <s v="Bad"/>
    <n v="77"/>
    <s v="Cancelled"/>
    <n v="136060"/>
    <n v="4"/>
    <x v="6"/>
    <x v="0"/>
  </r>
  <r>
    <x v="186"/>
    <x v="75"/>
    <n v="54"/>
    <s v="Male"/>
    <s v="Jaipur"/>
    <s v="Maharashtra"/>
    <d v="2023-04-15T00:00:00"/>
    <d v="2023-04-18T00:00:00"/>
    <x v="5"/>
    <s v="Electronics"/>
    <n v="4"/>
    <n v="31166"/>
    <n v="10"/>
    <x v="1"/>
    <s v="Neha"/>
    <x v="3"/>
    <s v="rohitmehta@gmail.com"/>
    <s v="8422496963"/>
    <x v="4"/>
    <s v="Good"/>
    <n v="398"/>
    <s v="Delivered"/>
    <n v="112197.6"/>
    <n v="3"/>
    <x v="1"/>
    <x v="0"/>
  </r>
  <r>
    <x v="187"/>
    <x v="46"/>
    <n v="55"/>
    <s v="Male"/>
    <s v="Ludhiana"/>
    <s v="Gujarat"/>
    <d v="2024-11-14T00:00:00"/>
    <d v="2024-11-15T00:00:00"/>
    <x v="5"/>
    <s v="Accessories"/>
    <n v="3"/>
    <n v="64910"/>
    <n v="0"/>
    <x v="1"/>
    <s v="Amit"/>
    <x v="3"/>
    <s v="rohityadav@gmail.com"/>
    <s v="Missing"/>
    <x v="4"/>
    <s v="Good"/>
    <n v="491"/>
    <s v="Returned"/>
    <n v="194730"/>
    <n v="1"/>
    <x v="7"/>
    <x v="1"/>
  </r>
  <r>
    <x v="188"/>
    <x v="0"/>
    <n v="38"/>
    <s v="Female"/>
    <s v="Jaipur"/>
    <s v="Gujarat"/>
    <d v="2024-05-11T00:00:00"/>
    <d v="2024-05-12T00:00:00"/>
    <x v="2"/>
    <s v="Accessories"/>
    <n v="2"/>
    <n v="49922"/>
    <n v="5"/>
    <x v="3"/>
    <s v="Rohit"/>
    <x v="3"/>
    <s v="poojamehta@gmail.com"/>
    <s v="8879434140"/>
    <x v="0"/>
    <s v="Excellent"/>
    <n v="471"/>
    <s v="Returned"/>
    <n v="94851.799999999988"/>
    <n v="1"/>
    <x v="6"/>
    <x v="1"/>
  </r>
  <r>
    <x v="189"/>
    <x v="79"/>
    <n v="57"/>
    <s v="Female"/>
    <s v="Delhi"/>
    <s v="Rajasthan"/>
    <d v="2024-12-01T00:00:00"/>
    <d v="2024-12-10T00:00:00"/>
    <x v="5"/>
    <s v="Accessories"/>
    <n v="3"/>
    <n v="42109.716287215415"/>
    <n v="10"/>
    <x v="1"/>
    <s v="Amit"/>
    <x v="3"/>
    <s v="rahulpatel@gmail.com"/>
    <s v="9016969934"/>
    <x v="4"/>
    <s v="Average"/>
    <n v="457"/>
    <s v="Delivered"/>
    <n v="113696.23397548162"/>
    <n v="9"/>
    <x v="11"/>
    <x v="1"/>
  </r>
  <r>
    <x v="190"/>
    <x v="13"/>
    <n v="28"/>
    <s v="Male"/>
    <s v="Amritsar"/>
    <s v="Delhi"/>
    <d v="2023-04-11T00:00:00"/>
    <d v="2023-04-15T00:00:00"/>
    <x v="4"/>
    <s v="Accessories"/>
    <n v="2"/>
    <n v="64952"/>
    <n v="0"/>
    <x v="3"/>
    <s v="Amit"/>
    <x v="1"/>
    <s v="Missing"/>
    <s v="6520226583"/>
    <x v="2"/>
    <s v="Average"/>
    <n v="106"/>
    <s v="Delivered"/>
    <n v="129904"/>
    <n v="4"/>
    <x v="1"/>
    <x v="0"/>
  </r>
  <r>
    <x v="191"/>
    <x v="33"/>
    <n v="51"/>
    <s v="Female"/>
    <s v="Chandigarh"/>
    <s v="Maharashtra"/>
    <d v="2024-04-07T00:00:00"/>
    <d v="2024-04-12T00:00:00"/>
    <x v="4"/>
    <s v="Electronics"/>
    <n v="5"/>
    <n v="79683"/>
    <n v="5"/>
    <x v="2"/>
    <s v="Pooja"/>
    <x v="3"/>
    <s v="Missing"/>
    <s v="9719643937"/>
    <x v="0"/>
    <s v="Good"/>
    <n v="329"/>
    <s v="Returned"/>
    <n v="378494.25"/>
    <n v="5"/>
    <x v="1"/>
    <x v="1"/>
  </r>
  <r>
    <x v="192"/>
    <x v="3"/>
    <n v="19"/>
    <s v="Female"/>
    <s v="Delhi"/>
    <s v="Maharashtra"/>
    <d v="2024-08-04T00:00:00"/>
    <d v="2024-08-12T00:00:00"/>
    <x v="1"/>
    <s v="Accessories"/>
    <n v="1"/>
    <n v="42771"/>
    <n v="15"/>
    <x v="1"/>
    <s v="Karan"/>
    <x v="3"/>
    <s v="Missing"/>
    <s v="6870140846"/>
    <x v="4"/>
    <s v="Good"/>
    <n v="224"/>
    <s v="Returned"/>
    <n v="36355.35"/>
    <n v="8"/>
    <x v="3"/>
    <x v="1"/>
  </r>
  <r>
    <x v="193"/>
    <x v="72"/>
    <n v="57"/>
    <s v="Female"/>
    <s v="Mumbai"/>
    <s v="Delhi"/>
    <d v="2023-12-11T00:00:00"/>
    <d v="2023-12-13T00:00:00"/>
    <x v="0"/>
    <s v="Electronics"/>
    <n v="3"/>
    <n v="32897"/>
    <n v="0"/>
    <x v="3"/>
    <s v="Rahul"/>
    <x v="3"/>
    <s v="Missing"/>
    <s v="Missing"/>
    <x v="2"/>
    <s v="Average"/>
    <n v="451"/>
    <s v="Delivered"/>
    <n v="98691"/>
    <n v="2"/>
    <x v="11"/>
    <x v="0"/>
  </r>
  <r>
    <x v="194"/>
    <x v="20"/>
    <n v="35"/>
    <s v="Female"/>
    <s v="Ahmedabad"/>
    <s v="Punjab"/>
    <d v="2023-12-23T00:00:00"/>
    <d v="2024-01-02T00:00:00"/>
    <x v="2"/>
    <s v="Electronics"/>
    <n v="2"/>
    <n v="49831"/>
    <n v="5"/>
    <x v="3"/>
    <s v="Rahul"/>
    <x v="1"/>
    <s v="priyasingh@gmail.com"/>
    <s v="6263927352"/>
    <x v="0"/>
    <s v="Excellent"/>
    <n v="56"/>
    <s v="Cancelled"/>
    <n v="94678.9"/>
    <n v="10"/>
    <x v="11"/>
    <x v="0"/>
  </r>
  <r>
    <x v="195"/>
    <x v="87"/>
    <n v="51"/>
    <s v="Male"/>
    <s v="Ahmedabad"/>
    <s v="Delhi"/>
    <d v="2024-05-17T00:00:00"/>
    <d v="2024-05-24T00:00:00"/>
    <x v="4"/>
    <s v="Accessories"/>
    <n v="5"/>
    <n v="71841"/>
    <n v="10"/>
    <x v="2"/>
    <s v="Anjali"/>
    <x v="1"/>
    <s v="snehamehta@gmail.com"/>
    <s v="6760075656"/>
    <x v="3"/>
    <s v="Excellent"/>
    <n v="104"/>
    <s v="Cancelled"/>
    <n v="323284.5"/>
    <n v="7"/>
    <x v="6"/>
    <x v="1"/>
  </r>
  <r>
    <x v="196"/>
    <x v="52"/>
    <n v="43"/>
    <s v="Male"/>
    <s v="Mumbai"/>
    <s v="Maharashtra"/>
    <d v="2024-10-28T00:00:00"/>
    <d v="2024-10-30T00:00:00"/>
    <x v="3"/>
    <s v="Electronics"/>
    <n v="5"/>
    <n v="64136"/>
    <n v="10"/>
    <x v="3"/>
    <s v="Rahul"/>
    <x v="3"/>
    <s v="rohitsharma@gmail.com"/>
    <s v="6031215985"/>
    <x v="1"/>
    <s v="Excellent"/>
    <n v="324"/>
    <s v="Cancelled"/>
    <n v="288612"/>
    <n v="2"/>
    <x v="5"/>
    <x v="1"/>
  </r>
  <r>
    <x v="197"/>
    <x v="82"/>
    <n v="53"/>
    <s v="Female"/>
    <s v="Mumbai"/>
    <s v="Rajasthan"/>
    <d v="2023-07-05T00:00:00"/>
    <d v="2023-07-06T00:00:00"/>
    <x v="4"/>
    <s v="Accessories"/>
    <n v="2.9447852760736195"/>
    <n v="79020"/>
    <n v="5"/>
    <x v="0"/>
    <s v="Neha"/>
    <x v="2"/>
    <s v="amitgupta@gmail.com"/>
    <s v="6862586040"/>
    <x v="4"/>
    <s v="Bad"/>
    <n v="499"/>
    <s v="Delivered"/>
    <n v="221062.08588957053"/>
    <n v="1"/>
    <x v="4"/>
    <x v="0"/>
  </r>
  <r>
    <x v="198"/>
    <x v="88"/>
    <n v="57"/>
    <s v="Male"/>
    <s v="Pune"/>
    <s v="Rajasthan"/>
    <d v="2024-10-26T00:00:00"/>
    <d v="2024-11-05T00:00:00"/>
    <x v="3"/>
    <s v="Electronics"/>
    <n v="1"/>
    <n v="37165"/>
    <n v="10"/>
    <x v="2"/>
    <s v="Sneha"/>
    <x v="1"/>
    <s v="Missing"/>
    <s v="7932139935"/>
    <x v="3"/>
    <s v="Average"/>
    <n v="349"/>
    <s v="Returned"/>
    <n v="33448.5"/>
    <n v="10"/>
    <x v="5"/>
    <x v="1"/>
  </r>
  <r>
    <x v="199"/>
    <x v="81"/>
    <n v="59"/>
    <s v="Female"/>
    <s v="Pune"/>
    <s v="Gujarat"/>
    <d v="2024-06-06T00:00:00"/>
    <d v="2024-06-08T00:00:00"/>
    <x v="4"/>
    <s v="Electronics"/>
    <n v="5"/>
    <n v="28972"/>
    <n v="10"/>
    <x v="1"/>
    <s v="Karan"/>
    <x v="2"/>
    <s v="poojajoshi@gmail.com"/>
    <s v="9494563533"/>
    <x v="4"/>
    <s v="Good"/>
    <n v="278"/>
    <s v="Returned"/>
    <n v="130374"/>
    <n v="2"/>
    <x v="9"/>
    <x v="1"/>
  </r>
  <r>
    <x v="200"/>
    <x v="61"/>
    <n v="58"/>
    <s v="Female"/>
    <s v="Jaipur"/>
    <s v="Delhi"/>
    <d v="2023-07-02T00:00:00"/>
    <d v="2023-07-07T00:00:00"/>
    <x v="5"/>
    <s v="Accessories"/>
    <n v="1"/>
    <n v="13843"/>
    <n v="0"/>
    <x v="0"/>
    <s v="Anjali"/>
    <x v="2"/>
    <s v="anjalikumar@gmail.com"/>
    <s v="8424891184"/>
    <x v="3"/>
    <s v="Good"/>
    <n v="291"/>
    <s v="Delivered"/>
    <n v="13843"/>
    <n v="5"/>
    <x v="4"/>
    <x v="0"/>
  </r>
  <r>
    <x v="201"/>
    <x v="17"/>
    <n v="44"/>
    <s v="Male"/>
    <s v="Jaipur"/>
    <s v="Punjab"/>
    <d v="2024-02-28T00:00:00"/>
    <d v="2024-03-08T00:00:00"/>
    <x v="2"/>
    <s v="Electronics"/>
    <n v="1"/>
    <n v="51406"/>
    <n v="5"/>
    <x v="1"/>
    <s v="Pooja"/>
    <x v="1"/>
    <s v="rohitpatel@gmail.com"/>
    <s v="7856940895"/>
    <x v="1"/>
    <s v="Bad"/>
    <n v="301"/>
    <s v="Cancelled"/>
    <n v="48835.7"/>
    <n v="9"/>
    <x v="8"/>
    <x v="1"/>
  </r>
  <r>
    <x v="202"/>
    <x v="27"/>
    <n v="32"/>
    <s v="Female"/>
    <s v="Ahmedabad"/>
    <s v="Rajasthan"/>
    <d v="2024-02-15T00:00:00"/>
    <d v="2024-02-21T00:00:00"/>
    <x v="3"/>
    <s v="Accessories"/>
    <n v="4"/>
    <n v="26669"/>
    <n v="0"/>
    <x v="3"/>
    <s v="Amit"/>
    <x v="2"/>
    <s v="priyasharma@gmail.com"/>
    <s v="9532488737"/>
    <x v="2"/>
    <s v="Bad"/>
    <n v="278"/>
    <s v="Delivered"/>
    <n v="106676"/>
    <n v="6"/>
    <x v="8"/>
    <x v="1"/>
  </r>
  <r>
    <x v="203"/>
    <x v="17"/>
    <n v="29"/>
    <s v="Male"/>
    <s v="Delhi"/>
    <s v="Rajasthan"/>
    <d v="2024-08-07T00:00:00"/>
    <d v="2024-08-10T00:00:00"/>
    <x v="3"/>
    <s v="Accessories"/>
    <n v="3"/>
    <n v="68204"/>
    <n v="15"/>
    <x v="1"/>
    <s v="Anjali"/>
    <x v="0"/>
    <s v="rohitpatel@gmail.com"/>
    <s v="7247703211"/>
    <x v="0"/>
    <s v="Average"/>
    <n v="454"/>
    <s v="Delivered"/>
    <n v="173920.19999999998"/>
    <n v="3"/>
    <x v="3"/>
    <x v="1"/>
  </r>
  <r>
    <x v="204"/>
    <x v="15"/>
    <n v="23"/>
    <s v="Male"/>
    <s v="Chandigarh"/>
    <s v="Delhi"/>
    <d v="2023-04-19T00:00:00"/>
    <d v="2023-04-21T00:00:00"/>
    <x v="4"/>
    <s v="Accessories"/>
    <n v="4"/>
    <n v="27187"/>
    <n v="0"/>
    <x v="1"/>
    <s v="Priya"/>
    <x v="0"/>
    <s v="priyajoshi@gmail.com"/>
    <s v="7412598605"/>
    <x v="2"/>
    <s v="Excellent"/>
    <n v="318"/>
    <s v="Returned"/>
    <n v="108748"/>
    <n v="2"/>
    <x v="1"/>
    <x v="0"/>
  </r>
  <r>
    <x v="205"/>
    <x v="32"/>
    <n v="50"/>
    <s v="Male"/>
    <s v="Chandigarh"/>
    <s v="Maharashtra"/>
    <d v="2023-01-05T00:00:00"/>
    <d v="2023-01-09T00:00:00"/>
    <x v="0"/>
    <s v="Accessories"/>
    <n v="4"/>
    <n v="42109.716287215415"/>
    <n v="15"/>
    <x v="0"/>
    <s v="Rahul"/>
    <x v="3"/>
    <s v="rahuljoshi@gmail.com"/>
    <s v="8288753454"/>
    <x v="2"/>
    <s v="Good"/>
    <n v="494"/>
    <s v="Delivered"/>
    <n v="143173.03537653241"/>
    <n v="4"/>
    <x v="0"/>
    <x v="0"/>
  </r>
  <r>
    <x v="206"/>
    <x v="25"/>
    <n v="32"/>
    <s v="Female"/>
    <s v="Mumbai"/>
    <s v="Punjab"/>
    <d v="2024-02-16T00:00:00"/>
    <d v="2024-02-26T00:00:00"/>
    <x v="5"/>
    <s v="Accessories"/>
    <n v="3"/>
    <n v="16857"/>
    <n v="0"/>
    <x v="2"/>
    <s v="Pooja"/>
    <x v="3"/>
    <s v="poojasharma@gmail.com"/>
    <s v="9756938619"/>
    <x v="0"/>
    <s v="Excellent"/>
    <n v="219"/>
    <s v="Delivered"/>
    <n v="50571"/>
    <n v="10"/>
    <x v="8"/>
    <x v="1"/>
  </r>
  <r>
    <x v="207"/>
    <x v="33"/>
    <n v="22"/>
    <s v="Male"/>
    <s v="Ludhiana"/>
    <s v="Rajasthan"/>
    <d v="2023-07-09T00:00:00"/>
    <d v="2023-07-15T00:00:00"/>
    <x v="0"/>
    <s v="Accessories"/>
    <n v="4"/>
    <n v="7515"/>
    <n v="5"/>
    <x v="0"/>
    <s v="Sneha"/>
    <x v="1"/>
    <s v="poojapatel@gmail.com"/>
    <s v="8177374583"/>
    <x v="3"/>
    <s v="Average"/>
    <n v="453"/>
    <s v="Cancelled"/>
    <n v="28557"/>
    <n v="6"/>
    <x v="4"/>
    <x v="0"/>
  </r>
  <r>
    <x v="208"/>
    <x v="83"/>
    <n v="47"/>
    <s v="Female"/>
    <s v="Amritsar"/>
    <s v="Maharashtra"/>
    <d v="2024-07-21T00:00:00"/>
    <d v="2024-07-31T00:00:00"/>
    <x v="0"/>
    <s v="Electronics"/>
    <n v="1"/>
    <n v="42109.716287215415"/>
    <n v="10"/>
    <x v="0"/>
    <s v="Pooja"/>
    <x v="1"/>
    <s v="snehayadav@gmail.com"/>
    <s v="6340799947"/>
    <x v="2"/>
    <s v="Average"/>
    <n v="297"/>
    <s v="Cancelled"/>
    <n v="37898.744658493873"/>
    <n v="10"/>
    <x v="4"/>
    <x v="1"/>
  </r>
  <r>
    <x v="209"/>
    <x v="70"/>
    <n v="25"/>
    <s v="Female"/>
    <s v="Chandigarh"/>
    <s v="Delhi"/>
    <d v="2023-07-14T00:00:00"/>
    <d v="2023-07-17T00:00:00"/>
    <x v="5"/>
    <s v="Accessories"/>
    <n v="3"/>
    <n v="44348"/>
    <n v="0"/>
    <x v="3"/>
    <s v="Sneha"/>
    <x v="3"/>
    <s v="amityadav@gmail.com"/>
    <s v="Missing"/>
    <x v="2"/>
    <s v="Bad"/>
    <n v="331"/>
    <s v="Returned"/>
    <n v="133044"/>
    <n v="3"/>
    <x v="4"/>
    <x v="0"/>
  </r>
  <r>
    <x v="210"/>
    <x v="88"/>
    <n v="32"/>
    <s v="Female"/>
    <s v="Jaipur"/>
    <s v="Rajasthan"/>
    <d v="2024-04-11T00:00:00"/>
    <d v="2024-04-13T00:00:00"/>
    <x v="4"/>
    <s v="Accessories"/>
    <n v="3"/>
    <n v="71060"/>
    <n v="15"/>
    <x v="2"/>
    <s v="Vikas"/>
    <x v="2"/>
    <s v="vikasmehta@gmail.com"/>
    <s v="7739568327"/>
    <x v="2"/>
    <s v="Excellent"/>
    <n v="277"/>
    <s v="Returned"/>
    <n v="181203"/>
    <n v="2"/>
    <x v="1"/>
    <x v="1"/>
  </r>
  <r>
    <x v="211"/>
    <x v="3"/>
    <n v="45"/>
    <s v="Female"/>
    <s v="Amritsar"/>
    <s v="Maharashtra"/>
    <d v="2023-11-17T00:00:00"/>
    <d v="2023-11-18T00:00:00"/>
    <x v="2"/>
    <s v="Electronics"/>
    <n v="3"/>
    <n v="65916"/>
    <n v="5"/>
    <x v="1"/>
    <s v="Amit"/>
    <x v="2"/>
    <s v="anjalipatel@gmail.com"/>
    <s v="8606256492"/>
    <x v="0"/>
    <s v="Average"/>
    <n v="116"/>
    <s v="Returned"/>
    <n v="187860.59999999998"/>
    <n v="1"/>
    <x v="7"/>
    <x v="0"/>
  </r>
  <r>
    <x v="212"/>
    <x v="17"/>
    <n v="30"/>
    <s v="Male"/>
    <s v="Mumbai"/>
    <s v="Rajasthan"/>
    <d v="2023-03-23T00:00:00"/>
    <d v="2023-03-27T00:00:00"/>
    <x v="1"/>
    <s v="Electronics"/>
    <n v="2"/>
    <n v="19882"/>
    <n v="0"/>
    <x v="2"/>
    <s v="Priya"/>
    <x v="3"/>
    <s v="rohitpatel@gmail.com"/>
    <s v="9414551302"/>
    <x v="0"/>
    <s v="Good"/>
    <n v="406"/>
    <s v="Cancelled"/>
    <n v="39764"/>
    <n v="4"/>
    <x v="10"/>
    <x v="0"/>
  </r>
  <r>
    <x v="213"/>
    <x v="63"/>
    <n v="36"/>
    <s v="Female"/>
    <s v="Mumbai"/>
    <s v="Delhi"/>
    <d v="2023-01-23T00:00:00"/>
    <d v="2023-01-29T00:00:00"/>
    <x v="4"/>
    <s v="Accessories"/>
    <n v="3"/>
    <n v="29158"/>
    <n v="5"/>
    <x v="1"/>
    <s v="Rohit"/>
    <x v="0"/>
    <s v="priyagupta@gmail.com"/>
    <s v="7942293492"/>
    <x v="0"/>
    <s v="Excellent"/>
    <n v="197"/>
    <s v="Cancelled"/>
    <n v="83100.3"/>
    <n v="6"/>
    <x v="0"/>
    <x v="0"/>
  </r>
  <r>
    <x v="214"/>
    <x v="32"/>
    <n v="58"/>
    <s v="Male"/>
    <s v="Amritsar"/>
    <s v="Punjab"/>
    <d v="2024-04-28T00:00:00"/>
    <d v="2024-05-02T00:00:00"/>
    <x v="1"/>
    <s v="Electronics"/>
    <n v="1"/>
    <n v="42109.716287215415"/>
    <n v="10"/>
    <x v="0"/>
    <s v="Priya"/>
    <x v="3"/>
    <s v="rahuljoshi@gmail.com"/>
    <s v="7723099000"/>
    <x v="4"/>
    <s v="Average"/>
    <n v="459"/>
    <s v="Returned"/>
    <n v="37898.744658493873"/>
    <n v="4"/>
    <x v="1"/>
    <x v="1"/>
  </r>
  <r>
    <x v="215"/>
    <x v="24"/>
    <n v="26"/>
    <s v="Male"/>
    <s v="Jaipur"/>
    <s v="Rajasthan"/>
    <d v="2023-11-12T00:00:00"/>
    <d v="2023-11-16T00:00:00"/>
    <x v="4"/>
    <s v="Electronics"/>
    <n v="3"/>
    <n v="20542"/>
    <n v="10"/>
    <x v="0"/>
    <s v="Amit"/>
    <x v="3"/>
    <s v="amitmehta@gmail.com"/>
    <s v="8332899133"/>
    <x v="2"/>
    <s v="Good"/>
    <n v="73"/>
    <s v="Delivered"/>
    <n v="55463.4"/>
    <n v="4"/>
    <x v="7"/>
    <x v="0"/>
  </r>
  <r>
    <x v="216"/>
    <x v="38"/>
    <n v="42"/>
    <s v="Male"/>
    <s v="Chandigarh"/>
    <s v="Punjab"/>
    <d v="2023-05-31T00:00:00"/>
    <d v="2023-06-03T00:00:00"/>
    <x v="5"/>
    <s v="Accessories"/>
    <n v="4"/>
    <n v="7966"/>
    <n v="0"/>
    <x v="2"/>
    <s v="Anjali"/>
    <x v="0"/>
    <s v="karansharma@gmail.com"/>
    <s v="8207209128"/>
    <x v="2"/>
    <s v="Average"/>
    <n v="306"/>
    <s v="Cancelled"/>
    <n v="31864"/>
    <n v="3"/>
    <x v="6"/>
    <x v="0"/>
  </r>
  <r>
    <x v="217"/>
    <x v="89"/>
    <n v="30"/>
    <s v="Female"/>
    <s v="Mumbai"/>
    <s v="Delhi"/>
    <d v="2023-08-02T00:00:00"/>
    <d v="2023-08-07T00:00:00"/>
    <x v="4"/>
    <s v="Accessories"/>
    <n v="5"/>
    <n v="42109.716287215415"/>
    <n v="10"/>
    <x v="0"/>
    <s v="Pooja"/>
    <x v="1"/>
    <s v="rohitagarwal@gmail.com"/>
    <s v="7028090242"/>
    <x v="3"/>
    <s v="Average"/>
    <n v="299"/>
    <s v="Delivered"/>
    <n v="189493.72329246937"/>
    <n v="5"/>
    <x v="3"/>
    <x v="0"/>
  </r>
  <r>
    <x v="218"/>
    <x v="87"/>
    <n v="57"/>
    <s v="Female"/>
    <s v="Ludhiana"/>
    <s v="Punjab"/>
    <d v="2024-02-12T00:00:00"/>
    <d v="2024-02-20T00:00:00"/>
    <x v="0"/>
    <s v="Accessories"/>
    <n v="3"/>
    <n v="67930"/>
    <n v="5"/>
    <x v="0"/>
    <s v="Amit"/>
    <x v="2"/>
    <s v="snehamehta@gmail.com"/>
    <s v="8202874450"/>
    <x v="2"/>
    <s v="Bad"/>
    <n v="85"/>
    <s v="Returned"/>
    <n v="193600.5"/>
    <n v="8"/>
    <x v="8"/>
    <x v="1"/>
  </r>
  <r>
    <x v="219"/>
    <x v="60"/>
    <n v="60"/>
    <s v="Female"/>
    <s v="Mumbai"/>
    <s v="Delhi"/>
    <d v="2023-06-19T00:00:00"/>
    <d v="2023-06-27T00:00:00"/>
    <x v="0"/>
    <s v="Accessories"/>
    <n v="1"/>
    <n v="21388"/>
    <n v="0"/>
    <x v="1"/>
    <s v="Pooja"/>
    <x v="3"/>
    <s v="amitsharma@gmail.com"/>
    <s v="Missing"/>
    <x v="4"/>
    <s v="Good"/>
    <n v="226"/>
    <s v="Delivered"/>
    <n v="21388"/>
    <n v="8"/>
    <x v="9"/>
    <x v="0"/>
  </r>
  <r>
    <x v="220"/>
    <x v="17"/>
    <n v="27"/>
    <s v="Male"/>
    <s v="Amritsar"/>
    <s v="Maharashtra"/>
    <d v="2024-02-29T00:00:00"/>
    <d v="2024-03-04T00:00:00"/>
    <x v="1"/>
    <s v="Electronics"/>
    <n v="5"/>
    <n v="31732"/>
    <n v="15"/>
    <x v="2"/>
    <s v="Rahul"/>
    <x v="1"/>
    <s v="rohitpatel@gmail.com"/>
    <s v="8356471443"/>
    <x v="3"/>
    <s v="Excellent"/>
    <n v="337"/>
    <s v="Cancelled"/>
    <n v="134861"/>
    <n v="4"/>
    <x v="8"/>
    <x v="1"/>
  </r>
  <r>
    <x v="221"/>
    <x v="17"/>
    <n v="22"/>
    <s v="Male"/>
    <s v="Ahmedabad"/>
    <s v="Punjab"/>
    <d v="2023-03-27T00:00:00"/>
    <d v="2023-04-03T00:00:00"/>
    <x v="3"/>
    <s v="Accessories"/>
    <n v="4"/>
    <n v="23574"/>
    <n v="0"/>
    <x v="3"/>
    <s v="Anjali"/>
    <x v="3"/>
    <s v="rohitpatel@gmail.com"/>
    <s v="9680925625"/>
    <x v="2"/>
    <s v="Excellent"/>
    <n v="164"/>
    <s v="Cancelled"/>
    <n v="94296"/>
    <n v="7"/>
    <x v="10"/>
    <x v="0"/>
  </r>
  <r>
    <x v="222"/>
    <x v="27"/>
    <n v="52"/>
    <s v="Female"/>
    <s v="Mumbai"/>
    <s v="Rajasthan"/>
    <d v="2024-05-25T00:00:00"/>
    <d v="2024-05-30T00:00:00"/>
    <x v="1"/>
    <s v="Accessories"/>
    <n v="5"/>
    <n v="46059"/>
    <n v="0"/>
    <x v="2"/>
    <s v="Karan"/>
    <x v="1"/>
    <s v="priyasharma@gmail.com"/>
    <s v="6114364289"/>
    <x v="1"/>
    <s v="Average"/>
    <n v="52"/>
    <s v="Returned"/>
    <n v="230295"/>
    <n v="5"/>
    <x v="6"/>
    <x v="1"/>
  </r>
  <r>
    <x v="223"/>
    <x v="59"/>
    <n v="33"/>
    <s v="Female"/>
    <s v="Pune"/>
    <s v="Delhi"/>
    <d v="2023-10-31T00:00:00"/>
    <d v="2023-11-02T00:00:00"/>
    <x v="3"/>
    <s v="Electronics"/>
    <n v="3"/>
    <n v="37852"/>
    <n v="10"/>
    <x v="1"/>
    <s v="Priya"/>
    <x v="1"/>
    <s v="Missing"/>
    <s v="9151355483"/>
    <x v="0"/>
    <s v="Excellent"/>
    <n v="229"/>
    <s v="Returned"/>
    <n v="102200.40000000001"/>
    <n v="2"/>
    <x v="5"/>
    <x v="0"/>
  </r>
  <r>
    <x v="224"/>
    <x v="49"/>
    <n v="45"/>
    <s v="Male"/>
    <s v="Ahmedabad"/>
    <s v="Delhi"/>
    <d v="2024-01-20T00:00:00"/>
    <d v="2024-01-29T00:00:00"/>
    <x v="5"/>
    <s v="Accessories"/>
    <n v="3"/>
    <n v="36282"/>
    <n v="10"/>
    <x v="3"/>
    <s v="Pooja"/>
    <x v="2"/>
    <s v="vikaskumar@gmail.com"/>
    <s v="9935906587"/>
    <x v="2"/>
    <s v="Average"/>
    <n v="209"/>
    <s v="Delivered"/>
    <n v="97961.400000000009"/>
    <n v="9"/>
    <x v="0"/>
    <x v="1"/>
  </r>
  <r>
    <x v="225"/>
    <x v="6"/>
    <n v="42"/>
    <s v="Male"/>
    <s v="Amritsar"/>
    <s v="Maharashtra"/>
    <d v="2023-05-05T00:00:00"/>
    <d v="2023-05-12T00:00:00"/>
    <x v="5"/>
    <s v="Accessories"/>
    <n v="5"/>
    <n v="61575"/>
    <n v="10"/>
    <x v="3"/>
    <s v="Anjali"/>
    <x v="0"/>
    <s v="Missing"/>
    <s v="6985487265"/>
    <x v="0"/>
    <s v="Good"/>
    <n v="276"/>
    <s v="Returned"/>
    <n v="277087.5"/>
    <n v="7"/>
    <x v="6"/>
    <x v="0"/>
  </r>
  <r>
    <x v="226"/>
    <x v="49"/>
    <n v="43"/>
    <s v="Male"/>
    <s v="Mumbai"/>
    <s v="Punjab"/>
    <d v="2024-02-23T00:00:00"/>
    <d v="2024-02-28T00:00:00"/>
    <x v="4"/>
    <s v="Accessories"/>
    <n v="3"/>
    <n v="5610"/>
    <n v="0"/>
    <x v="3"/>
    <s v="Rahul"/>
    <x v="1"/>
    <s v="vikaskumar@gmail.com"/>
    <s v="6910664871"/>
    <x v="2"/>
    <s v="Excellent"/>
    <n v="234"/>
    <s v="Delivered"/>
    <n v="16830"/>
    <n v="5"/>
    <x v="8"/>
    <x v="1"/>
  </r>
  <r>
    <x v="227"/>
    <x v="75"/>
    <n v="58"/>
    <s v="Male"/>
    <s v="Delhi"/>
    <s v="Gujarat"/>
    <d v="2023-03-19T00:00:00"/>
    <d v="2023-03-22T00:00:00"/>
    <x v="5"/>
    <s v="Accessories"/>
    <n v="2"/>
    <n v="33409"/>
    <n v="5"/>
    <x v="3"/>
    <s v="Anjali"/>
    <x v="0"/>
    <s v="rohitmehta@gmail.com"/>
    <s v="7768666518"/>
    <x v="1"/>
    <s v="Average"/>
    <n v="425"/>
    <s v="Cancelled"/>
    <n v="63477.1"/>
    <n v="3"/>
    <x v="10"/>
    <x v="0"/>
  </r>
  <r>
    <x v="228"/>
    <x v="90"/>
    <n v="59"/>
    <s v="Male"/>
    <s v="Chandigarh"/>
    <s v="Punjab"/>
    <d v="2024-10-12T00:00:00"/>
    <d v="2024-10-15T00:00:00"/>
    <x v="2"/>
    <s v="Accessories"/>
    <n v="2"/>
    <n v="9182"/>
    <n v="10"/>
    <x v="3"/>
    <s v="Sneha"/>
    <x v="0"/>
    <s v="vikaspatel@gmail.com"/>
    <s v="6675511729"/>
    <x v="0"/>
    <s v="Average"/>
    <n v="76"/>
    <s v="Delivered"/>
    <n v="16527.600000000002"/>
    <n v="3"/>
    <x v="5"/>
    <x v="1"/>
  </r>
  <r>
    <x v="229"/>
    <x v="15"/>
    <n v="24"/>
    <s v="Female"/>
    <s v="Amritsar"/>
    <s v="Delhi"/>
    <d v="2024-07-21T00:00:00"/>
    <d v="2024-07-28T00:00:00"/>
    <x v="3"/>
    <s v="Accessories"/>
    <n v="5"/>
    <n v="42096"/>
    <n v="0"/>
    <x v="1"/>
    <s v="Anjali"/>
    <x v="3"/>
    <s v="priyajoshi@gmail.com"/>
    <s v="7764223641"/>
    <x v="2"/>
    <s v="Good"/>
    <n v="393"/>
    <s v="Delivered"/>
    <n v="210480"/>
    <n v="7"/>
    <x v="4"/>
    <x v="1"/>
  </r>
  <r>
    <x v="230"/>
    <x v="63"/>
    <n v="41"/>
    <s v="Male"/>
    <s v="Jaipur"/>
    <s v="Delhi"/>
    <d v="2024-07-31T00:00:00"/>
    <d v="2024-08-03T00:00:00"/>
    <x v="4"/>
    <s v="Electronics"/>
    <n v="3"/>
    <n v="16813"/>
    <n v="5"/>
    <x v="0"/>
    <s v="Pooja"/>
    <x v="0"/>
    <s v="priyagupta@gmail.com"/>
    <s v="7586209561"/>
    <x v="4"/>
    <s v="Excellent"/>
    <n v="430"/>
    <s v="Delivered"/>
    <n v="47917.049999999996"/>
    <n v="3"/>
    <x v="4"/>
    <x v="1"/>
  </r>
  <r>
    <x v="231"/>
    <x v="84"/>
    <n v="24"/>
    <s v="Male"/>
    <s v="Ahmedabad"/>
    <s v="Gujarat"/>
    <d v="2024-01-18T00:00:00"/>
    <d v="2024-01-25T00:00:00"/>
    <x v="4"/>
    <s v="Accessories"/>
    <n v="2"/>
    <n v="25000"/>
    <n v="0"/>
    <x v="2"/>
    <s v="Vikas"/>
    <x v="1"/>
    <s v="priyapatel@gmail.com"/>
    <s v="8427392498"/>
    <x v="2"/>
    <s v="Bad"/>
    <n v="179"/>
    <s v="Cancelled"/>
    <n v="50000"/>
    <n v="7"/>
    <x v="0"/>
    <x v="1"/>
  </r>
  <r>
    <x v="232"/>
    <x v="64"/>
    <n v="27"/>
    <s v="Female"/>
    <s v="Chandigarh"/>
    <s v="Delhi"/>
    <d v="2024-08-01T00:00:00"/>
    <d v="2024-08-11T00:00:00"/>
    <x v="1"/>
    <s v="Accessories"/>
    <n v="1"/>
    <n v="46471"/>
    <n v="10"/>
    <x v="3"/>
    <s v="Karan"/>
    <x v="1"/>
    <s v="vikasverma@gmail.com"/>
    <s v="6582932153"/>
    <x v="1"/>
    <s v="Good"/>
    <n v="99"/>
    <s v="Returned"/>
    <n v="41823.9"/>
    <n v="10"/>
    <x v="3"/>
    <x v="1"/>
  </r>
  <r>
    <x v="233"/>
    <x v="11"/>
    <n v="23"/>
    <s v="Male"/>
    <s v="Jaipur"/>
    <s v="Delhi"/>
    <d v="2023-12-07T00:00:00"/>
    <d v="2023-12-16T00:00:00"/>
    <x v="3"/>
    <s v="Accessories"/>
    <n v="4"/>
    <n v="8639"/>
    <n v="10"/>
    <x v="3"/>
    <s v="Sneha"/>
    <x v="1"/>
    <s v="anjaliagarwal@gmail.com"/>
    <s v="8945876970"/>
    <x v="4"/>
    <s v="Good"/>
    <n v="68"/>
    <s v="Delivered"/>
    <n v="31100.400000000001"/>
    <n v="9"/>
    <x v="11"/>
    <x v="0"/>
  </r>
  <r>
    <x v="234"/>
    <x v="20"/>
    <n v="32"/>
    <s v="Female"/>
    <s v="Ludhiana"/>
    <s v="Maharashtra"/>
    <d v="2023-04-01T00:00:00"/>
    <d v="2023-04-10T00:00:00"/>
    <x v="2"/>
    <s v="Electronics"/>
    <n v="5"/>
    <n v="56558"/>
    <n v="5"/>
    <x v="1"/>
    <s v="Rahul"/>
    <x v="1"/>
    <s v="priyasingh@gmail.com"/>
    <s v="8796595158"/>
    <x v="1"/>
    <s v="Good"/>
    <n v="212"/>
    <s v="Returned"/>
    <n v="268650.5"/>
    <n v="9"/>
    <x v="1"/>
    <x v="0"/>
  </r>
  <r>
    <x v="235"/>
    <x v="73"/>
    <n v="36"/>
    <s v="Female"/>
    <s v="Pune"/>
    <s v="Gujarat"/>
    <d v="2023-01-28T00:00:00"/>
    <d v="2023-02-01T00:00:00"/>
    <x v="4"/>
    <s v="Electronics"/>
    <n v="3"/>
    <n v="18757"/>
    <n v="0"/>
    <x v="3"/>
    <s v="Rohit"/>
    <x v="1"/>
    <s v="priyaagarwal@gmail.com"/>
    <s v="7630429870"/>
    <x v="4"/>
    <s v="Bad"/>
    <n v="339"/>
    <s v="Cancelled"/>
    <n v="56271"/>
    <n v="4"/>
    <x v="0"/>
    <x v="0"/>
  </r>
  <r>
    <x v="236"/>
    <x v="11"/>
    <n v="22"/>
    <s v="Male"/>
    <s v="Chandigarh"/>
    <s v="Punjab"/>
    <d v="2024-01-17T00:00:00"/>
    <d v="2024-01-22T00:00:00"/>
    <x v="2"/>
    <s v="Electronics"/>
    <n v="3"/>
    <n v="28930"/>
    <n v="0"/>
    <x v="3"/>
    <s v="Sneha"/>
    <x v="1"/>
    <s v="anjaliagarwal@gmail.com"/>
    <s v="8074269618"/>
    <x v="0"/>
    <s v="Bad"/>
    <n v="58"/>
    <s v="Delivered"/>
    <n v="86790"/>
    <n v="5"/>
    <x v="0"/>
    <x v="1"/>
  </r>
  <r>
    <x v="237"/>
    <x v="91"/>
    <n v="28"/>
    <s v="Male"/>
    <s v="Mumbai"/>
    <s v="Maharashtra"/>
    <d v="2024-05-26T00:00:00"/>
    <d v="2024-05-29T00:00:00"/>
    <x v="3"/>
    <s v="Accessories"/>
    <n v="3"/>
    <n v="77893"/>
    <n v="15"/>
    <x v="2"/>
    <s v="Pooja"/>
    <x v="3"/>
    <s v="nehakumar@gmail.com"/>
    <s v="8273812437"/>
    <x v="3"/>
    <s v="Bad"/>
    <n v="296"/>
    <s v="Delivered"/>
    <n v="198627.15"/>
    <n v="3"/>
    <x v="6"/>
    <x v="1"/>
  </r>
  <r>
    <x v="238"/>
    <x v="87"/>
    <n v="50"/>
    <s v="Female"/>
    <s v="Ahmedabad"/>
    <s v="Punjab"/>
    <d v="2023-02-28T00:00:00"/>
    <d v="2023-03-07T00:00:00"/>
    <x v="1"/>
    <s v="Accessories"/>
    <n v="2"/>
    <n v="79503"/>
    <n v="5"/>
    <x v="3"/>
    <s v="Sneha"/>
    <x v="2"/>
    <s v="snehamehta@gmail.com"/>
    <s v="Missing"/>
    <x v="2"/>
    <s v="Good"/>
    <n v="153"/>
    <s v="Cancelled"/>
    <n v="151055.69999999998"/>
    <n v="7"/>
    <x v="8"/>
    <x v="0"/>
  </r>
  <r>
    <x v="239"/>
    <x v="1"/>
    <n v="30"/>
    <s v="Female"/>
    <s v="Chandigarh"/>
    <s v="Maharashtra"/>
    <d v="2023-09-29T00:00:00"/>
    <d v="2023-10-06T00:00:00"/>
    <x v="1"/>
    <s v="Accessories"/>
    <n v="5"/>
    <n v="21205"/>
    <n v="0"/>
    <x v="3"/>
    <s v="Vikas"/>
    <x v="3"/>
    <s v="poojagupta@gmail.com"/>
    <s v="Missing"/>
    <x v="4"/>
    <s v="Bad"/>
    <n v="81"/>
    <s v="Cancelled"/>
    <n v="106025"/>
    <n v="7"/>
    <x v="2"/>
    <x v="0"/>
  </r>
  <r>
    <x v="240"/>
    <x v="70"/>
    <n v="44"/>
    <s v="Male"/>
    <s v="Pune"/>
    <s v="Rajasthan"/>
    <d v="2024-02-06T00:00:00"/>
    <d v="2024-02-07T00:00:00"/>
    <x v="2"/>
    <s v="Electronics"/>
    <n v="3"/>
    <n v="12675"/>
    <n v="0"/>
    <x v="0"/>
    <s v="Pooja"/>
    <x v="2"/>
    <s v="amityadav@gmail.com"/>
    <s v="9955732568"/>
    <x v="4"/>
    <s v="Good"/>
    <n v="354"/>
    <s v="Returned"/>
    <n v="38025"/>
    <n v="1"/>
    <x v="8"/>
    <x v="1"/>
  </r>
  <r>
    <x v="241"/>
    <x v="91"/>
    <n v="33"/>
    <s v="Female"/>
    <s v="Mumbai"/>
    <s v="Delhi"/>
    <d v="2023-12-11T00:00:00"/>
    <d v="2023-12-15T00:00:00"/>
    <x v="4"/>
    <s v="Electronics"/>
    <n v="2"/>
    <n v="9134"/>
    <n v="0"/>
    <x v="1"/>
    <s v="Sneha"/>
    <x v="2"/>
    <s v="nehakumar@gmail.com"/>
    <s v="Missing"/>
    <x v="3"/>
    <s v="Bad"/>
    <n v="85"/>
    <s v="Delivered"/>
    <n v="18268"/>
    <n v="4"/>
    <x v="11"/>
    <x v="0"/>
  </r>
  <r>
    <x v="242"/>
    <x v="83"/>
    <n v="46"/>
    <s v="Male"/>
    <s v="Chandigarh"/>
    <s v="Delhi"/>
    <d v="2023-01-09T00:00:00"/>
    <d v="2023-01-16T00:00:00"/>
    <x v="0"/>
    <s v="Accessories"/>
    <n v="1"/>
    <n v="20157"/>
    <n v="15"/>
    <x v="1"/>
    <s v="Karan"/>
    <x v="1"/>
    <s v="snehayadav@gmail.com"/>
    <s v="7698185988"/>
    <x v="3"/>
    <s v="Excellent"/>
    <n v="495"/>
    <s v="Returned"/>
    <n v="17133.45"/>
    <n v="7"/>
    <x v="0"/>
    <x v="0"/>
  </r>
  <r>
    <x v="243"/>
    <x v="13"/>
    <n v="37"/>
    <s v="Female"/>
    <s v="Chandigarh"/>
    <s v="Punjab"/>
    <d v="2024-05-20T00:00:00"/>
    <d v="2024-05-22T00:00:00"/>
    <x v="0"/>
    <s v="Accessories"/>
    <n v="1"/>
    <n v="42109.716287215415"/>
    <n v="5"/>
    <x v="0"/>
    <s v="Priya"/>
    <x v="3"/>
    <s v="Missing"/>
    <s v="8154894280"/>
    <x v="4"/>
    <s v="Good"/>
    <n v="462"/>
    <s v="Cancelled"/>
    <n v="40004.230472854644"/>
    <n v="2"/>
    <x v="6"/>
    <x v="1"/>
  </r>
  <r>
    <x v="244"/>
    <x v="45"/>
    <n v="41"/>
    <s v="Female"/>
    <s v="Amritsar"/>
    <s v="Maharashtra"/>
    <d v="2024-02-14T00:00:00"/>
    <d v="2024-02-15T00:00:00"/>
    <x v="2"/>
    <s v="Electronics"/>
    <n v="5"/>
    <n v="17988"/>
    <n v="15"/>
    <x v="3"/>
    <s v="Neha"/>
    <x v="0"/>
    <s v="snehakumar@gmail.com"/>
    <s v="6442910095"/>
    <x v="3"/>
    <s v="Excellent"/>
    <n v="98"/>
    <s v="Cancelled"/>
    <n v="76449"/>
    <n v="1"/>
    <x v="8"/>
    <x v="1"/>
  </r>
  <r>
    <x v="245"/>
    <x v="78"/>
    <n v="27"/>
    <s v="Male"/>
    <s v="Delhi"/>
    <s v="Rajasthan"/>
    <d v="2023-08-12T00:00:00"/>
    <d v="2023-08-15T00:00:00"/>
    <x v="4"/>
    <s v="Electronics"/>
    <n v="3"/>
    <n v="42646"/>
    <n v="5"/>
    <x v="1"/>
    <s v="Vikas"/>
    <x v="3"/>
    <s v="poojaagarwal@gmail.com"/>
    <s v="6952032334"/>
    <x v="4"/>
    <s v="Average"/>
    <n v="432"/>
    <s v="Delivered"/>
    <n v="121541.09999999999"/>
    <n v="3"/>
    <x v="3"/>
    <x v="0"/>
  </r>
  <r>
    <x v="246"/>
    <x v="70"/>
    <n v="23"/>
    <s v="Female"/>
    <s v="Jaipur"/>
    <s v="Delhi"/>
    <d v="2023-08-17T00:00:00"/>
    <d v="2023-08-19T00:00:00"/>
    <x v="3"/>
    <s v="Electronics"/>
    <n v="5"/>
    <n v="22982"/>
    <n v="5"/>
    <x v="2"/>
    <s v="Vikas"/>
    <x v="2"/>
    <s v="amityadav@gmail.com"/>
    <s v="7925799898"/>
    <x v="4"/>
    <s v="Average"/>
    <n v="260"/>
    <s v="Returned"/>
    <n v="109164.5"/>
    <n v="2"/>
    <x v="3"/>
    <x v="0"/>
  </r>
  <r>
    <x v="247"/>
    <x v="60"/>
    <n v="47"/>
    <s v="Male"/>
    <s v="Jaipur"/>
    <s v="Gujarat"/>
    <d v="2023-07-16T00:00:00"/>
    <d v="2023-07-18T00:00:00"/>
    <x v="5"/>
    <s v="Electronics"/>
    <n v="2.9447852760736195"/>
    <n v="22987"/>
    <n v="10"/>
    <x v="1"/>
    <s v="Rohit"/>
    <x v="1"/>
    <s v="amitsharma@gmail.com"/>
    <s v="9827528884"/>
    <x v="1"/>
    <s v="Average"/>
    <n v="111"/>
    <s v="Cancelled"/>
    <n v="60922.601226993858"/>
    <n v="2"/>
    <x v="4"/>
    <x v="0"/>
  </r>
  <r>
    <x v="248"/>
    <x v="89"/>
    <n v="27"/>
    <s v="Male"/>
    <s v="Chandigarh"/>
    <s v="Maharashtra"/>
    <d v="2024-06-27T00:00:00"/>
    <d v="2024-07-05T00:00:00"/>
    <x v="3"/>
    <s v="Electronics"/>
    <n v="4"/>
    <n v="77987"/>
    <n v="10"/>
    <x v="3"/>
    <s v="Rohit"/>
    <x v="3"/>
    <s v="Missing"/>
    <s v="Missing"/>
    <x v="1"/>
    <s v="Excellent"/>
    <n v="204"/>
    <s v="Delivered"/>
    <n v="280753.2"/>
    <n v="8"/>
    <x v="9"/>
    <x v="1"/>
  </r>
  <r>
    <x v="249"/>
    <x v="33"/>
    <n v="25"/>
    <s v="Female"/>
    <s v="Pune"/>
    <s v="Maharashtra"/>
    <d v="2023-06-03T00:00:00"/>
    <d v="2023-06-12T00:00:00"/>
    <x v="2"/>
    <s v="Accessories"/>
    <n v="2"/>
    <n v="63642"/>
    <n v="5"/>
    <x v="0"/>
    <s v="Rohit"/>
    <x v="3"/>
    <s v="poojapatel@gmail.com"/>
    <s v="8968586153"/>
    <x v="1"/>
    <s v="Bad"/>
    <n v="184"/>
    <s v="Cancelled"/>
    <n v="120919.79999999999"/>
    <n v="9"/>
    <x v="9"/>
    <x v="0"/>
  </r>
  <r>
    <x v="250"/>
    <x v="92"/>
    <n v="60"/>
    <s v="Female"/>
    <s v="Jaipur"/>
    <s v="Maharashtra"/>
    <d v="2023-03-26T00:00:00"/>
    <d v="2023-04-05T00:00:00"/>
    <x v="1"/>
    <s v="Accessories"/>
    <n v="1"/>
    <n v="5765"/>
    <n v="5"/>
    <x v="2"/>
    <s v="Sneha"/>
    <x v="0"/>
    <s v="anjaliyadav@gmail.com"/>
    <s v="6148141705"/>
    <x v="3"/>
    <s v="Average"/>
    <n v="62"/>
    <s v="Delivered"/>
    <n v="5476.75"/>
    <n v="10"/>
    <x v="10"/>
    <x v="0"/>
  </r>
  <r>
    <x v="251"/>
    <x v="43"/>
    <n v="19"/>
    <s v="Male"/>
    <s v="Chandigarh"/>
    <s v="Delhi"/>
    <d v="2023-09-28T00:00:00"/>
    <d v="2023-10-02T00:00:00"/>
    <x v="4"/>
    <s v="Accessories"/>
    <n v="2"/>
    <n v="70551"/>
    <n v="0"/>
    <x v="0"/>
    <s v="Karan"/>
    <x v="1"/>
    <s v="Missing"/>
    <s v="7682717572"/>
    <x v="2"/>
    <s v="Excellent"/>
    <n v="68"/>
    <s v="Delivered"/>
    <n v="141102"/>
    <n v="4"/>
    <x v="2"/>
    <x v="0"/>
  </r>
  <r>
    <x v="252"/>
    <x v="42"/>
    <n v="57"/>
    <s v="Male"/>
    <s v="Pune"/>
    <s v="Rajasthan"/>
    <d v="2024-07-20T00:00:00"/>
    <d v="2024-07-27T00:00:00"/>
    <x v="0"/>
    <s v="Electronics"/>
    <n v="3"/>
    <n v="53547"/>
    <n v="0"/>
    <x v="1"/>
    <s v="Sneha"/>
    <x v="1"/>
    <s v="rahulgupta@gmail.com"/>
    <s v="7335283086"/>
    <x v="4"/>
    <s v="Good"/>
    <n v="330"/>
    <s v="Returned"/>
    <n v="160641"/>
    <n v="7"/>
    <x v="4"/>
    <x v="1"/>
  </r>
  <r>
    <x v="253"/>
    <x v="26"/>
    <n v="47"/>
    <s v="Female"/>
    <s v="Ludhiana"/>
    <s v="Rajasthan"/>
    <d v="2023-07-12T00:00:00"/>
    <d v="2023-07-17T00:00:00"/>
    <x v="5"/>
    <s v="Accessories"/>
    <n v="5"/>
    <n v="8455"/>
    <n v="10"/>
    <x v="2"/>
    <s v="Pooja"/>
    <x v="3"/>
    <s v="karanjoshi@gmail.com"/>
    <s v="7339958959"/>
    <x v="4"/>
    <s v="Excellent"/>
    <n v="83"/>
    <s v="Returned"/>
    <n v="38047.5"/>
    <n v="5"/>
    <x v="4"/>
    <x v="0"/>
  </r>
  <r>
    <x v="254"/>
    <x v="77"/>
    <n v="54"/>
    <s v="Male"/>
    <s v="Pune"/>
    <s v="Punjab"/>
    <d v="2024-04-16T00:00:00"/>
    <d v="2024-04-20T00:00:00"/>
    <x v="2"/>
    <s v="Electronics"/>
    <n v="4"/>
    <n v="61172"/>
    <n v="5"/>
    <x v="1"/>
    <s v="Vikas"/>
    <x v="2"/>
    <s v="rohitkumar@gmail.com"/>
    <s v="7274682436"/>
    <x v="2"/>
    <s v="Bad"/>
    <n v="235"/>
    <s v="Cancelled"/>
    <n v="232453.59999999998"/>
    <n v="4"/>
    <x v="1"/>
    <x v="1"/>
  </r>
  <r>
    <x v="255"/>
    <x v="80"/>
    <n v="55"/>
    <s v="Male"/>
    <s v="Pune"/>
    <s v="Gujarat"/>
    <d v="2024-07-04T00:00:00"/>
    <d v="2024-07-09T00:00:00"/>
    <x v="0"/>
    <s v="Accessories"/>
    <n v="5"/>
    <n v="65035"/>
    <n v="10"/>
    <x v="2"/>
    <s v="Rahul"/>
    <x v="0"/>
    <s v="rahulagarwal@gmail.com"/>
    <s v="9904380634"/>
    <x v="1"/>
    <s v="Average"/>
    <n v="368"/>
    <s v="Delivered"/>
    <n v="292657.5"/>
    <n v="5"/>
    <x v="4"/>
    <x v="1"/>
  </r>
  <r>
    <x v="256"/>
    <x v="66"/>
    <n v="54"/>
    <s v="Female"/>
    <s v="Delhi"/>
    <s v="Gujarat"/>
    <d v="2023-04-25T00:00:00"/>
    <d v="2023-05-02T00:00:00"/>
    <x v="0"/>
    <s v="Electronics"/>
    <n v="3"/>
    <n v="71993"/>
    <n v="10"/>
    <x v="2"/>
    <s v="Pooja"/>
    <x v="3"/>
    <s v="nehasingh@gmail.com"/>
    <s v="8457714860"/>
    <x v="2"/>
    <s v="Bad"/>
    <n v="453"/>
    <s v="Delivered"/>
    <n v="194381.1"/>
    <n v="7"/>
    <x v="1"/>
    <x v="0"/>
  </r>
  <r>
    <x v="257"/>
    <x v="19"/>
    <n v="52"/>
    <s v="Male"/>
    <s v="Ahmedabad"/>
    <s v="Punjab"/>
    <d v="2024-11-07T00:00:00"/>
    <d v="2024-11-11T00:00:00"/>
    <x v="3"/>
    <s v="Accessories"/>
    <n v="2"/>
    <n v="66877"/>
    <n v="10"/>
    <x v="0"/>
    <s v="Priya"/>
    <x v="0"/>
    <s v="vikasagarwal@gmail.com"/>
    <s v="9574420054"/>
    <x v="3"/>
    <s v="Average"/>
    <n v="269"/>
    <s v="Returned"/>
    <n v="120378.6"/>
    <n v="4"/>
    <x v="7"/>
    <x v="1"/>
  </r>
  <r>
    <x v="258"/>
    <x v="85"/>
    <n v="44"/>
    <s v="Male"/>
    <s v="Delhi"/>
    <s v="Delhi"/>
    <d v="2023-09-05T00:00:00"/>
    <d v="2023-09-08T00:00:00"/>
    <x v="1"/>
    <s v="Electronics"/>
    <n v="4"/>
    <n v="25034"/>
    <n v="5"/>
    <x v="0"/>
    <s v="Pooja"/>
    <x v="2"/>
    <s v="rahulkumar@gmail.com"/>
    <s v="6986377917"/>
    <x v="4"/>
    <s v="Good"/>
    <n v="322"/>
    <s v="Cancelled"/>
    <n v="95129.2"/>
    <n v="3"/>
    <x v="2"/>
    <x v="0"/>
  </r>
  <r>
    <x v="259"/>
    <x v="21"/>
    <n v="43"/>
    <s v="Female"/>
    <s v="Jaipur"/>
    <s v="Delhi"/>
    <d v="2024-08-27T00:00:00"/>
    <d v="2024-08-29T00:00:00"/>
    <x v="4"/>
    <s v="Accessories"/>
    <n v="1"/>
    <n v="59706"/>
    <n v="15"/>
    <x v="3"/>
    <s v="Rahul"/>
    <x v="1"/>
    <s v="karansingh@gmail.com"/>
    <s v="7226993848"/>
    <x v="0"/>
    <s v="Average"/>
    <n v="156"/>
    <s v="Cancelled"/>
    <n v="50750.1"/>
    <n v="2"/>
    <x v="3"/>
    <x v="1"/>
  </r>
  <r>
    <x v="260"/>
    <x v="68"/>
    <n v="18"/>
    <s v="Male"/>
    <s v="Delhi"/>
    <s v="Gujarat"/>
    <d v="2023-07-05T00:00:00"/>
    <d v="2023-07-09T00:00:00"/>
    <x v="2"/>
    <s v="Electronics"/>
    <n v="2"/>
    <n v="51921"/>
    <n v="15"/>
    <x v="0"/>
    <s v="Priya"/>
    <x v="2"/>
    <s v="poojasingh@gmail.com"/>
    <s v="9159732351"/>
    <x v="1"/>
    <s v="Excellent"/>
    <n v="67"/>
    <s v="Cancelled"/>
    <n v="88265.7"/>
    <n v="4"/>
    <x v="4"/>
    <x v="0"/>
  </r>
  <r>
    <x v="261"/>
    <x v="78"/>
    <n v="25"/>
    <s v="Male"/>
    <s v="Ahmedabad"/>
    <s v="Delhi"/>
    <d v="2023-07-25T00:00:00"/>
    <d v="2023-07-27T00:00:00"/>
    <x v="4"/>
    <s v="Electronics"/>
    <n v="1"/>
    <n v="37533"/>
    <n v="10"/>
    <x v="2"/>
    <s v="Karan"/>
    <x v="1"/>
    <s v="poojaagarwal@gmail.com"/>
    <s v="9416418936"/>
    <x v="2"/>
    <s v="Average"/>
    <n v="280"/>
    <s v="Delivered"/>
    <n v="33779.700000000004"/>
    <n v="2"/>
    <x v="4"/>
    <x v="0"/>
  </r>
  <r>
    <x v="262"/>
    <x v="92"/>
    <n v="37"/>
    <s v="Male"/>
    <s v="Pune"/>
    <s v="Gujarat"/>
    <d v="2023-03-17T00:00:00"/>
    <d v="2023-03-18T00:00:00"/>
    <x v="3"/>
    <s v="Electronics"/>
    <n v="4"/>
    <n v="56163"/>
    <n v="10"/>
    <x v="0"/>
    <s v="Priya"/>
    <x v="1"/>
    <s v="anjaliyadav@gmail.com"/>
    <s v="Missing"/>
    <x v="1"/>
    <s v="Bad"/>
    <n v="417"/>
    <s v="Delivered"/>
    <n v="202186.80000000002"/>
    <n v="1"/>
    <x v="10"/>
    <x v="0"/>
  </r>
  <r>
    <x v="263"/>
    <x v="88"/>
    <n v="30"/>
    <s v="Male"/>
    <s v="Pune"/>
    <s v="Punjab"/>
    <d v="2024-07-21T00:00:00"/>
    <d v="2024-07-31T00:00:00"/>
    <x v="3"/>
    <s v="Accessories"/>
    <n v="2"/>
    <n v="42109.716287215415"/>
    <n v="5"/>
    <x v="3"/>
    <s v="Anjali"/>
    <x v="0"/>
    <s v="vikasmehta@gmail.com"/>
    <s v="9161319163"/>
    <x v="1"/>
    <s v="Good"/>
    <n v="337"/>
    <s v="Delivered"/>
    <n v="80008.460945709288"/>
    <n v="10"/>
    <x v="4"/>
    <x v="1"/>
  </r>
  <r>
    <x v="264"/>
    <x v="44"/>
    <n v="41"/>
    <s v="Female"/>
    <s v="Mumbai"/>
    <s v="Maharashtra"/>
    <d v="2024-05-03T00:00:00"/>
    <d v="2024-05-08T00:00:00"/>
    <x v="3"/>
    <s v="Accessories"/>
    <n v="5"/>
    <n v="32000"/>
    <n v="15"/>
    <x v="1"/>
    <s v="Amit"/>
    <x v="0"/>
    <s v="karanmehta@gmail.com"/>
    <s v="6200997505"/>
    <x v="4"/>
    <s v="Average"/>
    <n v="498"/>
    <s v="Returned"/>
    <n v="136000"/>
    <n v="5"/>
    <x v="6"/>
    <x v="1"/>
  </r>
  <r>
    <x v="265"/>
    <x v="8"/>
    <n v="44"/>
    <s v="Female"/>
    <s v="Ludhiana"/>
    <s v="Gujarat"/>
    <d v="2024-09-05T00:00:00"/>
    <d v="2024-09-14T00:00:00"/>
    <x v="2"/>
    <s v="Accessories"/>
    <n v="1"/>
    <n v="23263"/>
    <n v="0"/>
    <x v="0"/>
    <s v="Pooja"/>
    <x v="3"/>
    <s v="priyamehta@gmail.com"/>
    <s v="9618223308"/>
    <x v="1"/>
    <s v="Excellent"/>
    <n v="108"/>
    <s v="Cancelled"/>
    <n v="23263"/>
    <n v="9"/>
    <x v="2"/>
    <x v="1"/>
  </r>
  <r>
    <x v="266"/>
    <x v="78"/>
    <n v="35"/>
    <s v="Female"/>
    <s v="Chandigarh"/>
    <s v="Rajasthan"/>
    <d v="2023-05-27T00:00:00"/>
    <d v="2023-06-03T00:00:00"/>
    <x v="3"/>
    <s v="Electronics"/>
    <n v="3"/>
    <n v="55972"/>
    <n v="15"/>
    <x v="0"/>
    <s v="Anjali"/>
    <x v="3"/>
    <s v="poojaagarwal@gmail.com"/>
    <s v="9740820342"/>
    <x v="3"/>
    <s v="Excellent"/>
    <n v="95"/>
    <s v="Delivered"/>
    <n v="142728.6"/>
    <n v="7"/>
    <x v="6"/>
    <x v="0"/>
  </r>
  <r>
    <x v="267"/>
    <x v="27"/>
    <n v="54"/>
    <s v="Male"/>
    <s v="Mumbai"/>
    <s v="Delhi"/>
    <d v="2023-12-07T00:00:00"/>
    <d v="2023-12-11T00:00:00"/>
    <x v="5"/>
    <s v="Electronics"/>
    <n v="3"/>
    <n v="34914"/>
    <n v="10"/>
    <x v="3"/>
    <s v="Anjali"/>
    <x v="0"/>
    <s v="priyasharma@gmail.com"/>
    <s v="7517058513"/>
    <x v="3"/>
    <s v="Good"/>
    <n v="353"/>
    <s v="Returned"/>
    <n v="94267.8"/>
    <n v="4"/>
    <x v="11"/>
    <x v="0"/>
  </r>
  <r>
    <x v="268"/>
    <x v="18"/>
    <n v="21"/>
    <s v="Male"/>
    <s v="Ahmedabad"/>
    <s v="Maharashtra"/>
    <d v="2023-12-14T00:00:00"/>
    <d v="2023-12-16T00:00:00"/>
    <x v="4"/>
    <s v="Accessories"/>
    <n v="5"/>
    <n v="30081"/>
    <n v="5"/>
    <x v="2"/>
    <s v="Vikas"/>
    <x v="3"/>
    <s v="snehaagarwal@gmail.com"/>
    <s v="9754892672"/>
    <x v="3"/>
    <s v="Average"/>
    <n v="484"/>
    <s v="Cancelled"/>
    <n v="142884.75"/>
    <n v="2"/>
    <x v="11"/>
    <x v="0"/>
  </r>
  <r>
    <x v="269"/>
    <x v="23"/>
    <n v="42"/>
    <s v="Female"/>
    <s v="Amritsar"/>
    <s v="Gujarat"/>
    <d v="2024-08-27T00:00:00"/>
    <d v="2024-09-03T00:00:00"/>
    <x v="2"/>
    <s v="Accessories"/>
    <n v="2"/>
    <n v="64406"/>
    <n v="10"/>
    <x v="2"/>
    <s v="Amit"/>
    <x v="2"/>
    <s v="karanagarwal@gmail.com"/>
    <s v="8174240599"/>
    <x v="4"/>
    <s v="Average"/>
    <n v="250"/>
    <s v="Delivered"/>
    <n v="115930.8"/>
    <n v="7"/>
    <x v="3"/>
    <x v="1"/>
  </r>
  <r>
    <x v="270"/>
    <x v="22"/>
    <n v="19"/>
    <s v="Male"/>
    <s v="Mumbai"/>
    <s v="Rajasthan"/>
    <d v="2023-11-16T00:00:00"/>
    <d v="2023-11-19T00:00:00"/>
    <x v="2"/>
    <s v="Electronics"/>
    <n v="2"/>
    <n v="69468"/>
    <n v="5"/>
    <x v="1"/>
    <s v="Priya"/>
    <x v="2"/>
    <s v="poojakumar@gmail.com"/>
    <s v="Missing"/>
    <x v="4"/>
    <s v="Good"/>
    <n v="375"/>
    <s v="Cancelled"/>
    <n v="131989.19999999998"/>
    <n v="3"/>
    <x v="7"/>
    <x v="0"/>
  </r>
  <r>
    <x v="271"/>
    <x v="49"/>
    <n v="33"/>
    <s v="Male"/>
    <s v="Delhi"/>
    <s v="Maharashtra"/>
    <d v="2023-03-24T00:00:00"/>
    <d v="2023-03-31T00:00:00"/>
    <x v="2"/>
    <s v="Electronics"/>
    <n v="5"/>
    <n v="61311"/>
    <n v="0"/>
    <x v="1"/>
    <s v="Neha"/>
    <x v="0"/>
    <s v="vikaskumar@gmail.com"/>
    <s v="7428033066"/>
    <x v="0"/>
    <s v="Excellent"/>
    <n v="392"/>
    <s v="Cancelled"/>
    <n v="306555"/>
    <n v="7"/>
    <x v="10"/>
    <x v="0"/>
  </r>
  <r>
    <x v="272"/>
    <x v="86"/>
    <n v="25"/>
    <s v="Male"/>
    <s v="Mumbai"/>
    <s v="Maharashtra"/>
    <d v="2023-08-03T00:00:00"/>
    <d v="2023-08-04T00:00:00"/>
    <x v="1"/>
    <s v="Accessories"/>
    <n v="2"/>
    <n v="67626"/>
    <n v="5"/>
    <x v="3"/>
    <s v="Anjali"/>
    <x v="3"/>
    <s v="Missing"/>
    <s v="7189415677"/>
    <x v="2"/>
    <s v="Bad"/>
    <n v="384"/>
    <s v="Delivered"/>
    <n v="128489.4"/>
    <n v="1"/>
    <x v="3"/>
    <x v="0"/>
  </r>
  <r>
    <x v="273"/>
    <x v="1"/>
    <n v="28"/>
    <s v="Female"/>
    <s v="Chandigarh"/>
    <s v="Delhi"/>
    <d v="2023-07-28T00:00:00"/>
    <d v="2023-08-04T00:00:00"/>
    <x v="1"/>
    <s v="Accessories"/>
    <n v="5"/>
    <n v="32986"/>
    <n v="5"/>
    <x v="3"/>
    <s v="Vikas"/>
    <x v="3"/>
    <s v="poojagupta@gmail.com"/>
    <s v="7307285372"/>
    <x v="0"/>
    <s v="Good"/>
    <n v="400"/>
    <s v="Cancelled"/>
    <n v="156683.5"/>
    <n v="7"/>
    <x v="4"/>
    <x v="0"/>
  </r>
  <r>
    <x v="274"/>
    <x v="4"/>
    <n v="24"/>
    <s v="Male"/>
    <s v="Mumbai"/>
    <s v="Maharashtra"/>
    <d v="2023-01-18T00:00:00"/>
    <d v="2023-01-28T00:00:00"/>
    <x v="1"/>
    <s v="Electronics"/>
    <n v="3"/>
    <n v="40052"/>
    <n v="10"/>
    <x v="1"/>
    <s v="Pooja"/>
    <x v="2"/>
    <s v="rahulyadav@gmail.com"/>
    <s v="8394395150"/>
    <x v="3"/>
    <s v="Excellent"/>
    <n v="199"/>
    <s v="Returned"/>
    <n v="108140.40000000001"/>
    <n v="10"/>
    <x v="0"/>
    <x v="0"/>
  </r>
  <r>
    <x v="275"/>
    <x v="66"/>
    <n v="41"/>
    <s v="Female"/>
    <s v="Jaipur"/>
    <s v="Delhi"/>
    <d v="2023-01-20T00:00:00"/>
    <d v="2023-01-22T00:00:00"/>
    <x v="2"/>
    <s v="Electronics"/>
    <n v="3"/>
    <n v="8791"/>
    <n v="5"/>
    <x v="3"/>
    <s v="Pooja"/>
    <x v="1"/>
    <s v="nehasingh@gmail.com"/>
    <s v="6190902331"/>
    <x v="0"/>
    <s v="Average"/>
    <n v="120"/>
    <s v="Returned"/>
    <n v="25054.35"/>
    <n v="2"/>
    <x v="0"/>
    <x v="0"/>
  </r>
  <r>
    <x v="276"/>
    <x v="92"/>
    <n v="29"/>
    <s v="Male"/>
    <s v="Ludhiana"/>
    <s v="Rajasthan"/>
    <d v="2023-06-13T00:00:00"/>
    <d v="2023-06-15T00:00:00"/>
    <x v="5"/>
    <s v="Electronics"/>
    <n v="4"/>
    <n v="24123"/>
    <n v="0"/>
    <x v="2"/>
    <s v="Vikas"/>
    <x v="0"/>
    <s v="anjaliyadav@gmail.com"/>
    <s v="9424657655"/>
    <x v="4"/>
    <s v="Good"/>
    <n v="108"/>
    <s v="Returned"/>
    <n v="96492"/>
    <n v="2"/>
    <x v="9"/>
    <x v="0"/>
  </r>
  <r>
    <x v="277"/>
    <x v="46"/>
    <n v="42"/>
    <s v="Male"/>
    <s v="Ludhiana"/>
    <s v="Punjab"/>
    <d v="2023-08-22T00:00:00"/>
    <d v="2023-08-24T00:00:00"/>
    <x v="3"/>
    <s v="Accessories"/>
    <n v="3"/>
    <n v="42109.716287215415"/>
    <n v="5"/>
    <x v="2"/>
    <s v="Sneha"/>
    <x v="0"/>
    <s v="rohityadav@gmail.com"/>
    <s v="6420750948"/>
    <x v="4"/>
    <s v="Excellent"/>
    <n v="277"/>
    <s v="Delivered"/>
    <n v="120012.69141856393"/>
    <n v="2"/>
    <x v="3"/>
    <x v="0"/>
  </r>
  <r>
    <x v="278"/>
    <x v="44"/>
    <n v="22"/>
    <s v="Male"/>
    <s v="Ludhiana"/>
    <s v="Delhi"/>
    <d v="2024-08-16T00:00:00"/>
    <d v="2024-08-20T00:00:00"/>
    <x v="2"/>
    <s v="Accessories"/>
    <n v="2"/>
    <n v="32499"/>
    <n v="0"/>
    <x v="3"/>
    <s v="Anjali"/>
    <x v="0"/>
    <s v="karanmehta@gmail.com"/>
    <s v="9915991278"/>
    <x v="2"/>
    <s v="Excellent"/>
    <n v="320"/>
    <s v="Cancelled"/>
    <n v="64998"/>
    <n v="4"/>
    <x v="3"/>
    <x v="1"/>
  </r>
  <r>
    <x v="279"/>
    <x v="53"/>
    <n v="55"/>
    <s v="Male"/>
    <s v="Delhi"/>
    <s v="Maharashtra"/>
    <d v="2023-11-13T00:00:00"/>
    <d v="2023-11-14T00:00:00"/>
    <x v="1"/>
    <s v="Accessories"/>
    <n v="1"/>
    <n v="46399"/>
    <n v="10"/>
    <x v="0"/>
    <s v="Karan"/>
    <x v="0"/>
    <s v="nehasharma@gmail.com"/>
    <s v="6865709769"/>
    <x v="2"/>
    <s v="Good"/>
    <n v="183"/>
    <s v="Returned"/>
    <n v="41759.1"/>
    <n v="1"/>
    <x v="7"/>
    <x v="0"/>
  </r>
  <r>
    <x v="280"/>
    <x v="88"/>
    <n v="41"/>
    <s v="Male"/>
    <s v="Ahmedabad"/>
    <s v="Maharashtra"/>
    <d v="2024-04-27T00:00:00"/>
    <d v="2024-04-30T00:00:00"/>
    <x v="0"/>
    <s v="Accessories"/>
    <n v="5"/>
    <n v="38753"/>
    <n v="15"/>
    <x v="1"/>
    <s v="Anjali"/>
    <x v="2"/>
    <s v="vikasmehta@gmail.com"/>
    <s v="9968916446"/>
    <x v="4"/>
    <s v="Average"/>
    <n v="420"/>
    <s v="Delivered"/>
    <n v="164700.25"/>
    <n v="3"/>
    <x v="1"/>
    <x v="1"/>
  </r>
  <r>
    <x v="281"/>
    <x v="34"/>
    <n v="25"/>
    <s v="Male"/>
    <s v="Chandigarh"/>
    <s v="Delhi"/>
    <d v="2024-10-15T00:00:00"/>
    <d v="2024-10-18T00:00:00"/>
    <x v="1"/>
    <s v="Accessories"/>
    <n v="4"/>
    <n v="5814"/>
    <n v="10"/>
    <x v="1"/>
    <s v="Pooja"/>
    <x v="0"/>
    <s v="snehapatel@gmail.com"/>
    <s v="6038224511"/>
    <x v="0"/>
    <s v="Average"/>
    <n v="334"/>
    <s v="Delivered"/>
    <n v="20930.400000000001"/>
    <n v="3"/>
    <x v="5"/>
    <x v="1"/>
  </r>
  <r>
    <x v="282"/>
    <x v="59"/>
    <n v="44"/>
    <s v="Female"/>
    <s v="Amritsar"/>
    <s v="Punjab"/>
    <d v="2024-07-17T00:00:00"/>
    <d v="2024-07-20T00:00:00"/>
    <x v="0"/>
    <s v="Accessories"/>
    <n v="2.9447852760736195"/>
    <n v="16267"/>
    <n v="15"/>
    <x v="2"/>
    <s v="Vikas"/>
    <x v="3"/>
    <s v="amitjoshi@gmail.com"/>
    <s v="7487248951"/>
    <x v="1"/>
    <s v="Average"/>
    <n v="194"/>
    <s v="Cancelled"/>
    <n v="40717.398773006127"/>
    <n v="3"/>
    <x v="4"/>
    <x v="1"/>
  </r>
  <r>
    <x v="283"/>
    <x v="64"/>
    <n v="48"/>
    <s v="Female"/>
    <s v="Amritsar"/>
    <s v="Rajasthan"/>
    <d v="2023-05-30T00:00:00"/>
    <d v="2023-06-05T00:00:00"/>
    <x v="4"/>
    <s v="Electronics"/>
    <n v="4"/>
    <n v="61731"/>
    <n v="15"/>
    <x v="2"/>
    <s v="Karan"/>
    <x v="1"/>
    <s v="vikasverma@gmail.com"/>
    <s v="Missing"/>
    <x v="4"/>
    <s v="Excellent"/>
    <n v="195"/>
    <s v="Delivered"/>
    <n v="209885.4"/>
    <n v="6"/>
    <x v="6"/>
    <x v="0"/>
  </r>
  <r>
    <x v="284"/>
    <x v="70"/>
    <n v="32"/>
    <s v="Male"/>
    <s v="Mumbai"/>
    <s v="Delhi"/>
    <d v="2024-07-29T00:00:00"/>
    <d v="2024-08-07T00:00:00"/>
    <x v="5"/>
    <s v="Accessories"/>
    <n v="2"/>
    <n v="45479"/>
    <n v="15"/>
    <x v="2"/>
    <s v="Sneha"/>
    <x v="2"/>
    <s v="amityadav@gmail.com"/>
    <s v="8326372994"/>
    <x v="3"/>
    <s v="Average"/>
    <n v="141"/>
    <s v="Returned"/>
    <n v="77314.3"/>
    <n v="9"/>
    <x v="4"/>
    <x v="1"/>
  </r>
  <r>
    <x v="285"/>
    <x v="7"/>
    <n v="35"/>
    <s v="Male"/>
    <s v="Mumbai"/>
    <s v="Rajasthan"/>
    <d v="2024-02-18T00:00:00"/>
    <d v="2024-02-19T00:00:00"/>
    <x v="0"/>
    <s v="Electronics"/>
    <n v="4"/>
    <n v="56229"/>
    <n v="10"/>
    <x v="0"/>
    <s v="Amit"/>
    <x v="1"/>
    <s v="vikasyadav@gmail.com"/>
    <s v="7018173695"/>
    <x v="1"/>
    <s v="Bad"/>
    <n v="465"/>
    <s v="Returned"/>
    <n v="202424.4"/>
    <n v="1"/>
    <x v="8"/>
    <x v="1"/>
  </r>
  <r>
    <x v="286"/>
    <x v="43"/>
    <n v="25"/>
    <s v="Male"/>
    <s v="Ludhiana"/>
    <s v="Maharashtra"/>
    <d v="2024-08-10T00:00:00"/>
    <d v="2024-08-15T00:00:00"/>
    <x v="5"/>
    <s v="Electronics"/>
    <n v="4"/>
    <n v="42439"/>
    <n v="10"/>
    <x v="3"/>
    <s v="Karan"/>
    <x v="3"/>
    <s v="amitpatel@gmail.com"/>
    <s v="9358254927"/>
    <x v="1"/>
    <s v="Good"/>
    <n v="345"/>
    <s v="Delivered"/>
    <n v="152780.4"/>
    <n v="5"/>
    <x v="3"/>
    <x v="1"/>
  </r>
  <r>
    <x v="287"/>
    <x v="36"/>
    <n v="24"/>
    <s v="Male"/>
    <s v="Mumbai"/>
    <s v="Punjab"/>
    <d v="2024-01-16T00:00:00"/>
    <d v="2024-01-17T00:00:00"/>
    <x v="3"/>
    <s v="Accessories"/>
    <n v="4"/>
    <n v="32636"/>
    <n v="15"/>
    <x v="3"/>
    <s v="Rohit"/>
    <x v="0"/>
    <s v="rahulsharma@gmail.com"/>
    <s v="8249888416"/>
    <x v="3"/>
    <s v="Excellent"/>
    <n v="498"/>
    <s v="Returned"/>
    <n v="110962.4"/>
    <n v="1"/>
    <x v="0"/>
    <x v="1"/>
  </r>
  <r>
    <x v="288"/>
    <x v="74"/>
    <n v="32"/>
    <s v="Male"/>
    <s v="Amritsar"/>
    <s v="Punjab"/>
    <d v="2023-02-01T00:00:00"/>
    <d v="2023-02-03T00:00:00"/>
    <x v="5"/>
    <s v="Accessories"/>
    <n v="5"/>
    <n v="35051"/>
    <n v="10"/>
    <x v="3"/>
    <s v="Sneha"/>
    <x v="0"/>
    <s v="poojaverma@gmail.com"/>
    <s v="7638600804"/>
    <x v="2"/>
    <s v="Good"/>
    <n v="197"/>
    <s v="Returned"/>
    <n v="157729.5"/>
    <n v="2"/>
    <x v="8"/>
    <x v="0"/>
  </r>
  <r>
    <x v="289"/>
    <x v="66"/>
    <n v="28"/>
    <s v="Female"/>
    <s v="Amritsar"/>
    <s v="Maharashtra"/>
    <d v="2024-11-14T00:00:00"/>
    <d v="2024-11-22T00:00:00"/>
    <x v="1"/>
    <s v="Accessories"/>
    <n v="2"/>
    <n v="76624"/>
    <n v="10"/>
    <x v="2"/>
    <s v="Vikas"/>
    <x v="1"/>
    <s v="nehasingh@gmail.com"/>
    <s v="7527230907"/>
    <x v="1"/>
    <s v="Average"/>
    <n v="205"/>
    <s v="Cancelled"/>
    <n v="137923.20000000001"/>
    <n v="8"/>
    <x v="7"/>
    <x v="1"/>
  </r>
  <r>
    <x v="290"/>
    <x v="42"/>
    <n v="37"/>
    <s v="Male"/>
    <s v="Pune"/>
    <s v="Rajasthan"/>
    <d v="2023-04-01T00:00:00"/>
    <d v="2023-04-07T00:00:00"/>
    <x v="3"/>
    <s v="Electronics"/>
    <n v="1"/>
    <n v="19324"/>
    <n v="5"/>
    <x v="2"/>
    <s v="Rohit"/>
    <x v="1"/>
    <s v="rahulgupta@gmail.com"/>
    <s v="6632626892"/>
    <x v="3"/>
    <s v="Average"/>
    <n v="85"/>
    <s v="Returned"/>
    <n v="18357.8"/>
    <n v="6"/>
    <x v="1"/>
    <x v="0"/>
  </r>
  <r>
    <x v="291"/>
    <x v="22"/>
    <n v="26"/>
    <s v="Male"/>
    <s v="Mumbai"/>
    <s v="Maharashtra"/>
    <d v="2024-09-11T00:00:00"/>
    <d v="2024-09-20T00:00:00"/>
    <x v="1"/>
    <s v="Accessories"/>
    <n v="3"/>
    <n v="30814"/>
    <n v="15"/>
    <x v="1"/>
    <s v="Pooja"/>
    <x v="3"/>
    <s v="poojakumar@gmail.com"/>
    <s v="6566536426"/>
    <x v="3"/>
    <s v="Bad"/>
    <n v="200"/>
    <s v="Delivered"/>
    <n v="78575.7"/>
    <n v="9"/>
    <x v="2"/>
    <x v="1"/>
  </r>
  <r>
    <x v="292"/>
    <x v="1"/>
    <n v="23"/>
    <s v="Female"/>
    <s v="Ludhiana"/>
    <s v="Punjab"/>
    <d v="2024-04-01T00:00:00"/>
    <d v="2024-04-06T00:00:00"/>
    <x v="0"/>
    <s v="Accessories"/>
    <n v="5"/>
    <n v="33092"/>
    <n v="0"/>
    <x v="2"/>
    <s v="Amit"/>
    <x v="1"/>
    <s v="poojagupta@gmail.com"/>
    <s v="7640160907"/>
    <x v="1"/>
    <s v="Average"/>
    <n v="497"/>
    <s v="Cancelled"/>
    <n v="165460"/>
    <n v="5"/>
    <x v="1"/>
    <x v="1"/>
  </r>
  <r>
    <x v="293"/>
    <x v="27"/>
    <n v="53"/>
    <s v="Female"/>
    <s v="Pune"/>
    <s v="Rajasthan"/>
    <d v="2023-09-15T00:00:00"/>
    <d v="2023-09-25T00:00:00"/>
    <x v="2"/>
    <s v="Accessories"/>
    <n v="1"/>
    <n v="75794"/>
    <n v="15"/>
    <x v="0"/>
    <s v="Pooja"/>
    <x v="3"/>
    <s v="Missing"/>
    <s v="8523839735"/>
    <x v="4"/>
    <s v="Good"/>
    <n v="117"/>
    <s v="Cancelled"/>
    <n v="64424.9"/>
    <n v="10"/>
    <x v="2"/>
    <x v="0"/>
  </r>
  <r>
    <x v="294"/>
    <x v="2"/>
    <n v="38"/>
    <s v="Female"/>
    <s v="Jaipur"/>
    <s v="Punjab"/>
    <d v="2024-05-16T00:00:00"/>
    <d v="2024-05-25T00:00:00"/>
    <x v="0"/>
    <s v="Accessories"/>
    <n v="3"/>
    <n v="22152"/>
    <n v="0"/>
    <x v="0"/>
    <s v="Rahul"/>
    <x v="2"/>
    <s v="Missing"/>
    <s v="7238511521"/>
    <x v="3"/>
    <s v="Average"/>
    <n v="269"/>
    <s v="Delivered"/>
    <n v="66456"/>
    <n v="9"/>
    <x v="6"/>
    <x v="1"/>
  </r>
  <r>
    <x v="295"/>
    <x v="2"/>
    <n v="18"/>
    <s v="Female"/>
    <s v="Chandigarh"/>
    <s v="Gujarat"/>
    <d v="2023-03-18T00:00:00"/>
    <d v="2023-03-24T00:00:00"/>
    <x v="3"/>
    <s v="Accessories"/>
    <n v="4"/>
    <n v="14620"/>
    <n v="0"/>
    <x v="3"/>
    <s v="Amit"/>
    <x v="1"/>
    <s v="nehapatel@gmail.com"/>
    <s v="8177407502"/>
    <x v="4"/>
    <s v="Good"/>
    <n v="336"/>
    <s v="Returned"/>
    <n v="58480"/>
    <n v="6"/>
    <x v="10"/>
    <x v="0"/>
  </r>
  <r>
    <x v="296"/>
    <x v="61"/>
    <n v="23"/>
    <s v="Female"/>
    <s v="Ahmedabad"/>
    <s v="Delhi"/>
    <d v="2023-07-05T00:00:00"/>
    <d v="2023-07-13T00:00:00"/>
    <x v="1"/>
    <s v="Electronics"/>
    <n v="4"/>
    <n v="19078"/>
    <n v="10"/>
    <x v="3"/>
    <s v="Neha"/>
    <x v="1"/>
    <s v="Missing"/>
    <s v="6257306669"/>
    <x v="1"/>
    <s v="Average"/>
    <n v="297"/>
    <s v="Returned"/>
    <n v="68680.800000000003"/>
    <n v="8"/>
    <x v="4"/>
    <x v="0"/>
  </r>
  <r>
    <x v="297"/>
    <x v="11"/>
    <n v="52"/>
    <s v="Male"/>
    <s v="Pune"/>
    <s v="Delhi"/>
    <d v="2023-08-26T00:00:00"/>
    <d v="2023-09-01T00:00:00"/>
    <x v="1"/>
    <s v="Accessories"/>
    <n v="2"/>
    <n v="28839"/>
    <n v="15"/>
    <x v="2"/>
    <s v="Pooja"/>
    <x v="0"/>
    <s v="anjaliagarwal@gmail.com"/>
    <s v="8411438347"/>
    <x v="0"/>
    <s v="Bad"/>
    <n v="426"/>
    <s v="Returned"/>
    <n v="49026.299999999996"/>
    <n v="6"/>
    <x v="3"/>
    <x v="0"/>
  </r>
  <r>
    <x v="298"/>
    <x v="81"/>
    <n v="18"/>
    <s v="Female"/>
    <s v="Jaipur"/>
    <s v="Maharashtra"/>
    <d v="2023-01-17T00:00:00"/>
    <d v="2023-01-25T00:00:00"/>
    <x v="0"/>
    <s v="Electronics"/>
    <n v="1"/>
    <n v="24887"/>
    <n v="10"/>
    <x v="3"/>
    <s v="Pooja"/>
    <x v="0"/>
    <s v="poojajoshi@gmail.com"/>
    <s v="9397541213"/>
    <x v="3"/>
    <s v="Good"/>
    <n v="152"/>
    <s v="Cancelled"/>
    <n v="22398.3"/>
    <n v="8"/>
    <x v="0"/>
    <x v="0"/>
  </r>
  <r>
    <x v="299"/>
    <x v="45"/>
    <n v="21"/>
    <s v="Female"/>
    <s v="Pune"/>
    <s v="Maharashtra"/>
    <d v="2024-05-30T00:00:00"/>
    <d v="2024-06-04T00:00:00"/>
    <x v="1"/>
    <s v="Accessories"/>
    <n v="1"/>
    <n v="55254"/>
    <n v="5"/>
    <x v="0"/>
    <s v="Amit"/>
    <x v="2"/>
    <s v="Missing"/>
    <s v="8538370645"/>
    <x v="0"/>
    <s v="Bad"/>
    <n v="83"/>
    <s v="Delivered"/>
    <n v="52491.299999999996"/>
    <n v="5"/>
    <x v="6"/>
    <x v="1"/>
  </r>
  <r>
    <x v="300"/>
    <x v="24"/>
    <n v="20"/>
    <s v="Male"/>
    <s v="Ludhiana"/>
    <s v="Gujarat"/>
    <d v="2023-09-11T00:00:00"/>
    <d v="2023-09-18T00:00:00"/>
    <x v="1"/>
    <s v="Accessories"/>
    <n v="5"/>
    <n v="65494"/>
    <n v="5"/>
    <x v="0"/>
    <s v="Sneha"/>
    <x v="1"/>
    <s v="amitmehta@gmail.com"/>
    <s v="9956508910"/>
    <x v="3"/>
    <s v="Good"/>
    <n v="104"/>
    <s v="Delivered"/>
    <n v="311096.5"/>
    <n v="7"/>
    <x v="2"/>
    <x v="0"/>
  </r>
  <r>
    <x v="301"/>
    <x v="60"/>
    <n v="56"/>
    <s v="Female"/>
    <s v="Mumbai"/>
    <s v="Gujarat"/>
    <d v="2024-02-14T00:00:00"/>
    <d v="2024-02-17T00:00:00"/>
    <x v="2"/>
    <s v="Accessories"/>
    <n v="4"/>
    <n v="47703"/>
    <n v="10"/>
    <x v="2"/>
    <s v="Anjali"/>
    <x v="2"/>
    <s v="Missing"/>
    <s v="6718622064"/>
    <x v="2"/>
    <s v="Average"/>
    <n v="469"/>
    <s v="Delivered"/>
    <n v="171730.80000000002"/>
    <n v="3"/>
    <x v="8"/>
    <x v="1"/>
  </r>
  <r>
    <x v="302"/>
    <x v="48"/>
    <n v="26"/>
    <s v="Male"/>
    <s v="Pune"/>
    <s v="Gujarat"/>
    <d v="2024-08-03T00:00:00"/>
    <d v="2024-08-13T00:00:00"/>
    <x v="0"/>
    <s v="Electronics"/>
    <n v="2"/>
    <n v="42109.716287215415"/>
    <n v="0"/>
    <x v="1"/>
    <s v="Neha"/>
    <x v="0"/>
    <s v="anjalijoshi@gmail.com"/>
    <s v="8626951149"/>
    <x v="3"/>
    <s v="Average"/>
    <n v="415"/>
    <s v="Delivered"/>
    <n v="84219.43257443083"/>
    <n v="10"/>
    <x v="3"/>
    <x v="1"/>
  </r>
  <r>
    <x v="303"/>
    <x v="37"/>
    <n v="27"/>
    <s v="Male"/>
    <s v="Chandigarh"/>
    <s v="Gujarat"/>
    <d v="2024-07-18T00:00:00"/>
    <d v="2024-07-19T00:00:00"/>
    <x v="5"/>
    <s v="Accessories"/>
    <n v="5"/>
    <n v="70542"/>
    <n v="5"/>
    <x v="3"/>
    <s v="Karan"/>
    <x v="3"/>
    <s v="Missing"/>
    <s v="6946519253"/>
    <x v="3"/>
    <s v="Bad"/>
    <n v="268"/>
    <s v="Returned"/>
    <n v="335074.5"/>
    <n v="1"/>
    <x v="4"/>
    <x v="1"/>
  </r>
  <r>
    <x v="304"/>
    <x v="63"/>
    <n v="18"/>
    <s v="Female"/>
    <s v="Mumbai"/>
    <s v="Rajasthan"/>
    <d v="2024-07-29T00:00:00"/>
    <d v="2024-08-08T00:00:00"/>
    <x v="2"/>
    <s v="Accessories"/>
    <n v="1"/>
    <n v="17378"/>
    <n v="15"/>
    <x v="2"/>
    <s v="Sneha"/>
    <x v="3"/>
    <s v="priyagupta@gmail.com"/>
    <s v="8726531507"/>
    <x v="4"/>
    <s v="Excellent"/>
    <n v="192"/>
    <s v="Cancelled"/>
    <n v="14771.3"/>
    <n v="10"/>
    <x v="4"/>
    <x v="1"/>
  </r>
  <r>
    <x v="305"/>
    <x v="26"/>
    <n v="32"/>
    <s v="Female"/>
    <s v="Delhi"/>
    <s v="Punjab"/>
    <d v="2023-09-09T00:00:00"/>
    <d v="2023-09-17T00:00:00"/>
    <x v="0"/>
    <s v="Electronics"/>
    <n v="2.9447852760736195"/>
    <n v="37584"/>
    <n v="10"/>
    <x v="1"/>
    <s v="Anjali"/>
    <x v="2"/>
    <s v="Missing"/>
    <s v="6600296035"/>
    <x v="0"/>
    <s v="Excellent"/>
    <n v="282"/>
    <s v="Returned"/>
    <n v="99609.128834355826"/>
    <n v="8"/>
    <x v="2"/>
    <x v="0"/>
  </r>
  <r>
    <x v="306"/>
    <x v="21"/>
    <n v="54"/>
    <s v="Male"/>
    <s v="Ahmedabad"/>
    <s v="Gujarat"/>
    <d v="2023-09-12T00:00:00"/>
    <d v="2023-09-21T00:00:00"/>
    <x v="4"/>
    <s v="Electronics"/>
    <n v="2"/>
    <n v="5395"/>
    <n v="5"/>
    <x v="3"/>
    <s v="Vikas"/>
    <x v="2"/>
    <s v="karansingh@gmail.com"/>
    <s v="9623289697"/>
    <x v="1"/>
    <s v="Bad"/>
    <n v="297"/>
    <s v="Returned"/>
    <n v="10250.5"/>
    <n v="9"/>
    <x v="2"/>
    <x v="0"/>
  </r>
  <r>
    <x v="307"/>
    <x v="74"/>
    <n v="23"/>
    <s v="Female"/>
    <s v="Ahmedabad"/>
    <s v="Delhi"/>
    <d v="2023-08-16T00:00:00"/>
    <d v="2023-08-23T00:00:00"/>
    <x v="0"/>
    <s v="Electronics"/>
    <n v="4"/>
    <n v="48872"/>
    <n v="5"/>
    <x v="0"/>
    <s v="Anjali"/>
    <x v="2"/>
    <s v="poojaverma@gmail.com"/>
    <s v="Missing"/>
    <x v="1"/>
    <s v="Bad"/>
    <n v="336"/>
    <s v="Delivered"/>
    <n v="185713.6"/>
    <n v="7"/>
    <x v="3"/>
    <x v="0"/>
  </r>
  <r>
    <x v="308"/>
    <x v="65"/>
    <n v="48"/>
    <s v="Male"/>
    <s v="Jaipur"/>
    <s v="Maharashtra"/>
    <d v="2023-02-05T00:00:00"/>
    <d v="2023-02-07T00:00:00"/>
    <x v="4"/>
    <s v="Accessories"/>
    <n v="2"/>
    <n v="64740"/>
    <n v="5"/>
    <x v="3"/>
    <s v="Priya"/>
    <x v="0"/>
    <s v="nehaverma@gmail.com"/>
    <s v="6535857520"/>
    <x v="0"/>
    <s v="Average"/>
    <n v="264"/>
    <s v="Delivered"/>
    <n v="123006"/>
    <n v="2"/>
    <x v="8"/>
    <x v="0"/>
  </r>
  <r>
    <x v="309"/>
    <x v="47"/>
    <n v="41"/>
    <s v="Female"/>
    <s v="Chandigarh"/>
    <s v="Gujarat"/>
    <d v="2024-09-10T00:00:00"/>
    <d v="2024-09-11T00:00:00"/>
    <x v="4"/>
    <s v="Accessories"/>
    <n v="4"/>
    <n v="30443"/>
    <n v="15"/>
    <x v="2"/>
    <s v="Priya"/>
    <x v="0"/>
    <s v="Missing"/>
    <s v="Missing"/>
    <x v="2"/>
    <s v="Good"/>
    <n v="480"/>
    <s v="Returned"/>
    <n v="103506.2"/>
    <n v="1"/>
    <x v="2"/>
    <x v="1"/>
  </r>
  <r>
    <x v="310"/>
    <x v="51"/>
    <n v="25"/>
    <s v="Female"/>
    <s v="Ludhiana"/>
    <s v="Maharashtra"/>
    <d v="2023-05-13T00:00:00"/>
    <d v="2023-05-23T00:00:00"/>
    <x v="5"/>
    <s v="Accessories"/>
    <n v="2"/>
    <n v="47706"/>
    <n v="5"/>
    <x v="2"/>
    <s v="Rahul"/>
    <x v="0"/>
    <s v="priyaverma@gmail.com"/>
    <s v="8912449871"/>
    <x v="3"/>
    <s v="Average"/>
    <n v="51"/>
    <s v="Delivered"/>
    <n v="90641.4"/>
    <n v="10"/>
    <x v="6"/>
    <x v="0"/>
  </r>
  <r>
    <x v="311"/>
    <x v="2"/>
    <n v="20"/>
    <s v="Male"/>
    <s v="Ahmedabad"/>
    <s v="Gujarat"/>
    <d v="2023-08-02T00:00:00"/>
    <d v="2023-08-12T00:00:00"/>
    <x v="0"/>
    <s v="Electronics"/>
    <n v="3"/>
    <n v="12570"/>
    <n v="10"/>
    <x v="2"/>
    <s v="Sneha"/>
    <x v="3"/>
    <s v="nehapatel@gmail.com"/>
    <s v="6249446389"/>
    <x v="3"/>
    <s v="Bad"/>
    <n v="426"/>
    <s v="Delivered"/>
    <n v="33939"/>
    <n v="10"/>
    <x v="3"/>
    <x v="0"/>
  </r>
  <r>
    <x v="312"/>
    <x v="60"/>
    <n v="50"/>
    <s v="Female"/>
    <s v="Jaipur"/>
    <s v="Gujarat"/>
    <d v="2024-05-06T00:00:00"/>
    <d v="2024-05-10T00:00:00"/>
    <x v="1"/>
    <s v="Accessories"/>
    <n v="3"/>
    <n v="13201"/>
    <n v="0"/>
    <x v="0"/>
    <s v="Neha"/>
    <x v="0"/>
    <s v="amitsharma@gmail.com"/>
    <s v="7678581873"/>
    <x v="3"/>
    <s v="Average"/>
    <n v="485"/>
    <s v="Cancelled"/>
    <n v="39603"/>
    <n v="4"/>
    <x v="6"/>
    <x v="1"/>
  </r>
  <r>
    <x v="313"/>
    <x v="25"/>
    <n v="49"/>
    <s v="Female"/>
    <s v="Chandigarh"/>
    <s v="Punjab"/>
    <d v="2024-07-17T00:00:00"/>
    <d v="2024-07-24T00:00:00"/>
    <x v="5"/>
    <s v="Accessories"/>
    <n v="4"/>
    <n v="10193"/>
    <n v="15"/>
    <x v="3"/>
    <s v="Sneha"/>
    <x v="1"/>
    <s v="poojasharma@gmail.com"/>
    <s v="Missing"/>
    <x v="0"/>
    <s v="Average"/>
    <n v="410"/>
    <s v="Delivered"/>
    <n v="34656.199999999997"/>
    <n v="7"/>
    <x v="4"/>
    <x v="1"/>
  </r>
  <r>
    <x v="314"/>
    <x v="15"/>
    <n v="52"/>
    <s v="Male"/>
    <s v="Chandigarh"/>
    <s v="Maharashtra"/>
    <d v="2024-09-07T00:00:00"/>
    <d v="2024-09-15T00:00:00"/>
    <x v="2"/>
    <s v="Electronics"/>
    <n v="4"/>
    <n v="43513"/>
    <n v="5"/>
    <x v="3"/>
    <s v="Karan"/>
    <x v="3"/>
    <s v="priyajoshi@gmail.com"/>
    <s v="Missing"/>
    <x v="0"/>
    <s v="Bad"/>
    <n v="480"/>
    <s v="Cancelled"/>
    <n v="165349.4"/>
    <n v="8"/>
    <x v="2"/>
    <x v="1"/>
  </r>
  <r>
    <x v="315"/>
    <x v="93"/>
    <n v="47"/>
    <s v="Male"/>
    <s v="Jaipur"/>
    <s v="Rajasthan"/>
    <d v="2024-07-06T00:00:00"/>
    <d v="2024-07-11T00:00:00"/>
    <x v="1"/>
    <s v="Electronics"/>
    <n v="5"/>
    <n v="10978"/>
    <n v="10"/>
    <x v="0"/>
    <s v="Sneha"/>
    <x v="1"/>
    <s v="karangupta@gmail.com"/>
    <s v="9920943601"/>
    <x v="1"/>
    <s v="Excellent"/>
    <n v="83"/>
    <s v="Returned"/>
    <n v="49401"/>
    <n v="5"/>
    <x v="4"/>
    <x v="1"/>
  </r>
  <r>
    <x v="316"/>
    <x v="93"/>
    <n v="25"/>
    <s v="Male"/>
    <s v="Pune"/>
    <s v="Gujarat"/>
    <d v="2024-05-22T00:00:00"/>
    <d v="2024-05-26T00:00:00"/>
    <x v="4"/>
    <s v="Accessories"/>
    <n v="5"/>
    <n v="56127"/>
    <n v="5"/>
    <x v="3"/>
    <s v="Rahul"/>
    <x v="2"/>
    <s v="Missing"/>
    <s v="Missing"/>
    <x v="0"/>
    <s v="Excellent"/>
    <n v="180"/>
    <s v="Returned"/>
    <n v="266603.25"/>
    <n v="4"/>
    <x v="6"/>
    <x v="1"/>
  </r>
  <r>
    <x v="317"/>
    <x v="27"/>
    <n v="32"/>
    <s v="Male"/>
    <s v="Ahmedabad"/>
    <s v="Punjab"/>
    <d v="2023-12-03T00:00:00"/>
    <d v="2023-12-10T00:00:00"/>
    <x v="5"/>
    <s v="Accessories"/>
    <n v="1"/>
    <n v="65043"/>
    <n v="10"/>
    <x v="2"/>
    <s v="Sneha"/>
    <x v="0"/>
    <s v="priyasharma@gmail.com"/>
    <s v="9077141839"/>
    <x v="2"/>
    <s v="Bad"/>
    <n v="64"/>
    <s v="Delivered"/>
    <n v="58538.700000000004"/>
    <n v="7"/>
    <x v="11"/>
    <x v="0"/>
  </r>
  <r>
    <x v="318"/>
    <x v="74"/>
    <n v="33"/>
    <s v="Female"/>
    <s v="Ahmedabad"/>
    <s v="Punjab"/>
    <d v="2023-05-13T00:00:00"/>
    <d v="2023-05-18T00:00:00"/>
    <x v="4"/>
    <s v="Electronics"/>
    <n v="5"/>
    <n v="54815"/>
    <n v="0"/>
    <x v="3"/>
    <s v="Anjali"/>
    <x v="1"/>
    <s v="poojaverma@gmail.com"/>
    <s v="9665348568"/>
    <x v="1"/>
    <s v="Excellent"/>
    <n v="183"/>
    <s v="Returned"/>
    <n v="274075"/>
    <n v="5"/>
    <x v="6"/>
    <x v="0"/>
  </r>
  <r>
    <x v="319"/>
    <x v="35"/>
    <n v="43"/>
    <s v="Male"/>
    <s v="Ludhiana"/>
    <s v="Rajasthan"/>
    <d v="2024-11-18T00:00:00"/>
    <d v="2024-11-26T00:00:00"/>
    <x v="3"/>
    <s v="Electronics"/>
    <n v="1"/>
    <n v="31382"/>
    <n v="0"/>
    <x v="0"/>
    <s v="Sneha"/>
    <x v="1"/>
    <s v="nehamehta@gmail.com"/>
    <s v="7262206890"/>
    <x v="0"/>
    <s v="Average"/>
    <n v="63"/>
    <s v="Delivered"/>
    <n v="31382"/>
    <n v="8"/>
    <x v="7"/>
    <x v="1"/>
  </r>
  <r>
    <x v="320"/>
    <x v="85"/>
    <n v="32"/>
    <s v="Female"/>
    <s v="Jaipur"/>
    <s v="Punjab"/>
    <d v="2023-10-25T00:00:00"/>
    <d v="2023-10-29T00:00:00"/>
    <x v="0"/>
    <s v="Accessories"/>
    <n v="2"/>
    <n v="71564"/>
    <n v="5"/>
    <x v="2"/>
    <s v="Rohit"/>
    <x v="1"/>
    <s v="rahulkumar@gmail.com"/>
    <s v="7238411095"/>
    <x v="2"/>
    <s v="Bad"/>
    <n v="497"/>
    <s v="Delivered"/>
    <n v="135971.6"/>
    <n v="4"/>
    <x v="5"/>
    <x v="0"/>
  </r>
  <r>
    <x v="321"/>
    <x v="73"/>
    <n v="40"/>
    <s v="Male"/>
    <s v="Jaipur"/>
    <s v="Punjab"/>
    <d v="2023-02-08T00:00:00"/>
    <d v="2023-02-17T00:00:00"/>
    <x v="0"/>
    <s v="Electronics"/>
    <n v="4"/>
    <n v="79878"/>
    <n v="15"/>
    <x v="2"/>
    <s v="Priya"/>
    <x v="1"/>
    <s v="priyaagarwal@gmail.com"/>
    <s v="7565871701"/>
    <x v="4"/>
    <s v="Bad"/>
    <n v="50"/>
    <s v="Cancelled"/>
    <n v="271585.2"/>
    <n v="9"/>
    <x v="8"/>
    <x v="0"/>
  </r>
  <r>
    <x v="322"/>
    <x v="2"/>
    <n v="50"/>
    <s v="Female"/>
    <s v="Amritsar"/>
    <s v="Punjab"/>
    <d v="2023-07-19T00:00:00"/>
    <d v="2023-07-26T00:00:00"/>
    <x v="1"/>
    <s v="Accessories"/>
    <n v="3"/>
    <n v="58329"/>
    <n v="15"/>
    <x v="0"/>
    <s v="Karan"/>
    <x v="2"/>
    <s v="Missing"/>
    <s v="7342886734"/>
    <x v="2"/>
    <s v="Good"/>
    <n v="208"/>
    <s v="Delivered"/>
    <n v="148738.94999999998"/>
    <n v="7"/>
    <x v="4"/>
    <x v="0"/>
  </r>
  <r>
    <x v="323"/>
    <x v="51"/>
    <n v="45"/>
    <s v="Female"/>
    <s v="Chandigarh"/>
    <s v="Delhi"/>
    <d v="2024-02-17T00:00:00"/>
    <d v="2024-02-21T00:00:00"/>
    <x v="0"/>
    <s v="Electronics"/>
    <n v="5"/>
    <n v="59259"/>
    <n v="0"/>
    <x v="3"/>
    <s v="Vikas"/>
    <x v="1"/>
    <s v="priyaverma@gmail.com"/>
    <s v="7781825474"/>
    <x v="3"/>
    <s v="Excellent"/>
    <n v="146"/>
    <s v="Cancelled"/>
    <n v="296295"/>
    <n v="4"/>
    <x v="8"/>
    <x v="1"/>
  </r>
  <r>
    <x v="324"/>
    <x v="20"/>
    <n v="48"/>
    <s v="Female"/>
    <s v="Pune"/>
    <s v="Rajasthan"/>
    <d v="2024-08-27T00:00:00"/>
    <d v="2024-09-02T00:00:00"/>
    <x v="0"/>
    <s v="Accessories"/>
    <n v="4"/>
    <n v="13486"/>
    <n v="0"/>
    <x v="0"/>
    <s v="Karan"/>
    <x v="2"/>
    <s v="priyasingh@gmail.com"/>
    <s v="8277523510"/>
    <x v="4"/>
    <s v="Good"/>
    <n v="368"/>
    <s v="Cancelled"/>
    <n v="53944"/>
    <n v="6"/>
    <x v="3"/>
    <x v="1"/>
  </r>
  <r>
    <x v="325"/>
    <x v="94"/>
    <n v="58"/>
    <s v="Female"/>
    <s v="Mumbai"/>
    <s v="Punjab"/>
    <d v="2023-12-26T00:00:00"/>
    <d v="2024-01-01T00:00:00"/>
    <x v="0"/>
    <s v="Accessories"/>
    <n v="4"/>
    <n v="42109.716287215415"/>
    <n v="15"/>
    <x v="0"/>
    <s v="Neha"/>
    <x v="0"/>
    <s v="snehajoshi@gmail.com"/>
    <s v="9395639643"/>
    <x v="2"/>
    <s v="Good"/>
    <n v="189"/>
    <s v="Delivered"/>
    <n v="143173.03537653241"/>
    <n v="6"/>
    <x v="11"/>
    <x v="0"/>
  </r>
  <r>
    <x v="326"/>
    <x v="19"/>
    <n v="31"/>
    <s v="Female"/>
    <s v="Pune"/>
    <s v="Rajasthan"/>
    <d v="2024-03-13T00:00:00"/>
    <d v="2024-03-14T00:00:00"/>
    <x v="2"/>
    <s v="Electronics"/>
    <n v="3"/>
    <n v="69797"/>
    <n v="5"/>
    <x v="3"/>
    <s v="Karan"/>
    <x v="3"/>
    <s v="vikasagarwal@gmail.com"/>
    <s v="6614614269"/>
    <x v="2"/>
    <s v="Excellent"/>
    <n v="345"/>
    <s v="Returned"/>
    <n v="198921.44999999998"/>
    <n v="1"/>
    <x v="10"/>
    <x v="1"/>
  </r>
  <r>
    <x v="327"/>
    <x v="3"/>
    <n v="30"/>
    <s v="Male"/>
    <s v="Ahmedabad"/>
    <s v="Punjab"/>
    <d v="2023-08-26T00:00:00"/>
    <d v="2023-08-29T00:00:00"/>
    <x v="1"/>
    <s v="Accessories"/>
    <n v="1"/>
    <n v="50647"/>
    <n v="15"/>
    <x v="1"/>
    <s v="Sneha"/>
    <x v="3"/>
    <s v="anjalipatel@gmail.com"/>
    <s v="8628033992"/>
    <x v="1"/>
    <s v="Good"/>
    <n v="366"/>
    <s v="Returned"/>
    <n v="43049.95"/>
    <n v="3"/>
    <x v="3"/>
    <x v="0"/>
  </r>
  <r>
    <x v="328"/>
    <x v="7"/>
    <n v="43"/>
    <s v="Female"/>
    <s v="Amritsar"/>
    <s v="Maharashtra"/>
    <d v="2024-09-09T00:00:00"/>
    <d v="2024-09-12T00:00:00"/>
    <x v="4"/>
    <s v="Electronics"/>
    <n v="2"/>
    <n v="12736"/>
    <n v="0"/>
    <x v="3"/>
    <s v="Anjali"/>
    <x v="1"/>
    <s v="Missing"/>
    <s v="Missing"/>
    <x v="3"/>
    <s v="Good"/>
    <n v="72"/>
    <s v="Delivered"/>
    <n v="25472"/>
    <n v="3"/>
    <x v="2"/>
    <x v="1"/>
  </r>
  <r>
    <x v="329"/>
    <x v="41"/>
    <n v="28"/>
    <s v="Female"/>
    <s v="Pune"/>
    <s v="Gujarat"/>
    <d v="2023-08-08T00:00:00"/>
    <d v="2023-08-17T00:00:00"/>
    <x v="3"/>
    <s v="Accessories"/>
    <n v="3"/>
    <n v="63119"/>
    <n v="5"/>
    <x v="3"/>
    <s v="Amit"/>
    <x v="3"/>
    <s v="priyakumar@gmail.com"/>
    <s v="6239112556"/>
    <x v="0"/>
    <s v="Average"/>
    <n v="75"/>
    <s v="Returned"/>
    <n v="179889.15"/>
    <n v="9"/>
    <x v="3"/>
    <x v="0"/>
  </r>
  <r>
    <x v="330"/>
    <x v="12"/>
    <n v="57"/>
    <s v="Female"/>
    <s v="Ahmedabad"/>
    <s v="Gujarat"/>
    <d v="2023-05-27T00:00:00"/>
    <d v="2023-06-02T00:00:00"/>
    <x v="4"/>
    <s v="Electronics"/>
    <n v="4"/>
    <n v="60556"/>
    <n v="10"/>
    <x v="2"/>
    <s v="Priya"/>
    <x v="1"/>
    <s v="snehasingh@gmail.com"/>
    <s v="6678722957"/>
    <x v="4"/>
    <s v="Bad"/>
    <n v="401"/>
    <s v="Cancelled"/>
    <n v="218001.6"/>
    <n v="6"/>
    <x v="6"/>
    <x v="0"/>
  </r>
  <r>
    <x v="331"/>
    <x v="9"/>
    <n v="21"/>
    <s v="Female"/>
    <s v="Ahmedabad"/>
    <s v="Gujarat"/>
    <d v="2023-05-16T00:00:00"/>
    <d v="2023-05-22T00:00:00"/>
    <x v="1"/>
    <s v="Accessories"/>
    <n v="5"/>
    <n v="77266"/>
    <n v="5"/>
    <x v="3"/>
    <s v="Pooja"/>
    <x v="3"/>
    <s v="anjaligupta@gmail.com"/>
    <s v="6387034926"/>
    <x v="3"/>
    <s v="Average"/>
    <n v="208"/>
    <s v="Cancelled"/>
    <n v="367013.5"/>
    <n v="6"/>
    <x v="6"/>
    <x v="0"/>
  </r>
  <r>
    <x v="332"/>
    <x v="51"/>
    <n v="22"/>
    <s v="Female"/>
    <s v="Ludhiana"/>
    <s v="Maharashtra"/>
    <d v="2023-11-07T00:00:00"/>
    <d v="2023-11-08T00:00:00"/>
    <x v="4"/>
    <s v="Accessories"/>
    <n v="3"/>
    <n v="62953"/>
    <n v="10"/>
    <x v="0"/>
    <s v="Anjali"/>
    <x v="0"/>
    <s v="priyaverma@gmail.com"/>
    <s v="Missing"/>
    <x v="0"/>
    <s v="Good"/>
    <n v="260"/>
    <s v="Cancelled"/>
    <n v="169973.1"/>
    <n v="1"/>
    <x v="7"/>
    <x v="0"/>
  </r>
  <r>
    <x v="333"/>
    <x v="66"/>
    <n v="29"/>
    <s v="Male"/>
    <s v="Delhi"/>
    <s v="Punjab"/>
    <d v="2023-03-27T00:00:00"/>
    <d v="2023-03-28T00:00:00"/>
    <x v="1"/>
    <s v="Electronics"/>
    <n v="2.9447852760736195"/>
    <n v="46000"/>
    <n v="5"/>
    <x v="1"/>
    <s v="Priya"/>
    <x v="3"/>
    <s v="nehasingh@gmail.com"/>
    <s v="6497446863"/>
    <x v="0"/>
    <s v="Good"/>
    <n v="344"/>
    <s v="Returned"/>
    <n v="128687.11656441717"/>
    <n v="1"/>
    <x v="10"/>
    <x v="0"/>
  </r>
  <r>
    <x v="334"/>
    <x v="6"/>
    <n v="45"/>
    <s v="Female"/>
    <s v="Ahmedabad"/>
    <s v="Delhi"/>
    <d v="2023-06-09T00:00:00"/>
    <d v="2023-06-16T00:00:00"/>
    <x v="3"/>
    <s v="Electronics"/>
    <n v="3"/>
    <n v="14736"/>
    <n v="5"/>
    <x v="3"/>
    <s v="Rohit"/>
    <x v="0"/>
    <s v="poojayadav@gmail.com"/>
    <s v="7675891302"/>
    <x v="4"/>
    <s v="Excellent"/>
    <n v="235"/>
    <s v="Cancelled"/>
    <n v="41997.599999999999"/>
    <n v="7"/>
    <x v="9"/>
    <x v="0"/>
  </r>
  <r>
    <x v="335"/>
    <x v="59"/>
    <n v="56"/>
    <s v="Female"/>
    <s v="Mumbai"/>
    <s v="Rajasthan"/>
    <d v="2023-02-01T00:00:00"/>
    <d v="2023-02-09T00:00:00"/>
    <x v="2"/>
    <s v="Electronics"/>
    <n v="2.9447852760736195"/>
    <n v="17419"/>
    <n v="10"/>
    <x v="0"/>
    <s v="Priya"/>
    <x v="1"/>
    <s v="amitjoshi@gmail.com"/>
    <s v="8368956268"/>
    <x v="0"/>
    <s v="Bad"/>
    <n v="395"/>
    <s v="Delivered"/>
    <n v="46165.693251533739"/>
    <n v="8"/>
    <x v="8"/>
    <x v="0"/>
  </r>
  <r>
    <x v="336"/>
    <x v="51"/>
    <n v="48"/>
    <s v="Male"/>
    <s v="Chandigarh"/>
    <s v="Gujarat"/>
    <d v="2023-02-21T00:00:00"/>
    <d v="2023-03-02T00:00:00"/>
    <x v="1"/>
    <s v="Accessories"/>
    <n v="2"/>
    <n v="38137"/>
    <n v="0"/>
    <x v="0"/>
    <s v="Sneha"/>
    <x v="3"/>
    <s v="priyaverma@gmail.com"/>
    <s v="9491980373"/>
    <x v="2"/>
    <s v="Good"/>
    <n v="123"/>
    <s v="Returned"/>
    <n v="76274"/>
    <n v="9"/>
    <x v="8"/>
    <x v="0"/>
  </r>
  <r>
    <x v="337"/>
    <x v="29"/>
    <n v="46"/>
    <s v="Male"/>
    <s v="Ludhiana"/>
    <s v="Maharashtra"/>
    <d v="2024-04-28T00:00:00"/>
    <d v="2024-05-03T00:00:00"/>
    <x v="2"/>
    <s v="Electronics"/>
    <n v="5"/>
    <n v="18325"/>
    <n v="15"/>
    <x v="2"/>
    <s v="Pooja"/>
    <x v="2"/>
    <s v="vikassharma@gmail.com"/>
    <s v="8991453033"/>
    <x v="1"/>
    <s v="Excellent"/>
    <n v="382"/>
    <s v="Returned"/>
    <n v="77881.25"/>
    <n v="5"/>
    <x v="1"/>
    <x v="1"/>
  </r>
  <r>
    <x v="338"/>
    <x v="60"/>
    <n v="37"/>
    <s v="Male"/>
    <s v="Amritsar"/>
    <s v="Rajasthan"/>
    <d v="2023-07-13T00:00:00"/>
    <d v="2023-07-14T00:00:00"/>
    <x v="0"/>
    <s v="Accessories"/>
    <n v="5"/>
    <n v="49806"/>
    <n v="0"/>
    <x v="3"/>
    <s v="Anjali"/>
    <x v="2"/>
    <s v="amitsharma@gmail.com"/>
    <s v="6110243328"/>
    <x v="1"/>
    <s v="Bad"/>
    <n v="195"/>
    <s v="Delivered"/>
    <n v="249030"/>
    <n v="1"/>
    <x v="4"/>
    <x v="0"/>
  </r>
  <r>
    <x v="339"/>
    <x v="38"/>
    <n v="26"/>
    <s v="Male"/>
    <s v="Ludhiana"/>
    <s v="Maharashtra"/>
    <d v="2023-02-03T00:00:00"/>
    <d v="2023-02-09T00:00:00"/>
    <x v="4"/>
    <s v="Accessories"/>
    <n v="4"/>
    <n v="13207"/>
    <n v="10"/>
    <x v="0"/>
    <s v="Anjali"/>
    <x v="0"/>
    <s v="karansharma@gmail.com"/>
    <s v="6505133005"/>
    <x v="3"/>
    <s v="Average"/>
    <n v="364"/>
    <s v="Delivered"/>
    <n v="47545.200000000004"/>
    <n v="6"/>
    <x v="8"/>
    <x v="0"/>
  </r>
  <r>
    <x v="340"/>
    <x v="93"/>
    <n v="60"/>
    <s v="Female"/>
    <s v="Mumbai"/>
    <s v="Gujarat"/>
    <d v="2023-09-22T00:00:00"/>
    <d v="2023-10-02T00:00:00"/>
    <x v="2"/>
    <s v="Accessories"/>
    <n v="5"/>
    <n v="5826"/>
    <n v="10"/>
    <x v="3"/>
    <s v="Neha"/>
    <x v="1"/>
    <s v="karangupta@gmail.com"/>
    <s v="7698746173"/>
    <x v="3"/>
    <s v="Good"/>
    <n v="154"/>
    <s v="Cancelled"/>
    <n v="26217"/>
    <n v="10"/>
    <x v="2"/>
    <x v="0"/>
  </r>
  <r>
    <x v="341"/>
    <x v="28"/>
    <n v="18"/>
    <s v="Male"/>
    <s v="Amritsar"/>
    <s v="Punjab"/>
    <d v="2023-02-17T00:00:00"/>
    <d v="2023-02-18T00:00:00"/>
    <x v="5"/>
    <s v="Electronics"/>
    <n v="1"/>
    <n v="47063"/>
    <n v="10"/>
    <x v="2"/>
    <s v="Neha"/>
    <x v="3"/>
    <s v="nehayadav@gmail.com"/>
    <s v="Missing"/>
    <x v="1"/>
    <s v="Average"/>
    <n v="185"/>
    <s v="Returned"/>
    <n v="42356.700000000004"/>
    <n v="1"/>
    <x v="8"/>
    <x v="0"/>
  </r>
  <r>
    <x v="342"/>
    <x v="79"/>
    <n v="27"/>
    <s v="Female"/>
    <s v="Chandigarh"/>
    <s v="Delhi"/>
    <d v="2023-11-02T00:00:00"/>
    <d v="2023-11-07T00:00:00"/>
    <x v="0"/>
    <s v="Accessories"/>
    <n v="4"/>
    <n v="12921"/>
    <n v="5"/>
    <x v="1"/>
    <s v="Priya"/>
    <x v="2"/>
    <s v="Missing"/>
    <s v="8422580590"/>
    <x v="2"/>
    <s v="Average"/>
    <n v="499"/>
    <s v="Cancelled"/>
    <n v="49099.799999999996"/>
    <n v="5"/>
    <x v="7"/>
    <x v="0"/>
  </r>
  <r>
    <x v="343"/>
    <x v="80"/>
    <n v="19"/>
    <s v="Male"/>
    <s v="Jaipur"/>
    <s v="Maharashtra"/>
    <d v="2024-01-17T00:00:00"/>
    <d v="2024-01-25T00:00:00"/>
    <x v="2"/>
    <s v="Accessories"/>
    <n v="1"/>
    <n v="38955"/>
    <n v="10"/>
    <x v="1"/>
    <s v="Priya"/>
    <x v="1"/>
    <s v="rahulagarwal@gmail.com"/>
    <s v="6498451576"/>
    <x v="0"/>
    <s v="Excellent"/>
    <n v="362"/>
    <s v="Cancelled"/>
    <n v="35059.5"/>
    <n v="8"/>
    <x v="0"/>
    <x v="1"/>
  </r>
  <r>
    <x v="344"/>
    <x v="35"/>
    <n v="58"/>
    <s v="Female"/>
    <s v="Delhi"/>
    <s v="Maharashtra"/>
    <d v="2023-03-21T00:00:00"/>
    <d v="2023-03-27T00:00:00"/>
    <x v="3"/>
    <s v="Electronics"/>
    <n v="5"/>
    <n v="42109.716287215415"/>
    <n v="5"/>
    <x v="3"/>
    <s v="Pooja"/>
    <x v="1"/>
    <s v="nehamehta@gmail.com"/>
    <s v="Missing"/>
    <x v="4"/>
    <s v="Bad"/>
    <n v="231"/>
    <s v="Returned"/>
    <n v="200021.15236427321"/>
    <n v="6"/>
    <x v="10"/>
    <x v="0"/>
  </r>
  <r>
    <x v="345"/>
    <x v="95"/>
    <n v="55"/>
    <s v="Female"/>
    <s v="Chandigarh"/>
    <s v="Delhi"/>
    <d v="2024-06-23T00:00:00"/>
    <d v="2024-07-02T00:00:00"/>
    <x v="1"/>
    <s v="Accessories"/>
    <n v="1"/>
    <n v="12299"/>
    <n v="15"/>
    <x v="2"/>
    <s v="Rahul"/>
    <x v="2"/>
    <s v="snehagupta@gmail.com"/>
    <s v="6724511777"/>
    <x v="4"/>
    <s v="Bad"/>
    <n v="76"/>
    <s v="Cancelled"/>
    <n v="10454.15"/>
    <n v="9"/>
    <x v="9"/>
    <x v="1"/>
  </r>
  <r>
    <x v="346"/>
    <x v="67"/>
    <n v="47"/>
    <s v="Female"/>
    <s v="Chandigarh"/>
    <s v="Delhi"/>
    <d v="2024-07-27T00:00:00"/>
    <d v="2024-07-30T00:00:00"/>
    <x v="5"/>
    <s v="Electronics"/>
    <n v="4"/>
    <n v="77509"/>
    <n v="10"/>
    <x v="3"/>
    <s v="Anjali"/>
    <x v="3"/>
    <s v="karanyadav@gmail.com"/>
    <s v="7370322583"/>
    <x v="4"/>
    <s v="Bad"/>
    <n v="326"/>
    <s v="Cancelled"/>
    <n v="279032.40000000002"/>
    <n v="3"/>
    <x v="4"/>
    <x v="1"/>
  </r>
  <r>
    <x v="347"/>
    <x v="4"/>
    <n v="24"/>
    <s v="Female"/>
    <s v="Pune"/>
    <s v="Delhi"/>
    <d v="2024-05-23T00:00:00"/>
    <d v="2024-05-25T00:00:00"/>
    <x v="2"/>
    <s v="Electronics"/>
    <n v="3"/>
    <n v="34308"/>
    <n v="5"/>
    <x v="2"/>
    <s v="Karan"/>
    <x v="0"/>
    <s v="rahulyadav@gmail.com"/>
    <s v="6084393397"/>
    <x v="3"/>
    <s v="Average"/>
    <n v="397"/>
    <s v="Delivered"/>
    <n v="97777.799999999988"/>
    <n v="2"/>
    <x v="6"/>
    <x v="1"/>
  </r>
  <r>
    <x v="348"/>
    <x v="86"/>
    <n v="52"/>
    <s v="Female"/>
    <s v="Mumbai"/>
    <s v="Delhi"/>
    <d v="2024-08-06T00:00:00"/>
    <d v="2024-08-16T00:00:00"/>
    <x v="5"/>
    <s v="Electronics"/>
    <n v="2"/>
    <n v="33225"/>
    <n v="0"/>
    <x v="0"/>
    <s v="Karan"/>
    <x v="1"/>
    <s v="rohitsingh@gmail.com"/>
    <s v="8790214177"/>
    <x v="3"/>
    <s v="Excellent"/>
    <n v="352"/>
    <s v="Returned"/>
    <n v="66450"/>
    <n v="10"/>
    <x v="3"/>
    <x v="1"/>
  </r>
  <r>
    <x v="349"/>
    <x v="91"/>
    <n v="23"/>
    <s v="Female"/>
    <s v="Mumbai"/>
    <s v="Delhi"/>
    <d v="2024-11-12T00:00:00"/>
    <d v="2024-11-16T00:00:00"/>
    <x v="5"/>
    <s v="Electronics"/>
    <n v="3"/>
    <n v="40881"/>
    <n v="10"/>
    <x v="0"/>
    <s v="Anjali"/>
    <x v="1"/>
    <s v="nehakumar@gmail.com"/>
    <s v="8896444626"/>
    <x v="0"/>
    <s v="Bad"/>
    <n v="145"/>
    <s v="Delivered"/>
    <n v="110378.7"/>
    <n v="4"/>
    <x v="7"/>
    <x v="1"/>
  </r>
  <r>
    <x v="350"/>
    <x v="1"/>
    <n v="27"/>
    <s v="Female"/>
    <s v="Ahmedabad"/>
    <s v="Rajasthan"/>
    <d v="2023-08-16T00:00:00"/>
    <d v="2023-08-20T00:00:00"/>
    <x v="4"/>
    <s v="Accessories"/>
    <n v="3"/>
    <n v="20427"/>
    <n v="5"/>
    <x v="0"/>
    <s v="Sneha"/>
    <x v="3"/>
    <s v="poojagupta@gmail.com"/>
    <s v="6810782910"/>
    <x v="1"/>
    <s v="Excellent"/>
    <n v="422"/>
    <s v="Returned"/>
    <n v="58216.95"/>
    <n v="4"/>
    <x v="3"/>
    <x v="0"/>
  </r>
  <r>
    <x v="351"/>
    <x v="14"/>
    <n v="46"/>
    <s v="Female"/>
    <s v="Ludhiana"/>
    <s v="Delhi"/>
    <d v="2024-03-04T00:00:00"/>
    <d v="2024-03-09T00:00:00"/>
    <x v="0"/>
    <s v="Electronics"/>
    <n v="4"/>
    <n v="8245"/>
    <n v="5"/>
    <x v="3"/>
    <s v="Rahul"/>
    <x v="0"/>
    <s v="rohitgupta@gmail.com"/>
    <s v="9919367584"/>
    <x v="4"/>
    <s v="Excellent"/>
    <n v="162"/>
    <s v="Delivered"/>
    <n v="31331"/>
    <n v="5"/>
    <x v="10"/>
    <x v="1"/>
  </r>
  <r>
    <x v="352"/>
    <x v="6"/>
    <n v="37"/>
    <s v="Male"/>
    <s v="Amritsar"/>
    <s v="Gujarat"/>
    <d v="2023-08-18T00:00:00"/>
    <d v="2023-08-26T00:00:00"/>
    <x v="1"/>
    <s v="Accessories"/>
    <n v="3"/>
    <n v="53140"/>
    <n v="0"/>
    <x v="1"/>
    <s v="Rahul"/>
    <x v="2"/>
    <s v="poojayadav@gmail.com"/>
    <s v="6385996328"/>
    <x v="0"/>
    <s v="Excellent"/>
    <n v="179"/>
    <s v="Cancelled"/>
    <n v="159420"/>
    <n v="8"/>
    <x v="3"/>
    <x v="0"/>
  </r>
  <r>
    <x v="353"/>
    <x v="31"/>
    <n v="49"/>
    <s v="Male"/>
    <s v="Pune"/>
    <s v="Punjab"/>
    <d v="2023-09-08T00:00:00"/>
    <d v="2023-09-14T00:00:00"/>
    <x v="0"/>
    <s v="Accessories"/>
    <n v="3"/>
    <n v="41115"/>
    <n v="10"/>
    <x v="2"/>
    <s v="Rahul"/>
    <x v="0"/>
    <s v="Missing"/>
    <s v="Missing"/>
    <x v="0"/>
    <s v="Excellent"/>
    <n v="287"/>
    <s v="Cancelled"/>
    <n v="111010.5"/>
    <n v="6"/>
    <x v="2"/>
    <x v="0"/>
  </r>
  <r>
    <x v="354"/>
    <x v="88"/>
    <n v="19"/>
    <s v="Female"/>
    <s v="Pune"/>
    <s v="Delhi"/>
    <d v="2023-10-08T00:00:00"/>
    <d v="2023-10-14T00:00:00"/>
    <x v="5"/>
    <s v="Accessories"/>
    <n v="2"/>
    <n v="52233"/>
    <n v="0"/>
    <x v="2"/>
    <s v="Anjali"/>
    <x v="1"/>
    <s v="Missing"/>
    <s v="9618326892"/>
    <x v="4"/>
    <s v="Good"/>
    <n v="362"/>
    <s v="Delivered"/>
    <n v="104466"/>
    <n v="6"/>
    <x v="5"/>
    <x v="0"/>
  </r>
  <r>
    <x v="355"/>
    <x v="60"/>
    <n v="23"/>
    <s v="Male"/>
    <s v="Mumbai"/>
    <s v="Delhi"/>
    <d v="2023-11-13T00:00:00"/>
    <d v="2023-11-19T00:00:00"/>
    <x v="0"/>
    <s v="Electronics"/>
    <n v="4"/>
    <n v="30087"/>
    <n v="0"/>
    <x v="3"/>
    <s v="Neha"/>
    <x v="3"/>
    <s v="amitsharma@gmail.com"/>
    <s v="Missing"/>
    <x v="4"/>
    <s v="Average"/>
    <n v="343"/>
    <s v="Delivered"/>
    <n v="120348"/>
    <n v="6"/>
    <x v="7"/>
    <x v="0"/>
  </r>
  <r>
    <x v="356"/>
    <x v="96"/>
    <n v="29"/>
    <s v="Male"/>
    <s v="Jaipur"/>
    <s v="Delhi"/>
    <d v="2024-03-24T00:00:00"/>
    <d v="2024-03-27T00:00:00"/>
    <x v="3"/>
    <s v="Accessories"/>
    <n v="2"/>
    <n v="6596"/>
    <n v="0"/>
    <x v="1"/>
    <s v="Vikas"/>
    <x v="1"/>
    <s v="rahulmehta@gmail.com"/>
    <s v="Missing"/>
    <x v="0"/>
    <s v="Bad"/>
    <n v="451"/>
    <s v="Returned"/>
    <n v="13192"/>
    <n v="3"/>
    <x v="10"/>
    <x v="1"/>
  </r>
  <r>
    <x v="357"/>
    <x v="20"/>
    <n v="20"/>
    <s v="Male"/>
    <s v="Chandigarh"/>
    <s v="Delhi"/>
    <d v="2023-04-29T00:00:00"/>
    <d v="2023-05-09T00:00:00"/>
    <x v="3"/>
    <s v="Electronics"/>
    <n v="3"/>
    <n v="18029"/>
    <n v="10"/>
    <x v="0"/>
    <s v="Anjali"/>
    <x v="1"/>
    <s v="priyasingh@gmail.com"/>
    <s v="6247040302"/>
    <x v="4"/>
    <s v="Average"/>
    <n v="174"/>
    <s v="Returned"/>
    <n v="48678.3"/>
    <n v="10"/>
    <x v="1"/>
    <x v="0"/>
  </r>
  <r>
    <x v="358"/>
    <x v="77"/>
    <n v="37"/>
    <s v="Female"/>
    <s v="Pune"/>
    <s v="Punjab"/>
    <d v="2024-03-17T00:00:00"/>
    <d v="2024-03-26T00:00:00"/>
    <x v="4"/>
    <s v="Electronics"/>
    <n v="3"/>
    <n v="6706"/>
    <n v="10"/>
    <x v="2"/>
    <s v="Karan"/>
    <x v="1"/>
    <s v="Missing"/>
    <s v="8531749716"/>
    <x v="0"/>
    <s v="Bad"/>
    <n v="227"/>
    <s v="Delivered"/>
    <n v="18106.2"/>
    <n v="9"/>
    <x v="10"/>
    <x v="1"/>
  </r>
  <r>
    <x v="359"/>
    <x v="33"/>
    <n v="50"/>
    <s v="Male"/>
    <s v="Mumbai"/>
    <s v="Delhi"/>
    <d v="2024-10-10T00:00:00"/>
    <d v="2024-10-15T00:00:00"/>
    <x v="2"/>
    <s v="Electronics"/>
    <n v="5"/>
    <n v="14900"/>
    <n v="5"/>
    <x v="3"/>
    <s v="Neha"/>
    <x v="2"/>
    <s v="Missing"/>
    <s v="6737131597"/>
    <x v="3"/>
    <s v="Average"/>
    <n v="208"/>
    <s v="Cancelled"/>
    <n v="70775"/>
    <n v="5"/>
    <x v="5"/>
    <x v="1"/>
  </r>
  <r>
    <x v="360"/>
    <x v="15"/>
    <n v="24"/>
    <s v="Male"/>
    <s v="Chandigarh"/>
    <s v="Punjab"/>
    <d v="2024-10-26T00:00:00"/>
    <d v="2024-11-01T00:00:00"/>
    <x v="3"/>
    <s v="Accessories"/>
    <n v="2"/>
    <n v="29815"/>
    <n v="10"/>
    <x v="1"/>
    <s v="Anjali"/>
    <x v="3"/>
    <s v="priyajoshi@gmail.com"/>
    <s v="9152289423"/>
    <x v="0"/>
    <s v="Bad"/>
    <n v="246"/>
    <s v="Cancelled"/>
    <n v="53667"/>
    <n v="6"/>
    <x v="5"/>
    <x v="1"/>
  </r>
  <r>
    <x v="361"/>
    <x v="97"/>
    <n v="23"/>
    <s v="Male"/>
    <s v="Amritsar"/>
    <s v="Gujarat"/>
    <d v="2023-03-21T00:00:00"/>
    <d v="2023-03-29T00:00:00"/>
    <x v="0"/>
    <s v="Electronics"/>
    <n v="3"/>
    <n v="8201"/>
    <n v="15"/>
    <x v="3"/>
    <s v="Pooja"/>
    <x v="1"/>
    <s v="vikasjoshi@gmail.com"/>
    <s v="9771285103"/>
    <x v="3"/>
    <s v="Bad"/>
    <n v="428"/>
    <s v="Returned"/>
    <n v="20912.55"/>
    <n v="8"/>
    <x v="10"/>
    <x v="0"/>
  </r>
  <r>
    <x v="362"/>
    <x v="34"/>
    <n v="34"/>
    <s v="Female"/>
    <s v="Mumbai"/>
    <s v="Punjab"/>
    <d v="2023-04-24T00:00:00"/>
    <d v="2023-04-28T00:00:00"/>
    <x v="3"/>
    <s v="Electronics"/>
    <n v="3"/>
    <n v="77513"/>
    <n v="5"/>
    <x v="3"/>
    <s v="Neha"/>
    <x v="2"/>
    <s v="Missing"/>
    <s v="9146107424"/>
    <x v="4"/>
    <s v="Bad"/>
    <n v="481"/>
    <s v="Cancelled"/>
    <n v="220912.05"/>
    <n v="4"/>
    <x v="1"/>
    <x v="0"/>
  </r>
  <r>
    <x v="363"/>
    <x v="0"/>
    <n v="58"/>
    <s v="Male"/>
    <s v="Jaipur"/>
    <s v="Rajasthan"/>
    <d v="2023-02-04T00:00:00"/>
    <d v="2023-02-06T00:00:00"/>
    <x v="2"/>
    <s v="Electronics"/>
    <n v="5"/>
    <n v="51602"/>
    <n v="10"/>
    <x v="1"/>
    <s v="Sneha"/>
    <x v="0"/>
    <s v="poojamehta@gmail.com"/>
    <s v="7071347018"/>
    <x v="0"/>
    <s v="Good"/>
    <n v="256"/>
    <s v="Returned"/>
    <n v="232209"/>
    <n v="2"/>
    <x v="8"/>
    <x v="0"/>
  </r>
  <r>
    <x v="364"/>
    <x v="4"/>
    <n v="30"/>
    <s v="Female"/>
    <s v="Ludhiana"/>
    <s v="Maharashtra"/>
    <d v="2024-08-09T00:00:00"/>
    <d v="2024-08-12T00:00:00"/>
    <x v="3"/>
    <s v="Electronics"/>
    <n v="1"/>
    <n v="24817"/>
    <n v="15"/>
    <x v="1"/>
    <s v="Priya"/>
    <x v="0"/>
    <s v="rahulyadav@gmail.com"/>
    <s v="9176297161"/>
    <x v="2"/>
    <s v="Bad"/>
    <n v="192"/>
    <s v="Returned"/>
    <n v="21094.45"/>
    <n v="3"/>
    <x v="3"/>
    <x v="1"/>
  </r>
  <r>
    <x v="365"/>
    <x v="2"/>
    <n v="31"/>
    <s v="Female"/>
    <s v="Ahmedabad"/>
    <s v="Maharashtra"/>
    <d v="2024-02-14T00:00:00"/>
    <d v="2024-02-17T00:00:00"/>
    <x v="1"/>
    <s v="Electronics"/>
    <n v="4"/>
    <n v="67112"/>
    <n v="15"/>
    <x v="3"/>
    <s v="Rahul"/>
    <x v="1"/>
    <s v="nehapatel@gmail.com"/>
    <s v="6316583152"/>
    <x v="3"/>
    <s v="Bad"/>
    <n v="385"/>
    <s v="Delivered"/>
    <n v="228180.8"/>
    <n v="3"/>
    <x v="8"/>
    <x v="1"/>
  </r>
  <r>
    <x v="366"/>
    <x v="34"/>
    <n v="48"/>
    <s v="Male"/>
    <s v="Chandigarh"/>
    <s v="Delhi"/>
    <d v="2024-03-06T00:00:00"/>
    <d v="2024-03-08T00:00:00"/>
    <x v="1"/>
    <s v="Accessories"/>
    <n v="5"/>
    <n v="64870"/>
    <n v="5"/>
    <x v="1"/>
    <s v="Vikas"/>
    <x v="0"/>
    <s v="snehapatel@gmail.com"/>
    <s v="6880838841"/>
    <x v="1"/>
    <s v="Average"/>
    <n v="490"/>
    <s v="Returned"/>
    <n v="308132.5"/>
    <n v="2"/>
    <x v="10"/>
    <x v="1"/>
  </r>
  <r>
    <x v="367"/>
    <x v="31"/>
    <n v="43"/>
    <s v="Female"/>
    <s v="Amritsar"/>
    <s v="Maharashtra"/>
    <d v="2023-09-06T00:00:00"/>
    <d v="2023-09-11T00:00:00"/>
    <x v="4"/>
    <s v="Accessories"/>
    <n v="2"/>
    <n v="46693"/>
    <n v="15"/>
    <x v="0"/>
    <s v="Pooja"/>
    <x v="0"/>
    <s v="Missing"/>
    <s v="6405904680"/>
    <x v="2"/>
    <s v="Good"/>
    <n v="193"/>
    <s v="Cancelled"/>
    <n v="79378.099999999991"/>
    <n v="5"/>
    <x v="2"/>
    <x v="0"/>
  </r>
  <r>
    <x v="368"/>
    <x v="55"/>
    <n v="32"/>
    <s v="Female"/>
    <s v="Amritsar"/>
    <s v="Rajasthan"/>
    <d v="2024-03-24T00:00:00"/>
    <d v="2024-04-03T00:00:00"/>
    <x v="1"/>
    <s v="Accessories"/>
    <n v="2.9447852760736195"/>
    <n v="71979"/>
    <n v="5"/>
    <x v="2"/>
    <s v="Rahul"/>
    <x v="0"/>
    <s v="amitverma@gmail.com"/>
    <s v="6601485457"/>
    <x v="2"/>
    <s v="Good"/>
    <n v="316"/>
    <s v="Cancelled"/>
    <n v="201364.5644171779"/>
    <n v="10"/>
    <x v="10"/>
    <x v="1"/>
  </r>
  <r>
    <x v="369"/>
    <x v="67"/>
    <n v="45"/>
    <s v="Female"/>
    <s v="Ludhiana"/>
    <s v="Delhi"/>
    <d v="2023-07-19T00:00:00"/>
    <d v="2023-07-28T00:00:00"/>
    <x v="4"/>
    <s v="Accessories"/>
    <n v="3"/>
    <n v="52830"/>
    <n v="0"/>
    <x v="0"/>
    <s v="Amit"/>
    <x v="0"/>
    <s v="Missing"/>
    <s v="6748313601"/>
    <x v="3"/>
    <s v="Good"/>
    <n v="234"/>
    <s v="Returned"/>
    <n v="158490"/>
    <n v="9"/>
    <x v="4"/>
    <x v="0"/>
  </r>
  <r>
    <x v="370"/>
    <x v="65"/>
    <n v="24"/>
    <s v="Male"/>
    <s v="Ahmedabad"/>
    <s v="Punjab"/>
    <d v="2024-07-09T00:00:00"/>
    <d v="2024-07-13T00:00:00"/>
    <x v="0"/>
    <s v="Electronics"/>
    <n v="1"/>
    <n v="40702"/>
    <n v="15"/>
    <x v="0"/>
    <s v="Vikas"/>
    <x v="3"/>
    <s v="nehaverma@gmail.com"/>
    <s v="7038722213"/>
    <x v="2"/>
    <s v="Bad"/>
    <n v="405"/>
    <s v="Delivered"/>
    <n v="34596.699999999997"/>
    <n v="4"/>
    <x v="4"/>
    <x v="1"/>
  </r>
  <r>
    <x v="371"/>
    <x v="46"/>
    <n v="59"/>
    <s v="Female"/>
    <s v="Amritsar"/>
    <s v="Maharashtra"/>
    <d v="2024-07-26T00:00:00"/>
    <d v="2024-07-30T00:00:00"/>
    <x v="3"/>
    <s v="Accessories"/>
    <n v="5"/>
    <n v="35256"/>
    <n v="10"/>
    <x v="2"/>
    <s v="Sneha"/>
    <x v="0"/>
    <s v="rohityadav@gmail.com"/>
    <s v="6771081710"/>
    <x v="0"/>
    <s v="Bad"/>
    <n v="401"/>
    <s v="Cancelled"/>
    <n v="158652"/>
    <n v="4"/>
    <x v="4"/>
    <x v="1"/>
  </r>
  <r>
    <x v="372"/>
    <x v="93"/>
    <n v="18"/>
    <s v="Male"/>
    <s v="Chandigarh"/>
    <s v="Maharashtra"/>
    <d v="2024-01-07T00:00:00"/>
    <d v="2024-01-13T00:00:00"/>
    <x v="0"/>
    <s v="Accessories"/>
    <n v="2"/>
    <n v="79251"/>
    <n v="0"/>
    <x v="1"/>
    <s v="Rahul"/>
    <x v="1"/>
    <s v="karangupta@gmail.com"/>
    <s v="8685591374"/>
    <x v="3"/>
    <s v="Average"/>
    <n v="373"/>
    <s v="Cancelled"/>
    <n v="158502"/>
    <n v="6"/>
    <x v="0"/>
    <x v="1"/>
  </r>
  <r>
    <x v="373"/>
    <x v="39"/>
    <n v="28"/>
    <s v="Male"/>
    <s v="Jaipur"/>
    <s v="Rajasthan"/>
    <d v="2023-08-25T00:00:00"/>
    <d v="2023-09-02T00:00:00"/>
    <x v="2"/>
    <s v="Electronics"/>
    <n v="4"/>
    <n v="19368"/>
    <n v="0"/>
    <x v="2"/>
    <s v="Amit"/>
    <x v="3"/>
    <s v="rahulsingh@gmail.com"/>
    <s v="6873471564"/>
    <x v="0"/>
    <s v="Average"/>
    <n v="179"/>
    <s v="Delivered"/>
    <n v="77472"/>
    <n v="8"/>
    <x v="3"/>
    <x v="0"/>
  </r>
  <r>
    <x v="374"/>
    <x v="63"/>
    <n v="32"/>
    <s v="Male"/>
    <s v="Mumbai"/>
    <s v="Maharashtra"/>
    <d v="2023-11-02T00:00:00"/>
    <d v="2023-11-04T00:00:00"/>
    <x v="4"/>
    <s v="Electronics"/>
    <n v="2"/>
    <n v="51377"/>
    <n v="10"/>
    <x v="3"/>
    <s v="Karan"/>
    <x v="2"/>
    <s v="priyagupta@gmail.com"/>
    <s v="8795337604"/>
    <x v="0"/>
    <s v="Bad"/>
    <n v="490"/>
    <s v="Cancelled"/>
    <n v="92478.6"/>
    <n v="2"/>
    <x v="7"/>
    <x v="0"/>
  </r>
  <r>
    <x v="375"/>
    <x v="0"/>
    <n v="56"/>
    <s v="Female"/>
    <s v="Mumbai"/>
    <s v="Punjab"/>
    <d v="2023-09-01T00:00:00"/>
    <d v="2023-09-04T00:00:00"/>
    <x v="2"/>
    <s v="Accessories"/>
    <n v="1"/>
    <n v="38511"/>
    <n v="10"/>
    <x v="2"/>
    <s v="Rahul"/>
    <x v="3"/>
    <s v="poojamehta@gmail.com"/>
    <s v="9862697280"/>
    <x v="2"/>
    <s v="Excellent"/>
    <n v="62"/>
    <s v="Delivered"/>
    <n v="34659.9"/>
    <n v="3"/>
    <x v="2"/>
    <x v="0"/>
  </r>
  <r>
    <x v="376"/>
    <x v="47"/>
    <n v="57"/>
    <s v="Male"/>
    <s v="Ludhiana"/>
    <s v="Punjab"/>
    <d v="2023-01-26T00:00:00"/>
    <d v="2023-02-03T00:00:00"/>
    <x v="1"/>
    <s v="Electronics"/>
    <n v="2"/>
    <n v="37099"/>
    <n v="10"/>
    <x v="2"/>
    <s v="Neha"/>
    <x v="2"/>
    <s v="nehaagarwal@gmail.com"/>
    <s v="Missing"/>
    <x v="0"/>
    <s v="Bad"/>
    <n v="334"/>
    <s v="Delivered"/>
    <n v="66778.2"/>
    <n v="8"/>
    <x v="0"/>
    <x v="0"/>
  </r>
  <r>
    <x v="377"/>
    <x v="11"/>
    <n v="39"/>
    <s v="Female"/>
    <s v="Ludhiana"/>
    <s v="Maharashtra"/>
    <d v="2024-01-12T00:00:00"/>
    <d v="2024-01-19T00:00:00"/>
    <x v="3"/>
    <s v="Electronics"/>
    <n v="2"/>
    <n v="34547"/>
    <n v="5"/>
    <x v="1"/>
    <s v="Rohit"/>
    <x v="1"/>
    <s v="anjaliagarwal@gmail.com"/>
    <s v="9914790393"/>
    <x v="3"/>
    <s v="Bad"/>
    <n v="360"/>
    <s v="Delivered"/>
    <n v="65639.3"/>
    <n v="7"/>
    <x v="0"/>
    <x v="1"/>
  </r>
  <r>
    <x v="378"/>
    <x v="77"/>
    <n v="46"/>
    <s v="Male"/>
    <s v="Ludhiana"/>
    <s v="Maharashtra"/>
    <d v="2023-01-16T00:00:00"/>
    <d v="2023-01-21T00:00:00"/>
    <x v="4"/>
    <s v="Electronics"/>
    <n v="3"/>
    <n v="29221"/>
    <n v="10"/>
    <x v="2"/>
    <s v="Neha"/>
    <x v="3"/>
    <s v="rohitkumar@gmail.com"/>
    <s v="9221025955"/>
    <x v="4"/>
    <s v="Good"/>
    <n v="101"/>
    <s v="Returned"/>
    <n v="78896.7"/>
    <n v="5"/>
    <x v="0"/>
    <x v="0"/>
  </r>
  <r>
    <x v="379"/>
    <x v="85"/>
    <n v="19"/>
    <s v="Male"/>
    <s v="Ludhiana"/>
    <s v="Delhi"/>
    <d v="2023-05-27T00:00:00"/>
    <d v="2023-06-02T00:00:00"/>
    <x v="5"/>
    <s v="Electronics"/>
    <n v="3"/>
    <n v="60876"/>
    <n v="10"/>
    <x v="1"/>
    <s v="Karan"/>
    <x v="2"/>
    <s v="rahulkumar@gmail.com"/>
    <s v="6080775881"/>
    <x v="3"/>
    <s v="Average"/>
    <n v="206"/>
    <s v="Delivered"/>
    <n v="164365.20000000001"/>
    <n v="6"/>
    <x v="6"/>
    <x v="0"/>
  </r>
  <r>
    <x v="380"/>
    <x v="54"/>
    <n v="48"/>
    <s v="Male"/>
    <s v="Amritsar"/>
    <s v="Maharashtra"/>
    <d v="2023-08-16T00:00:00"/>
    <d v="2023-08-21T00:00:00"/>
    <x v="4"/>
    <s v="Accessories"/>
    <n v="1"/>
    <n v="10388"/>
    <n v="5"/>
    <x v="3"/>
    <s v="Vikas"/>
    <x v="3"/>
    <s v="karankumar@gmail.com"/>
    <s v="6129917642"/>
    <x v="2"/>
    <s v="Bad"/>
    <n v="367"/>
    <s v="Cancelled"/>
    <n v="9868.6"/>
    <n v="5"/>
    <x v="3"/>
    <x v="0"/>
  </r>
  <r>
    <x v="381"/>
    <x v="76"/>
    <n v="36"/>
    <s v="Female"/>
    <s v="Pune"/>
    <s v="Rajasthan"/>
    <d v="2024-03-12T00:00:00"/>
    <d v="2024-03-18T00:00:00"/>
    <x v="4"/>
    <s v="Electronics"/>
    <n v="5"/>
    <n v="73537"/>
    <n v="5"/>
    <x v="1"/>
    <s v="Anjali"/>
    <x v="1"/>
    <s v="rahulverma@gmail.com"/>
    <s v="7221213967"/>
    <x v="1"/>
    <s v="Bad"/>
    <n v="422"/>
    <s v="Delivered"/>
    <n v="349300.75"/>
    <n v="6"/>
    <x v="10"/>
    <x v="1"/>
  </r>
  <r>
    <x v="382"/>
    <x v="30"/>
    <n v="24"/>
    <s v="Female"/>
    <s v="Ludhiana"/>
    <s v="Maharashtra"/>
    <d v="2024-05-05T00:00:00"/>
    <d v="2024-05-11T00:00:00"/>
    <x v="3"/>
    <s v="Electronics"/>
    <n v="5"/>
    <n v="74807"/>
    <n v="0"/>
    <x v="0"/>
    <s v="Karan"/>
    <x v="1"/>
    <s v="amitsingh@gmail.com"/>
    <s v="6108487786"/>
    <x v="4"/>
    <s v="Average"/>
    <n v="98"/>
    <s v="Cancelled"/>
    <n v="374035"/>
    <n v="6"/>
    <x v="6"/>
    <x v="1"/>
  </r>
  <r>
    <x v="383"/>
    <x v="48"/>
    <n v="26"/>
    <s v="Male"/>
    <s v="Delhi"/>
    <s v="Maharashtra"/>
    <d v="2024-04-18T00:00:00"/>
    <d v="2024-04-28T00:00:00"/>
    <x v="1"/>
    <s v="Accessories"/>
    <n v="3"/>
    <n v="79371"/>
    <n v="5"/>
    <x v="2"/>
    <s v="Neha"/>
    <x v="2"/>
    <s v="anjalijoshi@gmail.com"/>
    <s v="7530609754"/>
    <x v="2"/>
    <s v="Average"/>
    <n v="114"/>
    <s v="Delivered"/>
    <n v="226207.34999999998"/>
    <n v="10"/>
    <x v="1"/>
    <x v="1"/>
  </r>
  <r>
    <x v="384"/>
    <x v="14"/>
    <n v="36"/>
    <s v="Male"/>
    <s v="Ludhiana"/>
    <s v="Punjab"/>
    <d v="2024-01-03T00:00:00"/>
    <d v="2024-01-13T00:00:00"/>
    <x v="3"/>
    <s v="Accessories"/>
    <n v="3"/>
    <n v="34337"/>
    <n v="10"/>
    <x v="3"/>
    <s v="Amit"/>
    <x v="3"/>
    <s v="rohitgupta@gmail.com"/>
    <s v="6514409993"/>
    <x v="4"/>
    <s v="Bad"/>
    <n v="443"/>
    <s v="Returned"/>
    <n v="92709.900000000009"/>
    <n v="10"/>
    <x v="0"/>
    <x v="1"/>
  </r>
  <r>
    <x v="385"/>
    <x v="0"/>
    <n v="22"/>
    <s v="Female"/>
    <s v="Pune"/>
    <s v="Rajasthan"/>
    <d v="2023-10-27T00:00:00"/>
    <d v="2023-11-01T00:00:00"/>
    <x v="4"/>
    <s v="Accessories"/>
    <n v="2.9447852760736195"/>
    <n v="24278"/>
    <n v="0"/>
    <x v="0"/>
    <s v="Karan"/>
    <x v="2"/>
    <s v="poojamehta@gmail.com"/>
    <s v="9061392539"/>
    <x v="3"/>
    <s v="Average"/>
    <n v="393"/>
    <s v="Cancelled"/>
    <n v="71493.496932515336"/>
    <n v="5"/>
    <x v="5"/>
    <x v="0"/>
  </r>
  <r>
    <x v="386"/>
    <x v="82"/>
    <n v="41"/>
    <s v="Female"/>
    <s v="Ludhiana"/>
    <s v="Gujarat"/>
    <d v="2024-08-15T00:00:00"/>
    <d v="2024-08-20T00:00:00"/>
    <x v="5"/>
    <s v="Electronics"/>
    <n v="5"/>
    <n v="5469"/>
    <n v="10"/>
    <x v="0"/>
    <s v="Pooja"/>
    <x v="2"/>
    <s v="amitgupta@gmail.com"/>
    <s v="6195407139"/>
    <x v="3"/>
    <s v="Average"/>
    <n v="374"/>
    <s v="Returned"/>
    <n v="24610.5"/>
    <n v="5"/>
    <x v="3"/>
    <x v="1"/>
  </r>
  <r>
    <x v="387"/>
    <x v="81"/>
    <n v="27"/>
    <s v="Female"/>
    <s v="Delhi"/>
    <s v="Punjab"/>
    <d v="2024-03-28T00:00:00"/>
    <d v="2024-03-31T00:00:00"/>
    <x v="2"/>
    <s v="Accessories"/>
    <n v="1"/>
    <n v="34539"/>
    <n v="15"/>
    <x v="2"/>
    <s v="Neha"/>
    <x v="1"/>
    <s v="poojajoshi@gmail.com"/>
    <s v="9871888536"/>
    <x v="2"/>
    <s v="Good"/>
    <n v="371"/>
    <s v="Delivered"/>
    <n v="29358.149999999998"/>
    <n v="3"/>
    <x v="10"/>
    <x v="1"/>
  </r>
  <r>
    <x v="388"/>
    <x v="6"/>
    <n v="48"/>
    <s v="Female"/>
    <s v="Amritsar"/>
    <s v="Maharashtra"/>
    <d v="2023-09-01T00:00:00"/>
    <d v="2023-09-10T00:00:00"/>
    <x v="5"/>
    <s v="Accessories"/>
    <n v="5"/>
    <n v="46040"/>
    <n v="10"/>
    <x v="0"/>
    <s v="Neha"/>
    <x v="1"/>
    <s v="poojayadav@gmail.com"/>
    <s v="8255520442"/>
    <x v="3"/>
    <s v="Bad"/>
    <n v="169"/>
    <s v="Cancelled"/>
    <n v="207180"/>
    <n v="9"/>
    <x v="2"/>
    <x v="0"/>
  </r>
  <r>
    <x v="389"/>
    <x v="26"/>
    <n v="44"/>
    <s v="Male"/>
    <s v="Delhi"/>
    <s v="Maharashtra"/>
    <d v="2024-02-21T00:00:00"/>
    <d v="2024-02-27T00:00:00"/>
    <x v="2"/>
    <s v="Accessories"/>
    <n v="1"/>
    <n v="12707"/>
    <n v="15"/>
    <x v="0"/>
    <s v="Sneha"/>
    <x v="1"/>
    <s v="karanjoshi@gmail.com"/>
    <s v="9734168815"/>
    <x v="1"/>
    <s v="Excellent"/>
    <n v="404"/>
    <s v="Returned"/>
    <n v="10800.949999999999"/>
    <n v="6"/>
    <x v="8"/>
    <x v="1"/>
  </r>
  <r>
    <x v="390"/>
    <x v="88"/>
    <n v="39"/>
    <s v="Male"/>
    <s v="Jaipur"/>
    <s v="Gujarat"/>
    <d v="2023-11-26T00:00:00"/>
    <d v="2023-12-06T00:00:00"/>
    <x v="5"/>
    <s v="Electronics"/>
    <n v="2"/>
    <n v="34375"/>
    <n v="10"/>
    <x v="1"/>
    <s v="Vikas"/>
    <x v="0"/>
    <s v="vikasmehta@gmail.com"/>
    <s v="Missing"/>
    <x v="0"/>
    <s v="Average"/>
    <n v="146"/>
    <s v="Cancelled"/>
    <n v="61875"/>
    <n v="10"/>
    <x v="7"/>
    <x v="0"/>
  </r>
  <r>
    <x v="391"/>
    <x v="54"/>
    <n v="44"/>
    <s v="Male"/>
    <s v="Pune"/>
    <s v="Punjab"/>
    <d v="2023-02-04T00:00:00"/>
    <d v="2023-02-07T00:00:00"/>
    <x v="0"/>
    <s v="Accessories"/>
    <n v="1"/>
    <n v="76494"/>
    <n v="5"/>
    <x v="3"/>
    <s v="Amit"/>
    <x v="0"/>
    <s v="Missing"/>
    <s v="9998790590"/>
    <x v="3"/>
    <s v="Bad"/>
    <n v="435"/>
    <s v="Delivered"/>
    <n v="72669.3"/>
    <n v="3"/>
    <x v="8"/>
    <x v="0"/>
  </r>
  <r>
    <x v="392"/>
    <x v="42"/>
    <n v="38"/>
    <s v="Female"/>
    <s v="Ahmedabad"/>
    <s v="Maharashtra"/>
    <d v="2024-03-05T00:00:00"/>
    <d v="2024-03-11T00:00:00"/>
    <x v="5"/>
    <s v="Accessories"/>
    <n v="5"/>
    <n v="14373"/>
    <n v="5"/>
    <x v="3"/>
    <s v="Pooja"/>
    <x v="1"/>
    <s v="Missing"/>
    <s v="9325281262"/>
    <x v="3"/>
    <s v="Good"/>
    <n v="459"/>
    <s v="Delivered"/>
    <n v="68271.75"/>
    <n v="6"/>
    <x v="10"/>
    <x v="1"/>
  </r>
  <r>
    <x v="393"/>
    <x v="93"/>
    <n v="39"/>
    <s v="Male"/>
    <s v="Chandigarh"/>
    <s v="Rajasthan"/>
    <d v="2024-08-26T00:00:00"/>
    <d v="2024-09-01T00:00:00"/>
    <x v="2"/>
    <s v="Accessories"/>
    <n v="4"/>
    <n v="73215"/>
    <n v="10"/>
    <x v="0"/>
    <s v="Rohit"/>
    <x v="1"/>
    <s v="karangupta@gmail.com"/>
    <s v="9391641500"/>
    <x v="0"/>
    <s v="Good"/>
    <n v="348"/>
    <s v="Returned"/>
    <n v="263574"/>
    <n v="6"/>
    <x v="3"/>
    <x v="1"/>
  </r>
  <r>
    <x v="394"/>
    <x v="0"/>
    <n v="28"/>
    <s v="Female"/>
    <s v="Pune"/>
    <s v="Maharashtra"/>
    <d v="2024-11-04T00:00:00"/>
    <d v="2024-11-08T00:00:00"/>
    <x v="3"/>
    <s v="Accessories"/>
    <n v="5"/>
    <n v="30439"/>
    <n v="10"/>
    <x v="2"/>
    <s v="Pooja"/>
    <x v="2"/>
    <s v="poojamehta@gmail.com"/>
    <s v="7107125275"/>
    <x v="1"/>
    <s v="Bad"/>
    <n v="463"/>
    <s v="Returned"/>
    <n v="136975.5"/>
    <n v="4"/>
    <x v="7"/>
    <x v="1"/>
  </r>
  <r>
    <x v="395"/>
    <x v="35"/>
    <n v="30"/>
    <s v="Male"/>
    <s v="Ludhiana"/>
    <s v="Maharashtra"/>
    <d v="2023-03-13T00:00:00"/>
    <d v="2023-03-14T00:00:00"/>
    <x v="0"/>
    <s v="Accessories"/>
    <n v="5"/>
    <n v="53408"/>
    <n v="10"/>
    <x v="1"/>
    <s v="Priya"/>
    <x v="3"/>
    <s v="nehamehta@gmail.com"/>
    <s v="7132788824"/>
    <x v="4"/>
    <s v="Average"/>
    <n v="75"/>
    <s v="Cancelled"/>
    <n v="240336"/>
    <n v="1"/>
    <x v="10"/>
    <x v="0"/>
  </r>
  <r>
    <x v="396"/>
    <x v="86"/>
    <n v="18"/>
    <s v="Male"/>
    <s v="Amritsar"/>
    <s v="Delhi"/>
    <d v="2023-03-04T00:00:00"/>
    <d v="2023-03-06T00:00:00"/>
    <x v="4"/>
    <s v="Accessories"/>
    <n v="5"/>
    <n v="36368"/>
    <n v="0"/>
    <x v="1"/>
    <s v="Pooja"/>
    <x v="2"/>
    <s v="rohitsingh@gmail.com"/>
    <s v="6840969499"/>
    <x v="1"/>
    <s v="Bad"/>
    <n v="198"/>
    <s v="Delivered"/>
    <n v="181840"/>
    <n v="2"/>
    <x v="10"/>
    <x v="0"/>
  </r>
  <r>
    <x v="397"/>
    <x v="55"/>
    <n v="47"/>
    <s v="Female"/>
    <s v="Amritsar"/>
    <s v="Rajasthan"/>
    <d v="2024-09-17T00:00:00"/>
    <d v="2024-09-18T00:00:00"/>
    <x v="1"/>
    <s v="Accessories"/>
    <n v="2.9447852760736195"/>
    <n v="23775"/>
    <n v="5"/>
    <x v="3"/>
    <s v="Pooja"/>
    <x v="2"/>
    <s v="amitverma@gmail.com"/>
    <s v="7685306576"/>
    <x v="1"/>
    <s v="Bad"/>
    <n v="454"/>
    <s v="Cancelled"/>
    <n v="66511.656441717787"/>
    <n v="1"/>
    <x v="2"/>
    <x v="1"/>
  </r>
  <r>
    <x v="398"/>
    <x v="41"/>
    <n v="42"/>
    <s v="Female"/>
    <s v="Chandigarh"/>
    <s v="Maharashtra"/>
    <d v="2023-05-22T00:00:00"/>
    <d v="2023-05-27T00:00:00"/>
    <x v="0"/>
    <s v="Electronics"/>
    <n v="1"/>
    <n v="8356"/>
    <n v="0"/>
    <x v="1"/>
    <s v="Karan"/>
    <x v="3"/>
    <s v="priyakumar@gmail.com"/>
    <s v="8683719354"/>
    <x v="3"/>
    <s v="Average"/>
    <n v="286"/>
    <s v="Returned"/>
    <n v="8356"/>
    <n v="5"/>
    <x v="6"/>
    <x v="0"/>
  </r>
  <r>
    <x v="399"/>
    <x v="19"/>
    <n v="19"/>
    <s v="Female"/>
    <s v="Mumbai"/>
    <s v="Maharashtra"/>
    <d v="2023-04-30T00:00:00"/>
    <d v="2023-05-03T00:00:00"/>
    <x v="5"/>
    <s v="Electronics"/>
    <n v="2"/>
    <n v="67867"/>
    <n v="10"/>
    <x v="0"/>
    <s v="Karan"/>
    <x v="3"/>
    <s v="vikasagarwal@gmail.com"/>
    <s v="7328498035"/>
    <x v="1"/>
    <s v="Average"/>
    <n v="419"/>
    <s v="Cancelled"/>
    <n v="122160.6"/>
    <n v="3"/>
    <x v="1"/>
    <x v="0"/>
  </r>
  <r>
    <x v="400"/>
    <x v="18"/>
    <n v="52"/>
    <s v="Male"/>
    <s v="Delhi"/>
    <s v="Maharashtra"/>
    <d v="2023-06-21T00:00:00"/>
    <d v="2023-06-30T00:00:00"/>
    <x v="2"/>
    <s v="Accessories"/>
    <n v="1"/>
    <n v="52513"/>
    <n v="10"/>
    <x v="2"/>
    <s v="Priya"/>
    <x v="0"/>
    <s v="snehaagarwal@gmail.com"/>
    <s v="6263327757"/>
    <x v="4"/>
    <s v="Excellent"/>
    <n v="405"/>
    <s v="Returned"/>
    <n v="47261.700000000004"/>
    <n v="9"/>
    <x v="9"/>
    <x v="0"/>
  </r>
  <r>
    <x v="401"/>
    <x v="40"/>
    <n v="41"/>
    <s v="Female"/>
    <s v="Chandigarh"/>
    <s v="Gujarat"/>
    <d v="2023-11-02T00:00:00"/>
    <d v="2023-11-05T00:00:00"/>
    <x v="4"/>
    <s v="Electronics"/>
    <n v="1"/>
    <n v="56627"/>
    <n v="5"/>
    <x v="2"/>
    <s v="Amit"/>
    <x v="2"/>
    <s v="amitagarwal@gmail.com"/>
    <s v="8003001854"/>
    <x v="4"/>
    <s v="Bad"/>
    <n v="499"/>
    <s v="Cancelled"/>
    <n v="53795.649999999994"/>
    <n v="3"/>
    <x v="7"/>
    <x v="0"/>
  </r>
  <r>
    <x v="402"/>
    <x v="94"/>
    <n v="41"/>
    <s v="Male"/>
    <s v="Chandigarh"/>
    <s v="Gujarat"/>
    <d v="2023-09-22T00:00:00"/>
    <d v="2023-09-25T00:00:00"/>
    <x v="4"/>
    <s v="Accessories"/>
    <n v="1"/>
    <n v="58122"/>
    <n v="5"/>
    <x v="1"/>
    <s v="Amit"/>
    <x v="1"/>
    <s v="snehajoshi@gmail.com"/>
    <s v="6649432029"/>
    <x v="4"/>
    <s v="Excellent"/>
    <n v="75"/>
    <s v="Delivered"/>
    <n v="55215.899999999994"/>
    <n v="3"/>
    <x v="2"/>
    <x v="0"/>
  </r>
  <r>
    <x v="403"/>
    <x v="33"/>
    <n v="56"/>
    <s v="Male"/>
    <s v="Mumbai"/>
    <s v="Gujarat"/>
    <d v="2024-04-01T00:00:00"/>
    <d v="2024-04-08T00:00:00"/>
    <x v="3"/>
    <s v="Electronics"/>
    <n v="3"/>
    <n v="40206"/>
    <n v="5"/>
    <x v="0"/>
    <s v="Sneha"/>
    <x v="1"/>
    <s v="Missing"/>
    <s v="Missing"/>
    <x v="0"/>
    <s v="Bad"/>
    <n v="114"/>
    <s v="Cancelled"/>
    <n v="114587.09999999999"/>
    <n v="7"/>
    <x v="1"/>
    <x v="1"/>
  </r>
  <r>
    <x v="404"/>
    <x v="57"/>
    <n v="53"/>
    <s v="Female"/>
    <s v="Amritsar"/>
    <s v="Maharashtra"/>
    <d v="2024-04-02T00:00:00"/>
    <d v="2024-04-09T00:00:00"/>
    <x v="1"/>
    <s v="Accessories"/>
    <n v="1"/>
    <n v="43210"/>
    <n v="10"/>
    <x v="1"/>
    <s v="Neha"/>
    <x v="2"/>
    <s v="nehajoshi@gmail.com"/>
    <s v="7480802286"/>
    <x v="3"/>
    <s v="Excellent"/>
    <n v="64"/>
    <s v="Cancelled"/>
    <n v="38889"/>
    <n v="7"/>
    <x v="1"/>
    <x v="1"/>
  </r>
  <r>
    <x v="405"/>
    <x v="87"/>
    <n v="55"/>
    <s v="Female"/>
    <s v="Jaipur"/>
    <s v="Gujarat"/>
    <d v="2024-02-17T00:00:00"/>
    <d v="2024-02-19T00:00:00"/>
    <x v="0"/>
    <s v="Accessories"/>
    <n v="1"/>
    <n v="32907"/>
    <n v="0"/>
    <x v="1"/>
    <s v="Karan"/>
    <x v="3"/>
    <s v="snehamehta@gmail.com"/>
    <s v="8512625737"/>
    <x v="3"/>
    <s v="Average"/>
    <n v="205"/>
    <s v="Cancelled"/>
    <n v="32907"/>
    <n v="2"/>
    <x v="8"/>
    <x v="1"/>
  </r>
  <r>
    <x v="406"/>
    <x v="94"/>
    <n v="34"/>
    <s v="Male"/>
    <s v="Ludhiana"/>
    <s v="Rajasthan"/>
    <d v="2024-10-05T00:00:00"/>
    <d v="2024-10-07T00:00:00"/>
    <x v="2"/>
    <s v="Electronics"/>
    <n v="4"/>
    <n v="42109.716287215415"/>
    <n v="10"/>
    <x v="1"/>
    <s v="Priya"/>
    <x v="1"/>
    <s v="snehajoshi@gmail.com"/>
    <s v="7143440118"/>
    <x v="2"/>
    <s v="Bad"/>
    <n v="148"/>
    <s v="Delivered"/>
    <n v="151594.97863397549"/>
    <n v="2"/>
    <x v="5"/>
    <x v="1"/>
  </r>
  <r>
    <x v="407"/>
    <x v="0"/>
    <n v="37"/>
    <s v="Female"/>
    <s v="Delhi"/>
    <s v="Delhi"/>
    <d v="2023-12-03T00:00:00"/>
    <d v="2023-12-11T00:00:00"/>
    <x v="5"/>
    <s v="Electronics"/>
    <n v="5"/>
    <n v="74929"/>
    <n v="10"/>
    <x v="3"/>
    <s v="Anjali"/>
    <x v="3"/>
    <s v="poojamehta@gmail.com"/>
    <s v="7666605720"/>
    <x v="3"/>
    <s v="Excellent"/>
    <n v="272"/>
    <s v="Cancelled"/>
    <n v="337180.5"/>
    <n v="8"/>
    <x v="11"/>
    <x v="0"/>
  </r>
  <r>
    <x v="408"/>
    <x v="16"/>
    <n v="31"/>
    <s v="Female"/>
    <s v="Ahmedabad"/>
    <s v="Rajasthan"/>
    <d v="2024-09-16T00:00:00"/>
    <d v="2024-09-22T00:00:00"/>
    <x v="5"/>
    <s v="Electronics"/>
    <n v="3"/>
    <n v="58809"/>
    <n v="10"/>
    <x v="1"/>
    <s v="Vikas"/>
    <x v="0"/>
    <s v="Missing"/>
    <s v="Missing"/>
    <x v="4"/>
    <s v="Bad"/>
    <n v="265"/>
    <s v="Returned"/>
    <n v="158784.30000000002"/>
    <n v="6"/>
    <x v="2"/>
    <x v="1"/>
  </r>
  <r>
    <x v="409"/>
    <x v="12"/>
    <n v="43"/>
    <s v="Female"/>
    <s v="Jaipur"/>
    <s v="Delhi"/>
    <d v="2024-08-26T00:00:00"/>
    <d v="2024-08-28T00:00:00"/>
    <x v="1"/>
    <s v="Electronics"/>
    <n v="4"/>
    <n v="38543"/>
    <n v="5"/>
    <x v="2"/>
    <s v="Anjali"/>
    <x v="1"/>
    <s v="snehasingh@gmail.com"/>
    <s v="9436282411"/>
    <x v="0"/>
    <s v="Good"/>
    <n v="326"/>
    <s v="Returned"/>
    <n v="146463.4"/>
    <n v="2"/>
    <x v="3"/>
    <x v="1"/>
  </r>
  <r>
    <x v="410"/>
    <x v="85"/>
    <n v="27"/>
    <s v="Male"/>
    <s v="Pune"/>
    <s v="Punjab"/>
    <d v="2024-09-18T00:00:00"/>
    <d v="2024-09-19T00:00:00"/>
    <x v="1"/>
    <s v="Electronics"/>
    <n v="2"/>
    <n v="17691"/>
    <n v="15"/>
    <x v="0"/>
    <s v="Priya"/>
    <x v="2"/>
    <s v="rahulkumar@gmail.com"/>
    <s v="8946064619"/>
    <x v="1"/>
    <s v="Average"/>
    <n v="495"/>
    <s v="Returned"/>
    <n v="30074.7"/>
    <n v="1"/>
    <x v="2"/>
    <x v="1"/>
  </r>
  <r>
    <x v="411"/>
    <x v="40"/>
    <n v="27"/>
    <s v="Male"/>
    <s v="Delhi"/>
    <s v="Maharashtra"/>
    <d v="2024-10-05T00:00:00"/>
    <d v="2024-10-12T00:00:00"/>
    <x v="0"/>
    <s v="Accessories"/>
    <n v="4"/>
    <n v="28425"/>
    <n v="15"/>
    <x v="3"/>
    <s v="Pooja"/>
    <x v="2"/>
    <s v="amitagarwal@gmail.com"/>
    <s v="6390296959"/>
    <x v="0"/>
    <s v="Good"/>
    <n v="454"/>
    <s v="Delivered"/>
    <n v="96645"/>
    <n v="7"/>
    <x v="5"/>
    <x v="1"/>
  </r>
  <r>
    <x v="412"/>
    <x v="87"/>
    <n v="43"/>
    <s v="Female"/>
    <s v="Ludhiana"/>
    <s v="Rajasthan"/>
    <d v="2024-07-23T00:00:00"/>
    <d v="2024-07-28T00:00:00"/>
    <x v="5"/>
    <s v="Accessories"/>
    <n v="1"/>
    <n v="14119"/>
    <n v="10"/>
    <x v="3"/>
    <s v="Karan"/>
    <x v="2"/>
    <s v="snehamehta@gmail.com"/>
    <s v="6252619930"/>
    <x v="4"/>
    <s v="Bad"/>
    <n v="308"/>
    <s v="Cancelled"/>
    <n v="12707.1"/>
    <n v="5"/>
    <x v="4"/>
    <x v="1"/>
  </r>
  <r>
    <x v="413"/>
    <x v="9"/>
    <n v="18"/>
    <s v="Female"/>
    <s v="Mumbai"/>
    <s v="Rajasthan"/>
    <d v="2023-06-27T00:00:00"/>
    <d v="2023-06-29T00:00:00"/>
    <x v="1"/>
    <s v="Electronics"/>
    <n v="2"/>
    <n v="16440"/>
    <n v="0"/>
    <x v="0"/>
    <s v="Rahul"/>
    <x v="2"/>
    <s v="anjaligupta@gmail.com"/>
    <s v="6065041507"/>
    <x v="2"/>
    <s v="Excellent"/>
    <n v="264"/>
    <s v="Returned"/>
    <n v="32880"/>
    <n v="2"/>
    <x v="9"/>
    <x v="0"/>
  </r>
  <r>
    <x v="414"/>
    <x v="75"/>
    <n v="35"/>
    <s v="Female"/>
    <s v="Chandigarh"/>
    <s v="Delhi"/>
    <d v="2023-04-25T00:00:00"/>
    <d v="2023-05-02T00:00:00"/>
    <x v="2"/>
    <s v="Accessories"/>
    <n v="5"/>
    <n v="43345"/>
    <n v="5"/>
    <x v="1"/>
    <s v="Sneha"/>
    <x v="0"/>
    <s v="rohitmehta@gmail.com"/>
    <s v="9477153213"/>
    <x v="3"/>
    <s v="Average"/>
    <n v="239"/>
    <s v="Delivered"/>
    <n v="205888.75"/>
    <n v="7"/>
    <x v="1"/>
    <x v="0"/>
  </r>
  <r>
    <x v="415"/>
    <x v="34"/>
    <n v="46"/>
    <s v="Female"/>
    <s v="Ludhiana"/>
    <s v="Delhi"/>
    <d v="2024-05-19T00:00:00"/>
    <d v="2024-05-22T00:00:00"/>
    <x v="5"/>
    <s v="Accessories"/>
    <n v="5"/>
    <n v="44993"/>
    <n v="5"/>
    <x v="2"/>
    <s v="Priya"/>
    <x v="2"/>
    <s v="snehapatel@gmail.com"/>
    <s v="7315091287"/>
    <x v="2"/>
    <s v="Average"/>
    <n v="120"/>
    <s v="Cancelled"/>
    <n v="213716.75"/>
    <n v="3"/>
    <x v="6"/>
    <x v="1"/>
  </r>
  <r>
    <x v="416"/>
    <x v="31"/>
    <n v="33"/>
    <s v="Male"/>
    <s v="Jaipur"/>
    <s v="Rajasthan"/>
    <d v="2023-03-29T00:00:00"/>
    <d v="2023-04-07T00:00:00"/>
    <x v="0"/>
    <s v="Accessories"/>
    <n v="1"/>
    <n v="42109.716287215415"/>
    <n v="5"/>
    <x v="2"/>
    <s v="Karan"/>
    <x v="0"/>
    <s v="nehagupta@gmail.com"/>
    <s v="8368740156"/>
    <x v="2"/>
    <s v="Bad"/>
    <n v="173"/>
    <s v="Cancelled"/>
    <n v="40004.230472854644"/>
    <n v="9"/>
    <x v="10"/>
    <x v="0"/>
  </r>
  <r>
    <x v="417"/>
    <x v="5"/>
    <n v="24"/>
    <s v="Male"/>
    <s v="Mumbai"/>
    <s v="Punjab"/>
    <d v="2023-03-29T00:00:00"/>
    <d v="2023-04-03T00:00:00"/>
    <x v="5"/>
    <s v="Electronics"/>
    <n v="4"/>
    <n v="70255"/>
    <n v="10"/>
    <x v="3"/>
    <s v="Sneha"/>
    <x v="0"/>
    <s v="karanverma@gmail.com"/>
    <s v="6935264438"/>
    <x v="2"/>
    <s v="Average"/>
    <n v="101"/>
    <s v="Delivered"/>
    <n v="252918"/>
    <n v="5"/>
    <x v="10"/>
    <x v="0"/>
  </r>
  <r>
    <x v="418"/>
    <x v="19"/>
    <n v="48"/>
    <s v="Female"/>
    <s v="Chandigarh"/>
    <s v="Maharashtra"/>
    <d v="2023-11-19T00:00:00"/>
    <d v="2023-11-23T00:00:00"/>
    <x v="5"/>
    <s v="Electronics"/>
    <n v="1"/>
    <n v="12754"/>
    <n v="15"/>
    <x v="2"/>
    <s v="Neha"/>
    <x v="2"/>
    <s v="vikasagarwal@gmail.com"/>
    <s v="Missing"/>
    <x v="4"/>
    <s v="Average"/>
    <n v="433"/>
    <s v="Cancelled"/>
    <n v="10840.9"/>
    <n v="4"/>
    <x v="7"/>
    <x v="0"/>
  </r>
  <r>
    <x v="419"/>
    <x v="41"/>
    <n v="59"/>
    <s v="Male"/>
    <s v="Chandigarh"/>
    <s v="Gujarat"/>
    <d v="2023-08-04T00:00:00"/>
    <d v="2023-08-13T00:00:00"/>
    <x v="3"/>
    <s v="Electronics"/>
    <n v="2"/>
    <n v="53510"/>
    <n v="0"/>
    <x v="3"/>
    <s v="Sneha"/>
    <x v="3"/>
    <s v="priyakumar@gmail.com"/>
    <s v="7288124304"/>
    <x v="3"/>
    <s v="Bad"/>
    <n v="52"/>
    <s v="Returned"/>
    <n v="107020"/>
    <n v="9"/>
    <x v="3"/>
    <x v="0"/>
  </r>
  <r>
    <x v="420"/>
    <x v="39"/>
    <n v="22"/>
    <s v="Male"/>
    <s v="Delhi"/>
    <s v="Maharashtra"/>
    <d v="2023-01-07T00:00:00"/>
    <d v="2023-01-17T00:00:00"/>
    <x v="2"/>
    <s v="Electronics"/>
    <n v="1"/>
    <n v="56901"/>
    <n v="0"/>
    <x v="1"/>
    <s v="Vikas"/>
    <x v="1"/>
    <s v="rahulsingh@gmail.com"/>
    <s v="7135655859"/>
    <x v="3"/>
    <s v="Excellent"/>
    <n v="237"/>
    <s v="Delivered"/>
    <n v="56901"/>
    <n v="10"/>
    <x v="0"/>
    <x v="0"/>
  </r>
  <r>
    <x v="421"/>
    <x v="9"/>
    <n v="46"/>
    <s v="Male"/>
    <s v="Delhi"/>
    <s v="Maharashtra"/>
    <d v="2024-08-04T00:00:00"/>
    <d v="2024-08-11T00:00:00"/>
    <x v="3"/>
    <s v="Accessories"/>
    <n v="2"/>
    <n v="58446"/>
    <n v="15"/>
    <x v="3"/>
    <s v="Pooja"/>
    <x v="0"/>
    <s v="anjaligupta@gmail.com"/>
    <s v="6566595191"/>
    <x v="1"/>
    <s v="Bad"/>
    <n v="429"/>
    <s v="Returned"/>
    <n v="99358.2"/>
    <n v="7"/>
    <x v="3"/>
    <x v="1"/>
  </r>
  <r>
    <x v="422"/>
    <x v="36"/>
    <n v="34"/>
    <s v="Female"/>
    <s v="Ahmedabad"/>
    <s v="Maharashtra"/>
    <d v="2023-06-28T00:00:00"/>
    <d v="2023-07-01T00:00:00"/>
    <x v="2"/>
    <s v="Accessories"/>
    <n v="2"/>
    <n v="67826"/>
    <n v="0"/>
    <x v="2"/>
    <s v="Neha"/>
    <x v="2"/>
    <s v="rahulsharma@gmail.com"/>
    <s v="7595232611"/>
    <x v="1"/>
    <s v="Average"/>
    <n v="440"/>
    <s v="Delivered"/>
    <n v="135652"/>
    <n v="3"/>
    <x v="9"/>
    <x v="0"/>
  </r>
  <r>
    <x v="423"/>
    <x v="83"/>
    <n v="41"/>
    <s v="Female"/>
    <s v="Delhi"/>
    <s v="Maharashtra"/>
    <d v="2024-04-15T00:00:00"/>
    <d v="2024-04-23T00:00:00"/>
    <x v="4"/>
    <s v="Electronics"/>
    <n v="2.9447852760736195"/>
    <n v="65479"/>
    <n v="5"/>
    <x v="2"/>
    <s v="Neha"/>
    <x v="3"/>
    <s v="snehayadav@gmail.com"/>
    <s v="8441983464"/>
    <x v="4"/>
    <s v="Good"/>
    <n v="265"/>
    <s v="Returned"/>
    <n v="183180.51533742331"/>
    <n v="8"/>
    <x v="1"/>
    <x v="1"/>
  </r>
  <r>
    <x v="424"/>
    <x v="14"/>
    <n v="55"/>
    <s v="Male"/>
    <s v="Jaipur"/>
    <s v="Maharashtra"/>
    <d v="2023-03-13T00:00:00"/>
    <d v="2023-03-19T00:00:00"/>
    <x v="2"/>
    <s v="Accessories"/>
    <n v="1"/>
    <n v="30008"/>
    <n v="5"/>
    <x v="1"/>
    <s v="Rohit"/>
    <x v="1"/>
    <s v="rohitgupta@gmail.com"/>
    <s v="6773334297"/>
    <x v="0"/>
    <s v="Average"/>
    <n v="68"/>
    <s v="Cancelled"/>
    <n v="28507.599999999999"/>
    <n v="6"/>
    <x v="10"/>
    <x v="0"/>
  </r>
  <r>
    <x v="425"/>
    <x v="95"/>
    <n v="27"/>
    <s v="Female"/>
    <s v="Chandigarh"/>
    <s v="Rajasthan"/>
    <d v="2024-05-03T00:00:00"/>
    <d v="2024-05-13T00:00:00"/>
    <x v="1"/>
    <s v="Electronics"/>
    <n v="2"/>
    <n v="23065"/>
    <n v="10"/>
    <x v="0"/>
    <s v="Pooja"/>
    <x v="3"/>
    <s v="Missing"/>
    <s v="7190323158"/>
    <x v="3"/>
    <s v="Excellent"/>
    <n v="470"/>
    <s v="Returned"/>
    <n v="41517"/>
    <n v="10"/>
    <x v="6"/>
    <x v="1"/>
  </r>
  <r>
    <x v="426"/>
    <x v="16"/>
    <n v="31"/>
    <s v="Male"/>
    <s v="Jaipur"/>
    <s v="Rajasthan"/>
    <d v="2024-10-14T00:00:00"/>
    <d v="2024-10-24T00:00:00"/>
    <x v="3"/>
    <s v="Accessories"/>
    <n v="4"/>
    <n v="39227"/>
    <n v="5"/>
    <x v="1"/>
    <s v="Karan"/>
    <x v="0"/>
    <s v="anjaliverma@gmail.com"/>
    <s v="9220155666"/>
    <x v="1"/>
    <s v="Average"/>
    <n v="58"/>
    <s v="Cancelled"/>
    <n v="149062.6"/>
    <n v="10"/>
    <x v="5"/>
    <x v="1"/>
  </r>
  <r>
    <x v="427"/>
    <x v="79"/>
    <n v="29"/>
    <s v="Female"/>
    <s v="Ludhiana"/>
    <s v="Maharashtra"/>
    <d v="2023-09-06T00:00:00"/>
    <d v="2023-09-12T00:00:00"/>
    <x v="0"/>
    <s v="Electronics"/>
    <n v="4"/>
    <n v="60151"/>
    <n v="5"/>
    <x v="0"/>
    <s v="Priya"/>
    <x v="1"/>
    <s v="rahulpatel@gmail.com"/>
    <s v="7324540653"/>
    <x v="4"/>
    <s v="Good"/>
    <n v="444"/>
    <s v="Cancelled"/>
    <n v="228573.8"/>
    <n v="6"/>
    <x v="2"/>
    <x v="0"/>
  </r>
  <r>
    <x v="428"/>
    <x v="77"/>
    <n v="41"/>
    <s v="Male"/>
    <s v="Ludhiana"/>
    <s v="Maharashtra"/>
    <d v="2023-12-20T00:00:00"/>
    <d v="2023-12-24T00:00:00"/>
    <x v="1"/>
    <s v="Electronics"/>
    <n v="5"/>
    <n v="77660"/>
    <n v="0"/>
    <x v="1"/>
    <s v="Neha"/>
    <x v="0"/>
    <s v="rohitkumar@gmail.com"/>
    <s v="6703763290"/>
    <x v="3"/>
    <s v="Average"/>
    <n v="57"/>
    <s v="Delivered"/>
    <n v="388300"/>
    <n v="4"/>
    <x v="11"/>
    <x v="0"/>
  </r>
  <r>
    <x v="429"/>
    <x v="54"/>
    <n v="46"/>
    <s v="Female"/>
    <s v="Mumbai"/>
    <s v="Gujarat"/>
    <d v="2023-04-06T00:00:00"/>
    <d v="2023-04-12T00:00:00"/>
    <x v="5"/>
    <s v="Electronics"/>
    <n v="4"/>
    <n v="41212"/>
    <n v="15"/>
    <x v="1"/>
    <s v="Rahul"/>
    <x v="0"/>
    <s v="karankumar@gmail.com"/>
    <s v="8727473994"/>
    <x v="1"/>
    <s v="Excellent"/>
    <n v="142"/>
    <s v="Delivered"/>
    <n v="140120.79999999999"/>
    <n v="6"/>
    <x v="1"/>
    <x v="0"/>
  </r>
  <r>
    <x v="430"/>
    <x v="78"/>
    <n v="36"/>
    <s v="Female"/>
    <s v="Amritsar"/>
    <s v="Gujarat"/>
    <d v="2023-07-07T00:00:00"/>
    <d v="2023-07-09T00:00:00"/>
    <x v="4"/>
    <s v="Accessories"/>
    <n v="1"/>
    <n v="64063"/>
    <n v="10"/>
    <x v="1"/>
    <s v="Anjali"/>
    <x v="1"/>
    <s v="poojaagarwal@gmail.com"/>
    <s v="9136397050"/>
    <x v="3"/>
    <s v="Good"/>
    <n v="177"/>
    <s v="Delivered"/>
    <n v="57656.700000000004"/>
    <n v="2"/>
    <x v="4"/>
    <x v="0"/>
  </r>
  <r>
    <x v="431"/>
    <x v="14"/>
    <n v="27"/>
    <s v="Female"/>
    <s v="Ludhiana"/>
    <s v="Delhi"/>
    <d v="2024-01-12T00:00:00"/>
    <d v="2024-01-15T00:00:00"/>
    <x v="2"/>
    <s v="Electronics"/>
    <n v="1"/>
    <n v="37134"/>
    <n v="10"/>
    <x v="2"/>
    <s v="Pooja"/>
    <x v="1"/>
    <s v="rohitgupta@gmail.com"/>
    <s v="7600484068"/>
    <x v="2"/>
    <s v="Excellent"/>
    <n v="255"/>
    <s v="Cancelled"/>
    <n v="33420.6"/>
    <n v="3"/>
    <x v="0"/>
    <x v="1"/>
  </r>
  <r>
    <x v="432"/>
    <x v="73"/>
    <n v="41"/>
    <s v="Male"/>
    <s v="Ludhiana"/>
    <s v="Maharashtra"/>
    <d v="2023-01-31T00:00:00"/>
    <d v="2023-02-08T00:00:00"/>
    <x v="0"/>
    <s v="Accessories"/>
    <n v="3"/>
    <n v="52195"/>
    <n v="10"/>
    <x v="1"/>
    <s v="Karan"/>
    <x v="0"/>
    <s v="priyaagarwal@gmail.com"/>
    <s v="9298576152"/>
    <x v="0"/>
    <s v="Excellent"/>
    <n v="258"/>
    <s v="Delivered"/>
    <n v="140926.5"/>
    <n v="8"/>
    <x v="0"/>
    <x v="0"/>
  </r>
  <r>
    <x v="433"/>
    <x v="16"/>
    <n v="37"/>
    <s v="Male"/>
    <s v="Ahmedabad"/>
    <s v="Maharashtra"/>
    <d v="2023-01-27T00:00:00"/>
    <d v="2023-01-28T00:00:00"/>
    <x v="2"/>
    <s v="Electronics"/>
    <n v="2"/>
    <n v="42109.716287215415"/>
    <n v="15"/>
    <x v="3"/>
    <s v="Karan"/>
    <x v="1"/>
    <s v="Missing"/>
    <s v="6556382119"/>
    <x v="0"/>
    <s v="Bad"/>
    <n v="335"/>
    <s v="Returned"/>
    <n v="71586.517688266205"/>
    <n v="1"/>
    <x v="0"/>
    <x v="0"/>
  </r>
  <r>
    <x v="434"/>
    <x v="14"/>
    <n v="22"/>
    <s v="Female"/>
    <s v="Ludhiana"/>
    <s v="Gujarat"/>
    <d v="2023-12-17T00:00:00"/>
    <d v="2023-12-24T00:00:00"/>
    <x v="3"/>
    <s v="Electronics"/>
    <n v="3"/>
    <n v="24296"/>
    <n v="0"/>
    <x v="2"/>
    <s v="Neha"/>
    <x v="0"/>
    <s v="rohitgupta@gmail.com"/>
    <s v="6839073392"/>
    <x v="3"/>
    <s v="Good"/>
    <n v="348"/>
    <s v="Cancelled"/>
    <n v="72888"/>
    <n v="7"/>
    <x v="11"/>
    <x v="0"/>
  </r>
  <r>
    <x v="435"/>
    <x v="68"/>
    <n v="27"/>
    <s v="Female"/>
    <s v="Pune"/>
    <s v="Punjab"/>
    <d v="2023-10-17T00:00:00"/>
    <d v="2023-10-23T00:00:00"/>
    <x v="1"/>
    <s v="Accessories"/>
    <n v="3"/>
    <n v="45493"/>
    <n v="0"/>
    <x v="2"/>
    <s v="Rahul"/>
    <x v="3"/>
    <s v="poojasingh@gmail.com"/>
    <s v="7824754387"/>
    <x v="2"/>
    <s v="Excellent"/>
    <n v="367"/>
    <s v="Delivered"/>
    <n v="136479"/>
    <n v="6"/>
    <x v="5"/>
    <x v="0"/>
  </r>
  <r>
    <x v="436"/>
    <x v="53"/>
    <n v="33"/>
    <s v="Male"/>
    <s v="Mumbai"/>
    <s v="Punjab"/>
    <d v="2024-08-25T00:00:00"/>
    <d v="2024-09-03T00:00:00"/>
    <x v="3"/>
    <s v="Electronics"/>
    <n v="1"/>
    <n v="28806"/>
    <n v="15"/>
    <x v="1"/>
    <s v="Rahul"/>
    <x v="1"/>
    <s v="nehasharma@gmail.com"/>
    <s v="6662067809"/>
    <x v="1"/>
    <s v="Bad"/>
    <n v="83"/>
    <s v="Delivered"/>
    <n v="24485.1"/>
    <n v="9"/>
    <x v="3"/>
    <x v="1"/>
  </r>
  <r>
    <x v="437"/>
    <x v="42"/>
    <n v="21"/>
    <s v="Male"/>
    <s v="Pune"/>
    <s v="Punjab"/>
    <d v="2024-08-24T00:00:00"/>
    <d v="2024-08-30T00:00:00"/>
    <x v="4"/>
    <s v="Electronics"/>
    <n v="2.9447852760736195"/>
    <n v="78904"/>
    <n v="5"/>
    <x v="3"/>
    <s v="Karan"/>
    <x v="3"/>
    <s v="Missing"/>
    <s v="9705993123"/>
    <x v="1"/>
    <s v="Average"/>
    <n v="237"/>
    <s v="Returned"/>
    <n v="220737.57055214723"/>
    <n v="6"/>
    <x v="3"/>
    <x v="1"/>
  </r>
  <r>
    <x v="438"/>
    <x v="97"/>
    <n v="38"/>
    <s v="Female"/>
    <s v="Jaipur"/>
    <s v="Rajasthan"/>
    <d v="2023-06-12T00:00:00"/>
    <d v="2023-06-19T00:00:00"/>
    <x v="1"/>
    <s v="Electronics"/>
    <n v="5"/>
    <n v="18711"/>
    <n v="10"/>
    <x v="1"/>
    <s v="Amit"/>
    <x v="2"/>
    <s v="vikasjoshi@gmail.com"/>
    <s v="7009215178"/>
    <x v="3"/>
    <s v="Good"/>
    <n v="301"/>
    <s v="Returned"/>
    <n v="84199.5"/>
    <n v="7"/>
    <x v="9"/>
    <x v="0"/>
  </r>
  <r>
    <x v="439"/>
    <x v="49"/>
    <n v="25"/>
    <s v="Female"/>
    <s v="Ahmedabad"/>
    <s v="Gujarat"/>
    <d v="2024-07-09T00:00:00"/>
    <d v="2024-07-10T00:00:00"/>
    <x v="5"/>
    <s v="Accessories"/>
    <n v="3"/>
    <n v="9820"/>
    <n v="0"/>
    <x v="0"/>
    <s v="Sneha"/>
    <x v="3"/>
    <s v="vikaskumar@gmail.com"/>
    <s v="7688454041"/>
    <x v="4"/>
    <s v="Average"/>
    <n v="215"/>
    <s v="Returned"/>
    <n v="29460"/>
    <n v="1"/>
    <x v="4"/>
    <x v="1"/>
  </r>
  <r>
    <x v="440"/>
    <x v="13"/>
    <n v="57"/>
    <s v="Female"/>
    <s v="Ludhiana"/>
    <s v="Rajasthan"/>
    <d v="2024-11-13T00:00:00"/>
    <d v="2024-11-17T00:00:00"/>
    <x v="5"/>
    <s v="Electronics"/>
    <n v="2.9447852760736195"/>
    <n v="64087"/>
    <n v="0"/>
    <x v="2"/>
    <s v="Neha"/>
    <x v="2"/>
    <s v="priyayadav@gmail.com"/>
    <s v="7319552904"/>
    <x v="0"/>
    <s v="Good"/>
    <n v="356"/>
    <s v="Returned"/>
    <n v="188722.45398773006"/>
    <n v="4"/>
    <x v="7"/>
    <x v="1"/>
  </r>
  <r>
    <x v="441"/>
    <x v="73"/>
    <n v="25"/>
    <s v="Male"/>
    <s v="Chandigarh"/>
    <s v="Gujarat"/>
    <d v="2023-03-21T00:00:00"/>
    <d v="2023-03-23T00:00:00"/>
    <x v="3"/>
    <s v="Electronics"/>
    <n v="2.9447852760736195"/>
    <n v="61744"/>
    <n v="15"/>
    <x v="3"/>
    <s v="Karan"/>
    <x v="3"/>
    <s v="priyaagarwal@gmail.com"/>
    <s v="9560028712"/>
    <x v="0"/>
    <s v="Excellent"/>
    <n v="355"/>
    <s v="Delivered"/>
    <n v="154549.39877300611"/>
    <n v="2"/>
    <x v="10"/>
    <x v="0"/>
  </r>
  <r>
    <x v="442"/>
    <x v="4"/>
    <n v="57"/>
    <s v="Male"/>
    <s v="Amritsar"/>
    <s v="Rajasthan"/>
    <d v="2024-09-12T00:00:00"/>
    <d v="2024-09-18T00:00:00"/>
    <x v="2"/>
    <s v="Electronics"/>
    <n v="2"/>
    <n v="29169"/>
    <n v="5"/>
    <x v="3"/>
    <s v="Pooja"/>
    <x v="2"/>
    <s v="rahulyadav@gmail.com"/>
    <s v="7796758690"/>
    <x v="4"/>
    <s v="Average"/>
    <n v="255"/>
    <s v="Cancelled"/>
    <n v="55421.1"/>
    <n v="6"/>
    <x v="2"/>
    <x v="1"/>
  </r>
  <r>
    <x v="443"/>
    <x v="46"/>
    <n v="21"/>
    <s v="Female"/>
    <s v="Chandigarh"/>
    <s v="Maharashtra"/>
    <d v="2023-11-29T00:00:00"/>
    <d v="2023-12-06T00:00:00"/>
    <x v="0"/>
    <s v="Accessories"/>
    <n v="1"/>
    <n v="26130"/>
    <n v="15"/>
    <x v="3"/>
    <s v="Pooja"/>
    <x v="1"/>
    <s v="rohityadav@gmail.com"/>
    <s v="7716348834"/>
    <x v="3"/>
    <s v="Excellent"/>
    <n v="162"/>
    <s v="Cancelled"/>
    <n v="22210.5"/>
    <n v="7"/>
    <x v="7"/>
    <x v="0"/>
  </r>
  <r>
    <x v="444"/>
    <x v="39"/>
    <n v="55"/>
    <s v="Female"/>
    <s v="Pune"/>
    <s v="Maharashtra"/>
    <d v="2023-09-01T00:00:00"/>
    <d v="2023-09-04T00:00:00"/>
    <x v="4"/>
    <s v="Accessories"/>
    <n v="3"/>
    <n v="8712"/>
    <n v="0"/>
    <x v="2"/>
    <s v="Pooja"/>
    <x v="0"/>
    <s v="rahulsingh@gmail.com"/>
    <s v="7066678731"/>
    <x v="2"/>
    <s v="Excellent"/>
    <n v="186"/>
    <s v="Returned"/>
    <n v="26136"/>
    <n v="3"/>
    <x v="2"/>
    <x v="0"/>
  </r>
  <r>
    <x v="445"/>
    <x v="63"/>
    <n v="26"/>
    <s v="Male"/>
    <s v="Pune"/>
    <s v="Punjab"/>
    <d v="2023-09-28T00:00:00"/>
    <d v="2023-09-30T00:00:00"/>
    <x v="2"/>
    <s v="Electronics"/>
    <n v="4"/>
    <n v="75718"/>
    <n v="5"/>
    <x v="2"/>
    <s v="Sneha"/>
    <x v="3"/>
    <s v="Missing"/>
    <s v="6691839578"/>
    <x v="3"/>
    <s v="Good"/>
    <n v="55"/>
    <s v="Cancelled"/>
    <n v="287728.39999999997"/>
    <n v="2"/>
    <x v="2"/>
    <x v="0"/>
  </r>
  <r>
    <x v="446"/>
    <x v="88"/>
    <n v="52"/>
    <s v="Female"/>
    <s v="Jaipur"/>
    <s v="Maharashtra"/>
    <d v="2024-04-30T00:00:00"/>
    <d v="2024-05-10T00:00:00"/>
    <x v="0"/>
    <s v="Accessories"/>
    <n v="3"/>
    <n v="6673"/>
    <n v="5"/>
    <x v="1"/>
    <s v="Karan"/>
    <x v="1"/>
    <s v="Missing"/>
    <s v="6522442947"/>
    <x v="2"/>
    <s v="Excellent"/>
    <n v="97"/>
    <s v="Delivered"/>
    <n v="19018.05"/>
    <n v="10"/>
    <x v="1"/>
    <x v="1"/>
  </r>
  <r>
    <x v="447"/>
    <x v="35"/>
    <n v="33"/>
    <s v="Female"/>
    <s v="Ludhiana"/>
    <s v="Rajasthan"/>
    <d v="2023-08-29T00:00:00"/>
    <d v="2023-09-05T00:00:00"/>
    <x v="2"/>
    <s v="Accessories"/>
    <n v="1"/>
    <n v="46163"/>
    <n v="5"/>
    <x v="1"/>
    <s v="Amit"/>
    <x v="3"/>
    <s v="Missing"/>
    <s v="8704132316"/>
    <x v="4"/>
    <s v="Good"/>
    <n v="451"/>
    <s v="Delivered"/>
    <n v="43854.85"/>
    <n v="7"/>
    <x v="3"/>
    <x v="0"/>
  </r>
  <r>
    <x v="448"/>
    <x v="98"/>
    <n v="52"/>
    <s v="Male"/>
    <s v="Pune"/>
    <s v="Gujarat"/>
    <d v="2024-04-03T00:00:00"/>
    <d v="2024-04-08T00:00:00"/>
    <x v="0"/>
    <s v="Accessories"/>
    <n v="1"/>
    <n v="42371"/>
    <n v="0"/>
    <x v="2"/>
    <s v="Sneha"/>
    <x v="0"/>
    <s v="vikassingh@gmail.com"/>
    <s v="8810639016"/>
    <x v="0"/>
    <s v="Excellent"/>
    <n v="164"/>
    <s v="Delivered"/>
    <n v="42371"/>
    <n v="5"/>
    <x v="1"/>
    <x v="1"/>
  </r>
  <r>
    <x v="449"/>
    <x v="5"/>
    <n v="41"/>
    <s v="Male"/>
    <s v="Pune"/>
    <s v="Maharashtra"/>
    <d v="2024-11-22T00:00:00"/>
    <d v="2024-12-01T00:00:00"/>
    <x v="0"/>
    <s v="Accessories"/>
    <n v="4"/>
    <n v="50804"/>
    <n v="5"/>
    <x v="1"/>
    <s v="Pooja"/>
    <x v="0"/>
    <s v="karanverma@gmail.com"/>
    <s v="9118036249"/>
    <x v="0"/>
    <s v="Good"/>
    <n v="323"/>
    <s v="Returned"/>
    <n v="193055.19999999998"/>
    <n v="9"/>
    <x v="7"/>
    <x v="1"/>
  </r>
  <r>
    <x v="450"/>
    <x v="32"/>
    <n v="27"/>
    <s v="Male"/>
    <s v="Ahmedabad"/>
    <s v="Maharashtra"/>
    <d v="2023-07-20T00:00:00"/>
    <d v="2023-07-24T00:00:00"/>
    <x v="4"/>
    <s v="Electronics"/>
    <n v="2.9447852760736195"/>
    <n v="21829"/>
    <n v="10"/>
    <x v="2"/>
    <s v="Rohit"/>
    <x v="0"/>
    <s v="rahuljoshi@gmail.com"/>
    <s v="8282971977"/>
    <x v="3"/>
    <s v="Bad"/>
    <n v="248"/>
    <s v="Cancelled"/>
    <n v="57853.546012269937"/>
    <n v="4"/>
    <x v="4"/>
    <x v="0"/>
  </r>
  <r>
    <x v="451"/>
    <x v="44"/>
    <n v="48"/>
    <s v="Male"/>
    <s v="Delhi"/>
    <s v="Maharashtra"/>
    <d v="2024-05-25T00:00:00"/>
    <d v="2024-05-28T00:00:00"/>
    <x v="3"/>
    <s v="Electronics"/>
    <n v="4"/>
    <n v="20425"/>
    <n v="10"/>
    <x v="1"/>
    <s v="Pooja"/>
    <x v="0"/>
    <s v="karanmehta@gmail.com"/>
    <s v="8610613512"/>
    <x v="2"/>
    <s v="Bad"/>
    <n v="160"/>
    <s v="Delivered"/>
    <n v="73530"/>
    <n v="3"/>
    <x v="6"/>
    <x v="1"/>
  </r>
  <r>
    <x v="452"/>
    <x v="40"/>
    <n v="47"/>
    <s v="Male"/>
    <s v="Jaipur"/>
    <s v="Gujarat"/>
    <d v="2024-05-15T00:00:00"/>
    <d v="2024-05-19T00:00:00"/>
    <x v="5"/>
    <s v="Electronics"/>
    <n v="2"/>
    <n v="14817"/>
    <n v="5"/>
    <x v="3"/>
    <s v="Rohit"/>
    <x v="2"/>
    <s v="amitagarwal@gmail.com"/>
    <s v="6233064587"/>
    <x v="1"/>
    <s v="Average"/>
    <n v="255"/>
    <s v="Cancelled"/>
    <n v="28152.3"/>
    <n v="4"/>
    <x v="6"/>
    <x v="1"/>
  </r>
  <r>
    <x v="453"/>
    <x v="18"/>
    <n v="37"/>
    <s v="Female"/>
    <s v="Ahmedabad"/>
    <s v="Delhi"/>
    <d v="2023-09-25T00:00:00"/>
    <d v="2023-10-04T00:00:00"/>
    <x v="3"/>
    <s v="Accessories"/>
    <n v="5"/>
    <n v="65200"/>
    <n v="5"/>
    <x v="0"/>
    <s v="Pooja"/>
    <x v="3"/>
    <s v="snehaagarwal@gmail.com"/>
    <s v="8680290874"/>
    <x v="3"/>
    <s v="Excellent"/>
    <n v="54"/>
    <s v="Returned"/>
    <n v="309700"/>
    <n v="9"/>
    <x v="2"/>
    <x v="0"/>
  </r>
  <r>
    <x v="454"/>
    <x v="74"/>
    <n v="43"/>
    <s v="Female"/>
    <s v="Mumbai"/>
    <s v="Rajasthan"/>
    <d v="2024-08-04T00:00:00"/>
    <d v="2024-08-06T00:00:00"/>
    <x v="4"/>
    <s v="Accessories"/>
    <n v="2"/>
    <n v="54481"/>
    <n v="15"/>
    <x v="3"/>
    <s v="Pooja"/>
    <x v="1"/>
    <s v="poojaverma@gmail.com"/>
    <s v="8975565494"/>
    <x v="0"/>
    <s v="Bad"/>
    <n v="206"/>
    <s v="Delivered"/>
    <n v="92617.7"/>
    <n v="2"/>
    <x v="3"/>
    <x v="1"/>
  </r>
  <r>
    <x v="455"/>
    <x v="3"/>
    <n v="34"/>
    <s v="Female"/>
    <s v="Ludhiana"/>
    <s v="Punjab"/>
    <d v="2024-01-03T00:00:00"/>
    <d v="2024-01-10T00:00:00"/>
    <x v="0"/>
    <s v="Electronics"/>
    <n v="2"/>
    <n v="33826"/>
    <n v="5"/>
    <x v="1"/>
    <s v="Amit"/>
    <x v="2"/>
    <s v="anjalipatel@gmail.com"/>
    <s v="9181317056"/>
    <x v="1"/>
    <s v="Bad"/>
    <n v="344"/>
    <s v="Returned"/>
    <n v="64269.399999999994"/>
    <n v="7"/>
    <x v="0"/>
    <x v="1"/>
  </r>
  <r>
    <x v="456"/>
    <x v="9"/>
    <n v="22"/>
    <s v="Male"/>
    <s v="Ludhiana"/>
    <s v="Maharashtra"/>
    <d v="2024-08-13T00:00:00"/>
    <d v="2024-08-20T00:00:00"/>
    <x v="0"/>
    <s v="Electronics"/>
    <n v="3"/>
    <n v="57854"/>
    <n v="10"/>
    <x v="1"/>
    <s v="Vikas"/>
    <x v="3"/>
    <s v="anjaligupta@gmail.com"/>
    <s v="9577473592"/>
    <x v="4"/>
    <s v="Good"/>
    <n v="399"/>
    <s v="Returned"/>
    <n v="156205.80000000002"/>
    <n v="7"/>
    <x v="3"/>
    <x v="1"/>
  </r>
  <r>
    <x v="457"/>
    <x v="45"/>
    <n v="31"/>
    <s v="Male"/>
    <s v="Amritsar"/>
    <s v="Maharashtra"/>
    <d v="2023-06-18T00:00:00"/>
    <d v="2023-06-19T00:00:00"/>
    <x v="1"/>
    <s v="Electronics"/>
    <n v="1"/>
    <n v="42109.716287215415"/>
    <n v="10"/>
    <x v="3"/>
    <s v="Vikas"/>
    <x v="3"/>
    <s v="Missing"/>
    <s v="9428267239"/>
    <x v="4"/>
    <s v="Excellent"/>
    <n v="458"/>
    <s v="Delivered"/>
    <n v="37898.744658493873"/>
    <n v="1"/>
    <x v="9"/>
    <x v="0"/>
  </r>
  <r>
    <x v="458"/>
    <x v="88"/>
    <n v="54"/>
    <s v="Male"/>
    <s v="Jaipur"/>
    <s v="Punjab"/>
    <d v="2024-11-01T00:00:00"/>
    <d v="2024-11-02T00:00:00"/>
    <x v="4"/>
    <s v="Accessories"/>
    <n v="2.9447852760736195"/>
    <n v="42063"/>
    <n v="15"/>
    <x v="0"/>
    <s v="Rahul"/>
    <x v="3"/>
    <s v="vikasmehta@gmail.com"/>
    <s v="6488411383"/>
    <x v="4"/>
    <s v="Excellent"/>
    <n v="129"/>
    <s v="Delivered"/>
    <n v="105286.52760736196"/>
    <n v="1"/>
    <x v="7"/>
    <x v="1"/>
  </r>
  <r>
    <x v="459"/>
    <x v="85"/>
    <n v="18"/>
    <s v="Male"/>
    <s v="Amritsar"/>
    <s v="Punjab"/>
    <d v="2023-01-16T00:00:00"/>
    <d v="2023-01-17T00:00:00"/>
    <x v="2"/>
    <s v="Electronics"/>
    <n v="4"/>
    <n v="13379"/>
    <n v="0"/>
    <x v="1"/>
    <s v="Rohit"/>
    <x v="3"/>
    <s v="rahulkumar@gmail.com"/>
    <s v="9560695004"/>
    <x v="4"/>
    <s v="Good"/>
    <n v="81"/>
    <s v="Cancelled"/>
    <n v="53516"/>
    <n v="1"/>
    <x v="0"/>
    <x v="0"/>
  </r>
  <r>
    <x v="460"/>
    <x v="26"/>
    <n v="18"/>
    <s v="Male"/>
    <s v="Pune"/>
    <s v="Gujarat"/>
    <d v="2023-07-01T00:00:00"/>
    <d v="2023-07-08T00:00:00"/>
    <x v="4"/>
    <s v="Electronics"/>
    <n v="5"/>
    <n v="39681"/>
    <n v="15"/>
    <x v="2"/>
    <s v="Rohit"/>
    <x v="3"/>
    <s v="karanjoshi@gmail.com"/>
    <s v="8081362819"/>
    <x v="4"/>
    <s v="Good"/>
    <n v="332"/>
    <s v="Delivered"/>
    <n v="168644.25"/>
    <n v="7"/>
    <x v="4"/>
    <x v="0"/>
  </r>
  <r>
    <x v="461"/>
    <x v="70"/>
    <n v="56"/>
    <s v="Male"/>
    <s v="Amritsar"/>
    <s v="Maharashtra"/>
    <d v="2024-06-07T00:00:00"/>
    <d v="2024-06-14T00:00:00"/>
    <x v="3"/>
    <s v="Accessories"/>
    <n v="1"/>
    <n v="47773"/>
    <n v="5"/>
    <x v="3"/>
    <s v="Sneha"/>
    <x v="2"/>
    <s v="amityadav@gmail.com"/>
    <s v="9916948981"/>
    <x v="1"/>
    <s v="Excellent"/>
    <n v="112"/>
    <s v="Cancelled"/>
    <n v="45384.35"/>
    <n v="7"/>
    <x v="9"/>
    <x v="1"/>
  </r>
  <r>
    <x v="462"/>
    <x v="58"/>
    <n v="36"/>
    <s v="Female"/>
    <s v="Chandigarh"/>
    <s v="Delhi"/>
    <d v="2023-01-13T00:00:00"/>
    <d v="2023-01-22T00:00:00"/>
    <x v="1"/>
    <s v="Electronics"/>
    <n v="1"/>
    <n v="5569"/>
    <n v="5"/>
    <x v="1"/>
    <s v="Priya"/>
    <x v="1"/>
    <s v="vikasgupta@gmail.com"/>
    <s v="Missing"/>
    <x v="3"/>
    <s v="Good"/>
    <n v="303"/>
    <s v="Cancelled"/>
    <n v="5290.55"/>
    <n v="9"/>
    <x v="0"/>
    <x v="0"/>
  </r>
  <r>
    <x v="463"/>
    <x v="58"/>
    <n v="34"/>
    <s v="Male"/>
    <s v="Jaipur"/>
    <s v="Maharashtra"/>
    <d v="2024-07-31T00:00:00"/>
    <d v="2024-08-04T00:00:00"/>
    <x v="1"/>
    <s v="Accessories"/>
    <n v="1"/>
    <n v="13127"/>
    <n v="10"/>
    <x v="0"/>
    <s v="Vikas"/>
    <x v="2"/>
    <s v="vikasgupta@gmail.com"/>
    <s v="7616708382"/>
    <x v="0"/>
    <s v="Bad"/>
    <n v="493"/>
    <s v="Cancelled"/>
    <n v="11814.300000000001"/>
    <n v="4"/>
    <x v="4"/>
    <x v="1"/>
  </r>
  <r>
    <x v="464"/>
    <x v="51"/>
    <n v="59"/>
    <s v="Female"/>
    <s v="Chandigarh"/>
    <s v="Punjab"/>
    <d v="2024-04-20T00:00:00"/>
    <d v="2024-04-27T00:00:00"/>
    <x v="2"/>
    <s v="Accessories"/>
    <n v="1"/>
    <n v="42044"/>
    <n v="0"/>
    <x v="1"/>
    <s v="Karan"/>
    <x v="3"/>
    <s v="priyaverma@gmail.com"/>
    <s v="7208243620"/>
    <x v="2"/>
    <s v="Average"/>
    <n v="397"/>
    <s v="Delivered"/>
    <n v="42044"/>
    <n v="7"/>
    <x v="1"/>
    <x v="1"/>
  </r>
  <r>
    <x v="465"/>
    <x v="50"/>
    <n v="43"/>
    <s v="Male"/>
    <s v="Jaipur"/>
    <s v="Rajasthan"/>
    <d v="2024-04-04T00:00:00"/>
    <d v="2024-04-07T00:00:00"/>
    <x v="5"/>
    <s v="Electronics"/>
    <n v="3"/>
    <n v="79740"/>
    <n v="5"/>
    <x v="1"/>
    <s v="Amit"/>
    <x v="2"/>
    <s v="amitkumar@gmail.com"/>
    <s v="6468813588"/>
    <x v="0"/>
    <s v="Excellent"/>
    <n v="162"/>
    <s v="Delivered"/>
    <n v="227259"/>
    <n v="3"/>
    <x v="1"/>
    <x v="1"/>
  </r>
  <r>
    <x v="466"/>
    <x v="41"/>
    <n v="57"/>
    <s v="Female"/>
    <s v="Amritsar"/>
    <s v="Rajasthan"/>
    <d v="2023-02-25T00:00:00"/>
    <d v="2023-02-26T00:00:00"/>
    <x v="3"/>
    <s v="Electronics"/>
    <n v="5"/>
    <n v="42109.716287215415"/>
    <n v="10"/>
    <x v="1"/>
    <s v="Karan"/>
    <x v="3"/>
    <s v="priyakumar@gmail.com"/>
    <s v="8097742295"/>
    <x v="3"/>
    <s v="Good"/>
    <n v="451"/>
    <s v="Cancelled"/>
    <n v="189493.72329246937"/>
    <n v="1"/>
    <x v="8"/>
    <x v="0"/>
  </r>
  <r>
    <x v="467"/>
    <x v="45"/>
    <n v="53"/>
    <s v="Male"/>
    <s v="Jaipur"/>
    <s v="Rajasthan"/>
    <d v="2023-05-03T00:00:00"/>
    <d v="2023-05-07T00:00:00"/>
    <x v="3"/>
    <s v="Accessories"/>
    <n v="1"/>
    <n v="12607"/>
    <n v="5"/>
    <x v="2"/>
    <s v="Amit"/>
    <x v="3"/>
    <s v="Missing"/>
    <s v="6821841098"/>
    <x v="1"/>
    <s v="Good"/>
    <n v="300"/>
    <s v="Cancelled"/>
    <n v="11976.65"/>
    <n v="4"/>
    <x v="6"/>
    <x v="0"/>
  </r>
  <r>
    <x v="468"/>
    <x v="52"/>
    <n v="22"/>
    <s v="Male"/>
    <s v="Jaipur"/>
    <s v="Rajasthan"/>
    <d v="2023-12-23T00:00:00"/>
    <d v="2023-12-30T00:00:00"/>
    <x v="3"/>
    <s v="Electronics"/>
    <n v="3"/>
    <n v="29894"/>
    <n v="5"/>
    <x v="2"/>
    <s v="Pooja"/>
    <x v="3"/>
    <s v="rohitsharma@gmail.com"/>
    <s v="9303230881"/>
    <x v="3"/>
    <s v="Good"/>
    <n v="350"/>
    <s v="Cancelled"/>
    <n v="85197.9"/>
    <n v="7"/>
    <x v="11"/>
    <x v="0"/>
  </r>
  <r>
    <x v="469"/>
    <x v="31"/>
    <n v="26"/>
    <s v="Female"/>
    <s v="Chandigarh"/>
    <s v="Delhi"/>
    <d v="2024-04-06T00:00:00"/>
    <d v="2024-04-10T00:00:00"/>
    <x v="3"/>
    <s v="Accessories"/>
    <n v="2"/>
    <n v="55628"/>
    <n v="10"/>
    <x v="3"/>
    <s v="Anjali"/>
    <x v="2"/>
    <s v="Missing"/>
    <s v="8362323895"/>
    <x v="2"/>
    <s v="Average"/>
    <n v="87"/>
    <s v="Delivered"/>
    <n v="100130.40000000001"/>
    <n v="4"/>
    <x v="1"/>
    <x v="1"/>
  </r>
  <r>
    <x v="470"/>
    <x v="69"/>
    <n v="25"/>
    <s v="Female"/>
    <s v="Jaipur"/>
    <s v="Delhi"/>
    <d v="2023-04-21T00:00:00"/>
    <d v="2023-04-24T00:00:00"/>
    <x v="5"/>
    <s v="Accessories"/>
    <n v="5"/>
    <n v="38562"/>
    <n v="5"/>
    <x v="2"/>
    <s v="Pooja"/>
    <x v="0"/>
    <s v="karanpatel@gmail.com"/>
    <s v="8480137033"/>
    <x v="2"/>
    <s v="Excellent"/>
    <n v="76"/>
    <s v="Returned"/>
    <n v="183169.5"/>
    <n v="3"/>
    <x v="1"/>
    <x v="0"/>
  </r>
  <r>
    <x v="471"/>
    <x v="89"/>
    <n v="55"/>
    <s v="Male"/>
    <s v="Delhi"/>
    <s v="Rajasthan"/>
    <d v="2023-07-19T00:00:00"/>
    <d v="2023-07-23T00:00:00"/>
    <x v="2"/>
    <s v="Accessories"/>
    <n v="1"/>
    <n v="26356"/>
    <n v="10"/>
    <x v="0"/>
    <s v="Karan"/>
    <x v="2"/>
    <s v="rohitagarwal@gmail.com"/>
    <s v="7777966575"/>
    <x v="0"/>
    <s v="Good"/>
    <n v="493"/>
    <s v="Cancelled"/>
    <n v="23720.400000000001"/>
    <n v="4"/>
    <x v="4"/>
    <x v="0"/>
  </r>
  <r>
    <x v="472"/>
    <x v="70"/>
    <n v="41"/>
    <s v="Male"/>
    <s v="Delhi"/>
    <s v="Rajasthan"/>
    <d v="2024-11-13T00:00:00"/>
    <d v="2024-11-17T00:00:00"/>
    <x v="2"/>
    <s v="Accessories"/>
    <n v="1"/>
    <n v="24389"/>
    <n v="10"/>
    <x v="2"/>
    <s v="Pooja"/>
    <x v="3"/>
    <s v="amityadav@gmail.com"/>
    <s v="7874625762"/>
    <x v="1"/>
    <s v="Good"/>
    <n v="282"/>
    <s v="Returned"/>
    <n v="21950.100000000002"/>
    <n v="4"/>
    <x v="7"/>
    <x v="1"/>
  </r>
  <r>
    <x v="473"/>
    <x v="21"/>
    <n v="52"/>
    <s v="Female"/>
    <s v="Ahmedabad"/>
    <s v="Punjab"/>
    <d v="2023-01-24T00:00:00"/>
    <d v="2023-02-02T00:00:00"/>
    <x v="5"/>
    <s v="Electronics"/>
    <n v="1"/>
    <n v="42416"/>
    <n v="10"/>
    <x v="3"/>
    <s v="Karan"/>
    <x v="1"/>
    <s v="karansingh@gmail.com"/>
    <s v="8905697174"/>
    <x v="3"/>
    <s v="Average"/>
    <n v="58"/>
    <s v="Cancelled"/>
    <n v="38174.400000000001"/>
    <n v="9"/>
    <x v="0"/>
    <x v="0"/>
  </r>
  <r>
    <x v="474"/>
    <x v="93"/>
    <n v="54"/>
    <s v="Female"/>
    <s v="Ahmedabad"/>
    <s v="Punjab"/>
    <d v="2023-11-28T00:00:00"/>
    <d v="2023-11-30T00:00:00"/>
    <x v="2"/>
    <s v="Accessories"/>
    <n v="4"/>
    <n v="60750"/>
    <n v="10"/>
    <x v="1"/>
    <s v="Pooja"/>
    <x v="0"/>
    <s v="karangupta@gmail.com"/>
    <s v="6917640171"/>
    <x v="3"/>
    <s v="Excellent"/>
    <n v="481"/>
    <s v="Delivered"/>
    <n v="218700"/>
    <n v="2"/>
    <x v="7"/>
    <x v="0"/>
  </r>
  <r>
    <x v="475"/>
    <x v="8"/>
    <n v="26"/>
    <s v="Female"/>
    <s v="Pune"/>
    <s v="Delhi"/>
    <d v="2024-05-27T00:00:00"/>
    <d v="2024-05-28T00:00:00"/>
    <x v="5"/>
    <s v="Accessories"/>
    <n v="3"/>
    <n v="47792"/>
    <n v="5"/>
    <x v="0"/>
    <s v="Pooja"/>
    <x v="0"/>
    <s v="priyamehta@gmail.com"/>
    <s v="9857495427"/>
    <x v="1"/>
    <s v="Excellent"/>
    <n v="136"/>
    <s v="Returned"/>
    <n v="136207.19999999998"/>
    <n v="1"/>
    <x v="6"/>
    <x v="1"/>
  </r>
  <r>
    <x v="476"/>
    <x v="60"/>
    <n v="19"/>
    <s v="Male"/>
    <s v="Jaipur"/>
    <s v="Gujarat"/>
    <d v="2023-01-09T00:00:00"/>
    <d v="2023-01-14T00:00:00"/>
    <x v="0"/>
    <s v="Accessories"/>
    <n v="3"/>
    <n v="5214"/>
    <n v="10"/>
    <x v="2"/>
    <s v="Neha"/>
    <x v="2"/>
    <s v="amitsharma@gmail.com"/>
    <s v="7826605321"/>
    <x v="3"/>
    <s v="Bad"/>
    <n v="492"/>
    <s v="Delivered"/>
    <n v="14077.800000000001"/>
    <n v="5"/>
    <x v="0"/>
    <x v="0"/>
  </r>
  <r>
    <x v="477"/>
    <x v="66"/>
    <n v="47"/>
    <s v="Female"/>
    <s v="Amritsar"/>
    <s v="Gujarat"/>
    <d v="2024-04-09T00:00:00"/>
    <d v="2024-04-14T00:00:00"/>
    <x v="3"/>
    <s v="Accessories"/>
    <n v="4"/>
    <n v="65267"/>
    <n v="5"/>
    <x v="2"/>
    <s v="Amit"/>
    <x v="1"/>
    <s v="nehasingh@gmail.com"/>
    <s v="7619823572"/>
    <x v="1"/>
    <s v="Average"/>
    <n v="226"/>
    <s v="Returned"/>
    <n v="248014.59999999998"/>
    <n v="5"/>
    <x v="1"/>
    <x v="1"/>
  </r>
  <r>
    <x v="478"/>
    <x v="77"/>
    <n v="28"/>
    <s v="Male"/>
    <s v="Amritsar"/>
    <s v="Maharashtra"/>
    <d v="2023-06-08T00:00:00"/>
    <d v="2023-06-12T00:00:00"/>
    <x v="4"/>
    <s v="Electronics"/>
    <n v="1"/>
    <n v="62623"/>
    <n v="15"/>
    <x v="0"/>
    <s v="Amit"/>
    <x v="0"/>
    <s v="rohitkumar@gmail.com"/>
    <s v="8361317878"/>
    <x v="0"/>
    <s v="Excellent"/>
    <n v="414"/>
    <s v="Delivered"/>
    <n v="53229.549999999996"/>
    <n v="4"/>
    <x v="9"/>
    <x v="0"/>
  </r>
  <r>
    <x v="479"/>
    <x v="32"/>
    <n v="40"/>
    <s v="Male"/>
    <s v="Chandigarh"/>
    <s v="Rajasthan"/>
    <d v="2024-09-07T00:00:00"/>
    <d v="2024-09-10T00:00:00"/>
    <x v="0"/>
    <s v="Accessories"/>
    <n v="5"/>
    <n v="36332"/>
    <n v="5"/>
    <x v="1"/>
    <s v="Sneha"/>
    <x v="2"/>
    <s v="rahuljoshi@gmail.com"/>
    <s v="Missing"/>
    <x v="2"/>
    <s v="Average"/>
    <n v="137"/>
    <s v="Returned"/>
    <n v="172577"/>
    <n v="3"/>
    <x v="2"/>
    <x v="1"/>
  </r>
  <r>
    <x v="480"/>
    <x v="42"/>
    <n v="50"/>
    <s v="Male"/>
    <s v="Ludhiana"/>
    <s v="Punjab"/>
    <d v="2024-08-24T00:00:00"/>
    <d v="2024-09-01T00:00:00"/>
    <x v="1"/>
    <s v="Electronics"/>
    <n v="1"/>
    <n v="56891"/>
    <n v="10"/>
    <x v="2"/>
    <s v="Anjali"/>
    <x v="1"/>
    <s v="rahulgupta@gmail.com"/>
    <s v="8204498277"/>
    <x v="2"/>
    <s v="Bad"/>
    <n v="278"/>
    <s v="Delivered"/>
    <n v="51201.9"/>
    <n v="8"/>
    <x v="3"/>
    <x v="1"/>
  </r>
  <r>
    <x v="481"/>
    <x v="8"/>
    <n v="59"/>
    <s v="Male"/>
    <s v="Ludhiana"/>
    <s v="Gujarat"/>
    <d v="2024-10-02T00:00:00"/>
    <d v="2024-10-12T00:00:00"/>
    <x v="1"/>
    <s v="Electronics"/>
    <n v="2"/>
    <n v="63305"/>
    <n v="0"/>
    <x v="0"/>
    <s v="Pooja"/>
    <x v="1"/>
    <s v="priyamehta@gmail.com"/>
    <s v="Missing"/>
    <x v="1"/>
    <s v="Good"/>
    <n v="67"/>
    <s v="Returned"/>
    <n v="126610"/>
    <n v="10"/>
    <x v="5"/>
    <x v="1"/>
  </r>
  <r>
    <x v="482"/>
    <x v="98"/>
    <n v="19"/>
    <s v="Male"/>
    <s v="Amritsar"/>
    <s v="Rajasthan"/>
    <d v="2024-07-21T00:00:00"/>
    <d v="2024-07-30T00:00:00"/>
    <x v="3"/>
    <s v="Electronics"/>
    <n v="2"/>
    <n v="75304"/>
    <n v="5"/>
    <x v="0"/>
    <s v="Sneha"/>
    <x v="0"/>
    <s v="vikassingh@gmail.com"/>
    <s v="6895350321"/>
    <x v="3"/>
    <s v="Good"/>
    <n v="201"/>
    <s v="Cancelled"/>
    <n v="143077.6"/>
    <n v="9"/>
    <x v="4"/>
    <x v="1"/>
  </r>
  <r>
    <x v="483"/>
    <x v="9"/>
    <n v="26"/>
    <s v="Male"/>
    <s v="Chandigarh"/>
    <s v="Punjab"/>
    <d v="2024-01-12T00:00:00"/>
    <d v="2024-01-21T00:00:00"/>
    <x v="4"/>
    <s v="Electronics"/>
    <n v="4"/>
    <n v="42055"/>
    <n v="0"/>
    <x v="1"/>
    <s v="Anjali"/>
    <x v="2"/>
    <s v="anjaligupta@gmail.com"/>
    <s v="Missing"/>
    <x v="3"/>
    <s v="Bad"/>
    <n v="432"/>
    <s v="Returned"/>
    <n v="168220"/>
    <n v="9"/>
    <x v="0"/>
    <x v="1"/>
  </r>
  <r>
    <x v="484"/>
    <x v="69"/>
    <n v="53"/>
    <s v="Female"/>
    <s v="Ahmedabad"/>
    <s v="Maharashtra"/>
    <d v="2023-08-15T00:00:00"/>
    <d v="2023-08-16T00:00:00"/>
    <x v="1"/>
    <s v="Accessories"/>
    <n v="3"/>
    <n v="54549"/>
    <n v="5"/>
    <x v="2"/>
    <s v="Pooja"/>
    <x v="1"/>
    <s v="karanpatel@gmail.com"/>
    <s v="9495298740"/>
    <x v="2"/>
    <s v="Excellent"/>
    <n v="391"/>
    <s v="Delivered"/>
    <n v="155464.65"/>
    <n v="1"/>
    <x v="3"/>
    <x v="0"/>
  </r>
  <r>
    <x v="485"/>
    <x v="47"/>
    <n v="22"/>
    <s v="Female"/>
    <s v="Ludhiana"/>
    <s v="Delhi"/>
    <d v="2024-11-26T00:00:00"/>
    <d v="2024-12-02T00:00:00"/>
    <x v="2"/>
    <s v="Accessories"/>
    <n v="2"/>
    <n v="55556"/>
    <n v="10"/>
    <x v="2"/>
    <s v="Vikas"/>
    <x v="0"/>
    <s v="nehaagarwal@gmail.com"/>
    <s v="6471484050"/>
    <x v="0"/>
    <s v="Bad"/>
    <n v="452"/>
    <s v="Delivered"/>
    <n v="100000.8"/>
    <n v="6"/>
    <x v="7"/>
    <x v="1"/>
  </r>
  <r>
    <x v="486"/>
    <x v="99"/>
    <n v="37"/>
    <s v="Female"/>
    <s v="Delhi"/>
    <s v="Rajasthan"/>
    <d v="2024-08-14T00:00:00"/>
    <d v="2024-08-23T00:00:00"/>
    <x v="1"/>
    <s v="Electronics"/>
    <n v="3"/>
    <n v="22407"/>
    <n v="10"/>
    <x v="2"/>
    <s v="Amit"/>
    <x v="2"/>
    <s v="snehaverma@gmail.com"/>
    <s v="9885726031"/>
    <x v="0"/>
    <s v="Excellent"/>
    <n v="236"/>
    <s v="Delivered"/>
    <n v="60498.9"/>
    <n v="9"/>
    <x v="3"/>
    <x v="1"/>
  </r>
  <r>
    <x v="487"/>
    <x v="10"/>
    <n v="49"/>
    <s v="Female"/>
    <s v="Ahmedabad"/>
    <s v="Maharashtra"/>
    <d v="2023-08-20T00:00:00"/>
    <d v="2023-08-24T00:00:00"/>
    <x v="4"/>
    <s v="Accessories"/>
    <n v="2"/>
    <n v="63500"/>
    <n v="10"/>
    <x v="2"/>
    <s v="Karan"/>
    <x v="3"/>
    <s v="anjalimehta@gmail.com"/>
    <s v="Missing"/>
    <x v="1"/>
    <s v="Good"/>
    <n v="154"/>
    <s v="Returned"/>
    <n v="114300"/>
    <n v="4"/>
    <x v="3"/>
    <x v="0"/>
  </r>
  <r>
    <x v="488"/>
    <x v="56"/>
    <n v="48"/>
    <s v="Female"/>
    <s v="Mumbai"/>
    <s v="Gujarat"/>
    <d v="2024-08-04T00:00:00"/>
    <d v="2024-08-13T00:00:00"/>
    <x v="5"/>
    <s v="Electronics"/>
    <n v="2"/>
    <n v="42109.716287215415"/>
    <n v="15"/>
    <x v="0"/>
    <s v="Pooja"/>
    <x v="3"/>
    <s v="anjalisharma@gmail.com"/>
    <s v="7922245740"/>
    <x v="0"/>
    <s v="Bad"/>
    <n v="494"/>
    <s v="Cancelled"/>
    <n v="71586.517688266205"/>
    <n v="9"/>
    <x v="3"/>
    <x v="1"/>
  </r>
  <r>
    <x v="489"/>
    <x v="77"/>
    <n v="19"/>
    <s v="Male"/>
    <s v="Amritsar"/>
    <s v="Punjab"/>
    <d v="2023-04-15T00:00:00"/>
    <d v="2023-04-20T00:00:00"/>
    <x v="1"/>
    <s v="Accessories"/>
    <n v="1"/>
    <n v="65125"/>
    <n v="15"/>
    <x v="3"/>
    <s v="Sneha"/>
    <x v="3"/>
    <s v="rohitkumar@gmail.com"/>
    <s v="9209060616"/>
    <x v="1"/>
    <s v="Bad"/>
    <n v="107"/>
    <s v="Cancelled"/>
    <n v="55356.25"/>
    <n v="5"/>
    <x v="1"/>
    <x v="0"/>
  </r>
  <r>
    <x v="490"/>
    <x v="77"/>
    <n v="23"/>
    <s v="Male"/>
    <s v="Delhi"/>
    <s v="Gujarat"/>
    <d v="2023-09-16T00:00:00"/>
    <d v="2023-09-26T00:00:00"/>
    <x v="3"/>
    <s v="Electronics"/>
    <n v="3"/>
    <n v="31408"/>
    <n v="0"/>
    <x v="2"/>
    <s v="Sneha"/>
    <x v="3"/>
    <s v="rohitkumar@gmail.com"/>
    <s v="6909649166"/>
    <x v="1"/>
    <s v="Average"/>
    <n v="313"/>
    <s v="Returned"/>
    <n v="94224"/>
    <n v="10"/>
    <x v="2"/>
    <x v="0"/>
  </r>
  <r>
    <x v="491"/>
    <x v="65"/>
    <n v="49"/>
    <s v="Female"/>
    <s v="Delhi"/>
    <s v="Maharashtra"/>
    <d v="2024-01-14T00:00:00"/>
    <d v="2024-01-15T00:00:00"/>
    <x v="4"/>
    <s v="Electronics"/>
    <n v="2"/>
    <n v="24972"/>
    <n v="10"/>
    <x v="2"/>
    <s v="Rohit"/>
    <x v="0"/>
    <s v="Missing"/>
    <s v="6031133762"/>
    <x v="2"/>
    <s v="Average"/>
    <n v="291"/>
    <s v="Cancelled"/>
    <n v="44949.599999999999"/>
    <n v="1"/>
    <x v="0"/>
    <x v="1"/>
  </r>
  <r>
    <x v="492"/>
    <x v="10"/>
    <n v="33"/>
    <s v="Female"/>
    <s v="Pune"/>
    <s v="Punjab"/>
    <d v="2024-05-24T00:00:00"/>
    <d v="2024-06-03T00:00:00"/>
    <x v="5"/>
    <s v="Accessories"/>
    <n v="4"/>
    <n v="6821"/>
    <n v="5"/>
    <x v="1"/>
    <s v="Neha"/>
    <x v="3"/>
    <s v="Missing"/>
    <s v="9854825628"/>
    <x v="2"/>
    <s v="Excellent"/>
    <n v="292"/>
    <s v="Cancelled"/>
    <n v="25919.8"/>
    <n v="10"/>
    <x v="6"/>
    <x v="1"/>
  </r>
  <r>
    <x v="493"/>
    <x v="38"/>
    <n v="42"/>
    <s v="Male"/>
    <s v="Pune"/>
    <s v="Punjab"/>
    <d v="2024-08-24T00:00:00"/>
    <d v="2024-09-02T00:00:00"/>
    <x v="3"/>
    <s v="Accessories"/>
    <n v="2"/>
    <n v="24014"/>
    <n v="10"/>
    <x v="2"/>
    <s v="Rohit"/>
    <x v="3"/>
    <s v="karansharma@gmail.com"/>
    <s v="8926061464"/>
    <x v="4"/>
    <s v="Average"/>
    <n v="353"/>
    <s v="Returned"/>
    <n v="43225.200000000004"/>
    <n v="9"/>
    <x v="3"/>
    <x v="1"/>
  </r>
  <r>
    <x v="494"/>
    <x v="35"/>
    <n v="27"/>
    <s v="Male"/>
    <s v="Jaipur"/>
    <s v="Maharashtra"/>
    <d v="2023-01-26T00:00:00"/>
    <d v="2023-01-27T00:00:00"/>
    <x v="5"/>
    <s v="Accessories"/>
    <n v="3"/>
    <n v="56384"/>
    <n v="5"/>
    <x v="3"/>
    <s v="Anjali"/>
    <x v="3"/>
    <s v="Missing"/>
    <s v="6126798864"/>
    <x v="1"/>
    <s v="Bad"/>
    <n v="484"/>
    <s v="Returned"/>
    <n v="160694.39999999999"/>
    <n v="1"/>
    <x v="0"/>
    <x v="0"/>
  </r>
  <r>
    <x v="495"/>
    <x v="55"/>
    <n v="25"/>
    <s v="Female"/>
    <s v="Ludhiana"/>
    <s v="Punjab"/>
    <d v="2023-03-11T00:00:00"/>
    <d v="2023-03-13T00:00:00"/>
    <x v="0"/>
    <s v="Accessories"/>
    <n v="2"/>
    <n v="13507"/>
    <n v="15"/>
    <x v="1"/>
    <s v="Pooja"/>
    <x v="3"/>
    <s v="amitverma@gmail.com"/>
    <s v="8928244214"/>
    <x v="0"/>
    <s v="Average"/>
    <n v="407"/>
    <s v="Returned"/>
    <n v="22961.899999999998"/>
    <n v="2"/>
    <x v="10"/>
    <x v="0"/>
  </r>
  <r>
    <x v="496"/>
    <x v="12"/>
    <n v="47"/>
    <s v="Male"/>
    <s v="Delhi"/>
    <s v="Punjab"/>
    <d v="2024-04-24T00:00:00"/>
    <d v="2024-05-04T00:00:00"/>
    <x v="4"/>
    <s v="Accessories"/>
    <n v="4"/>
    <n v="12509"/>
    <n v="0"/>
    <x v="2"/>
    <s v="Rahul"/>
    <x v="3"/>
    <s v="snehasingh@gmail.com"/>
    <s v="6609782652"/>
    <x v="0"/>
    <s v="Good"/>
    <n v="59"/>
    <s v="Returned"/>
    <n v="50036"/>
    <n v="10"/>
    <x v="1"/>
    <x v="1"/>
  </r>
  <r>
    <x v="497"/>
    <x v="80"/>
    <n v="55"/>
    <s v="Female"/>
    <s v="Mumbai"/>
    <s v="Punjab"/>
    <d v="2024-09-03T00:00:00"/>
    <d v="2024-09-06T00:00:00"/>
    <x v="4"/>
    <s v="Electronics"/>
    <n v="3"/>
    <n v="74858"/>
    <n v="10"/>
    <x v="0"/>
    <s v="Vikas"/>
    <x v="3"/>
    <s v="rahulagarwal@gmail.com"/>
    <s v="7583398065"/>
    <x v="4"/>
    <s v="Average"/>
    <n v="109"/>
    <s v="Delivered"/>
    <n v="202116.6"/>
    <n v="3"/>
    <x v="2"/>
    <x v="1"/>
  </r>
  <r>
    <x v="498"/>
    <x v="79"/>
    <n v="45"/>
    <s v="Female"/>
    <s v="Chandigarh"/>
    <s v="Delhi"/>
    <d v="2024-03-26T00:00:00"/>
    <d v="2024-03-28T00:00:00"/>
    <x v="0"/>
    <s v="Electronics"/>
    <n v="2"/>
    <n v="21836"/>
    <n v="15"/>
    <x v="1"/>
    <s v="Priya"/>
    <x v="0"/>
    <s v="Missing"/>
    <s v="Missing"/>
    <x v="2"/>
    <s v="Average"/>
    <n v="189"/>
    <s v="Delivered"/>
    <n v="37121.199999999997"/>
    <n v="2"/>
    <x v="10"/>
    <x v="1"/>
  </r>
  <r>
    <x v="499"/>
    <x v="27"/>
    <n v="45"/>
    <s v="Female"/>
    <s v="Amritsar"/>
    <s v="Punjab"/>
    <d v="2023-02-22T00:00:00"/>
    <d v="2023-03-01T00:00:00"/>
    <x v="2"/>
    <s v="Accessories"/>
    <n v="4"/>
    <n v="64333"/>
    <n v="5"/>
    <x v="0"/>
    <s v="Vikas"/>
    <x v="2"/>
    <s v="priyasharma@gmail.com"/>
    <s v="9763703378"/>
    <x v="3"/>
    <s v="Average"/>
    <n v="81"/>
    <s v="Cancelled"/>
    <n v="244465.4"/>
    <n v="7"/>
    <x v="8"/>
    <x v="0"/>
  </r>
  <r>
    <x v="500"/>
    <x v="27"/>
    <n v="28"/>
    <s v="Male"/>
    <s v="Jaipur"/>
    <s v="Punjab"/>
    <d v="2023-07-12T00:00:00"/>
    <d v="2023-07-14T00:00:00"/>
    <x v="1"/>
    <s v="Accessories"/>
    <n v="2"/>
    <n v="64192"/>
    <n v="10"/>
    <x v="3"/>
    <s v="Rahul"/>
    <x v="1"/>
    <s v="priyasharma@gmail.com"/>
    <s v="7836270801"/>
    <x v="3"/>
    <s v="Average"/>
    <n v="284"/>
    <s v="Delivered"/>
    <n v="115545.60000000001"/>
    <n v="2"/>
    <x v="4"/>
    <x v="0"/>
  </r>
  <r>
    <x v="501"/>
    <x v="30"/>
    <n v="19"/>
    <s v="Female"/>
    <s v="Chandigarh"/>
    <s v="Maharashtra"/>
    <d v="2024-07-01T00:00:00"/>
    <d v="2024-07-11T00:00:00"/>
    <x v="3"/>
    <s v="Electronics"/>
    <n v="1"/>
    <n v="8425"/>
    <n v="0"/>
    <x v="0"/>
    <s v="Priya"/>
    <x v="2"/>
    <s v="amitsingh@gmail.com"/>
    <s v="Missing"/>
    <x v="1"/>
    <s v="Excellent"/>
    <n v="73"/>
    <s v="Delivered"/>
    <n v="8425"/>
    <n v="10"/>
    <x v="4"/>
    <x v="1"/>
  </r>
  <r>
    <x v="502"/>
    <x v="73"/>
    <n v="23"/>
    <s v="Male"/>
    <s v="Ahmedabad"/>
    <s v="Gujarat"/>
    <d v="2023-09-25T00:00:00"/>
    <d v="2023-10-03T00:00:00"/>
    <x v="4"/>
    <s v="Accessories"/>
    <n v="4"/>
    <n v="11284"/>
    <n v="10"/>
    <x v="2"/>
    <s v="Rohit"/>
    <x v="1"/>
    <s v="priyaagarwal@gmail.com"/>
    <s v="9440517656"/>
    <x v="0"/>
    <s v="Good"/>
    <n v="121"/>
    <s v="Cancelled"/>
    <n v="40622.400000000001"/>
    <n v="8"/>
    <x v="2"/>
    <x v="0"/>
  </r>
  <r>
    <x v="503"/>
    <x v="7"/>
    <n v="33"/>
    <s v="Female"/>
    <s v="Mumbai"/>
    <s v="Punjab"/>
    <d v="2024-09-29T00:00:00"/>
    <d v="2024-10-02T00:00:00"/>
    <x v="5"/>
    <s v="Accessories"/>
    <n v="2"/>
    <n v="51249"/>
    <n v="0"/>
    <x v="1"/>
    <s v="Rahul"/>
    <x v="0"/>
    <s v="vikasyadav@gmail.com"/>
    <s v="8438722579"/>
    <x v="2"/>
    <s v="Average"/>
    <n v="399"/>
    <s v="Returned"/>
    <n v="102498"/>
    <n v="3"/>
    <x v="2"/>
    <x v="1"/>
  </r>
  <r>
    <x v="504"/>
    <x v="2"/>
    <n v="58"/>
    <s v="Female"/>
    <s v="Chandigarh"/>
    <s v="Delhi"/>
    <d v="2023-09-23T00:00:00"/>
    <d v="2023-10-03T00:00:00"/>
    <x v="3"/>
    <s v="Accessories"/>
    <n v="4"/>
    <n v="72387"/>
    <n v="15"/>
    <x v="1"/>
    <s v="Karan"/>
    <x v="3"/>
    <s v="nehapatel@gmail.com"/>
    <s v="6026408533"/>
    <x v="0"/>
    <s v="Good"/>
    <n v="467"/>
    <s v="Cancelled"/>
    <n v="246115.8"/>
    <n v="10"/>
    <x v="2"/>
    <x v="0"/>
  </r>
  <r>
    <x v="505"/>
    <x v="62"/>
    <n v="42"/>
    <s v="Female"/>
    <s v="Amritsar"/>
    <s v="Gujarat"/>
    <d v="2023-06-26T00:00:00"/>
    <d v="2023-07-03T00:00:00"/>
    <x v="0"/>
    <s v="Accessories"/>
    <n v="1"/>
    <n v="57470"/>
    <n v="15"/>
    <x v="1"/>
    <s v="Neha"/>
    <x v="3"/>
    <s v="anjalisingh@gmail.com"/>
    <s v="9444634497"/>
    <x v="1"/>
    <s v="Good"/>
    <n v="299"/>
    <s v="Delivered"/>
    <n v="48849.5"/>
    <n v="7"/>
    <x v="9"/>
    <x v="0"/>
  </r>
  <r>
    <x v="506"/>
    <x v="4"/>
    <n v="31"/>
    <s v="Female"/>
    <s v="Amritsar"/>
    <s v="Rajasthan"/>
    <d v="2024-02-11T00:00:00"/>
    <d v="2024-02-18T00:00:00"/>
    <x v="0"/>
    <s v="Electronics"/>
    <n v="2"/>
    <n v="13328"/>
    <n v="5"/>
    <x v="1"/>
    <s v="Amit"/>
    <x v="2"/>
    <s v="rahulyadav@gmail.com"/>
    <s v="9479846144"/>
    <x v="4"/>
    <s v="Average"/>
    <n v="172"/>
    <s v="Cancelled"/>
    <n v="25323.199999999997"/>
    <n v="7"/>
    <x v="8"/>
    <x v="1"/>
  </r>
  <r>
    <x v="507"/>
    <x v="47"/>
    <n v="19"/>
    <s v="Female"/>
    <s v="Ahmedabad"/>
    <s v="Punjab"/>
    <d v="2023-08-12T00:00:00"/>
    <d v="2023-08-18T00:00:00"/>
    <x v="0"/>
    <s v="Electronics"/>
    <n v="1"/>
    <n v="78852"/>
    <n v="10"/>
    <x v="1"/>
    <s v="Amit"/>
    <x v="0"/>
    <s v="nehaagarwal@gmail.com"/>
    <s v="9134609600"/>
    <x v="1"/>
    <s v="Good"/>
    <n v="493"/>
    <s v="Cancelled"/>
    <n v="70966.8"/>
    <n v="6"/>
    <x v="3"/>
    <x v="0"/>
  </r>
  <r>
    <x v="508"/>
    <x v="73"/>
    <n v="41"/>
    <s v="Female"/>
    <s v="Jaipur"/>
    <s v="Rajasthan"/>
    <d v="2023-07-03T00:00:00"/>
    <d v="2023-07-13T00:00:00"/>
    <x v="3"/>
    <s v="Electronics"/>
    <n v="3"/>
    <n v="40320"/>
    <n v="10"/>
    <x v="2"/>
    <s v="Anjali"/>
    <x v="0"/>
    <s v="priyaagarwal@gmail.com"/>
    <s v="7904809757"/>
    <x v="1"/>
    <s v="Good"/>
    <n v="428"/>
    <s v="Delivered"/>
    <n v="108864"/>
    <n v="10"/>
    <x v="4"/>
    <x v="0"/>
  </r>
  <r>
    <x v="509"/>
    <x v="58"/>
    <n v="50"/>
    <s v="Male"/>
    <s v="Mumbai"/>
    <s v="Punjab"/>
    <d v="2024-02-09T00:00:00"/>
    <d v="2024-02-16T00:00:00"/>
    <x v="2"/>
    <s v="Electronics"/>
    <n v="2"/>
    <n v="36541"/>
    <n v="10"/>
    <x v="2"/>
    <s v="Sneha"/>
    <x v="2"/>
    <s v="Missing"/>
    <s v="7321217907"/>
    <x v="3"/>
    <s v="Average"/>
    <n v="427"/>
    <s v="Delivered"/>
    <n v="65773.8"/>
    <n v="7"/>
    <x v="8"/>
    <x v="1"/>
  </r>
  <r>
    <x v="510"/>
    <x v="32"/>
    <n v="32"/>
    <s v="Male"/>
    <s v="Delhi"/>
    <s v="Maharashtra"/>
    <d v="2023-06-18T00:00:00"/>
    <d v="2023-06-19T00:00:00"/>
    <x v="0"/>
    <s v="Accessories"/>
    <n v="4"/>
    <n v="42701"/>
    <n v="0"/>
    <x v="1"/>
    <s v="Amit"/>
    <x v="2"/>
    <s v="rahuljoshi@gmail.com"/>
    <s v="6894762692"/>
    <x v="2"/>
    <s v="Good"/>
    <n v="235"/>
    <s v="Delivered"/>
    <n v="170804"/>
    <n v="1"/>
    <x v="9"/>
    <x v="0"/>
  </r>
  <r>
    <x v="511"/>
    <x v="66"/>
    <n v="27"/>
    <s v="Female"/>
    <s v="Ahmedabad"/>
    <s v="Maharashtra"/>
    <d v="2023-10-24T00:00:00"/>
    <d v="2023-10-25T00:00:00"/>
    <x v="2"/>
    <s v="Electronics"/>
    <n v="4"/>
    <n v="55576"/>
    <n v="5"/>
    <x v="0"/>
    <s v="Rahul"/>
    <x v="1"/>
    <s v="nehasingh@gmail.com"/>
    <s v="9698876440"/>
    <x v="2"/>
    <s v="Excellent"/>
    <n v="447"/>
    <s v="Returned"/>
    <n v="211188.8"/>
    <n v="1"/>
    <x v="5"/>
    <x v="0"/>
  </r>
  <r>
    <x v="512"/>
    <x v="41"/>
    <n v="56"/>
    <s v="Male"/>
    <s v="Amritsar"/>
    <s v="Punjab"/>
    <d v="2024-04-22T00:00:00"/>
    <d v="2024-04-27T00:00:00"/>
    <x v="1"/>
    <s v="Electronics"/>
    <n v="1"/>
    <n v="70092"/>
    <n v="15"/>
    <x v="3"/>
    <s v="Pooja"/>
    <x v="2"/>
    <s v="priyakumar@gmail.com"/>
    <s v="Missing"/>
    <x v="0"/>
    <s v="Bad"/>
    <n v="478"/>
    <s v="Returned"/>
    <n v="59578.2"/>
    <n v="5"/>
    <x v="1"/>
    <x v="1"/>
  </r>
  <r>
    <x v="513"/>
    <x v="54"/>
    <n v="18"/>
    <s v="Male"/>
    <s v="Ahmedabad"/>
    <s v="Delhi"/>
    <d v="2024-08-01T00:00:00"/>
    <d v="2024-08-05T00:00:00"/>
    <x v="3"/>
    <s v="Accessories"/>
    <n v="2"/>
    <n v="47377"/>
    <n v="10"/>
    <x v="2"/>
    <s v="Sneha"/>
    <x v="0"/>
    <s v="karankumar@gmail.com"/>
    <s v="9519271833"/>
    <x v="3"/>
    <s v="Bad"/>
    <n v="217"/>
    <s v="Delivered"/>
    <n v="85278.6"/>
    <n v="4"/>
    <x v="3"/>
    <x v="1"/>
  </r>
  <r>
    <x v="514"/>
    <x v="45"/>
    <n v="53"/>
    <s v="Male"/>
    <s v="Amritsar"/>
    <s v="Delhi"/>
    <d v="2023-01-04T00:00:00"/>
    <d v="2023-01-09T00:00:00"/>
    <x v="3"/>
    <s v="Electronics"/>
    <n v="4"/>
    <n v="75934"/>
    <n v="10"/>
    <x v="1"/>
    <s v="Neha"/>
    <x v="0"/>
    <s v="snehakumar@gmail.com"/>
    <s v="9155359132"/>
    <x v="2"/>
    <s v="Excellent"/>
    <n v="408"/>
    <s v="Cancelled"/>
    <n v="273362.40000000002"/>
    <n v="5"/>
    <x v="0"/>
    <x v="0"/>
  </r>
  <r>
    <x v="515"/>
    <x v="67"/>
    <n v="30"/>
    <s v="Male"/>
    <s v="Chandigarh"/>
    <s v="Punjab"/>
    <d v="2024-04-15T00:00:00"/>
    <d v="2024-04-22T00:00:00"/>
    <x v="3"/>
    <s v="Electronics"/>
    <n v="3"/>
    <n v="59432"/>
    <n v="15"/>
    <x v="1"/>
    <s v="Amit"/>
    <x v="0"/>
    <s v="karanyadav@gmail.com"/>
    <s v="8314160074"/>
    <x v="2"/>
    <s v="Excellent"/>
    <n v="499"/>
    <s v="Cancelled"/>
    <n v="151551.6"/>
    <n v="7"/>
    <x v="1"/>
    <x v="1"/>
  </r>
  <r>
    <x v="516"/>
    <x v="10"/>
    <n v="30"/>
    <s v="Male"/>
    <s v="Delhi"/>
    <s v="Punjab"/>
    <d v="2023-07-11T00:00:00"/>
    <d v="2023-07-15T00:00:00"/>
    <x v="0"/>
    <s v="Electronics"/>
    <n v="3"/>
    <n v="54990"/>
    <n v="15"/>
    <x v="3"/>
    <s v="Pooja"/>
    <x v="1"/>
    <s v="anjalimehta@gmail.com"/>
    <s v="7330578052"/>
    <x v="4"/>
    <s v="Good"/>
    <n v="114"/>
    <s v="Cancelled"/>
    <n v="140224.5"/>
    <n v="4"/>
    <x v="4"/>
    <x v="0"/>
  </r>
  <r>
    <x v="517"/>
    <x v="26"/>
    <n v="58"/>
    <s v="Female"/>
    <s v="Delhi"/>
    <s v="Gujarat"/>
    <d v="2023-09-09T00:00:00"/>
    <d v="2023-09-11T00:00:00"/>
    <x v="4"/>
    <s v="Electronics"/>
    <n v="2"/>
    <n v="40522"/>
    <n v="10"/>
    <x v="2"/>
    <s v="Sneha"/>
    <x v="0"/>
    <s v="karanjoshi@gmail.com"/>
    <s v="9072073134"/>
    <x v="2"/>
    <s v="Excellent"/>
    <n v="236"/>
    <s v="Returned"/>
    <n v="72939.600000000006"/>
    <n v="2"/>
    <x v="2"/>
    <x v="0"/>
  </r>
  <r>
    <x v="518"/>
    <x v="92"/>
    <n v="35"/>
    <s v="Female"/>
    <s v="Ludhiana"/>
    <s v="Delhi"/>
    <d v="2023-09-06T00:00:00"/>
    <d v="2023-09-11T00:00:00"/>
    <x v="3"/>
    <s v="Accessories"/>
    <n v="2"/>
    <n v="66845"/>
    <n v="10"/>
    <x v="1"/>
    <s v="Vikas"/>
    <x v="2"/>
    <s v="anjaliyadav@gmail.com"/>
    <s v="8725502263"/>
    <x v="3"/>
    <s v="Bad"/>
    <n v="237"/>
    <s v="Returned"/>
    <n v="120321"/>
    <n v="5"/>
    <x v="2"/>
    <x v="0"/>
  </r>
  <r>
    <x v="519"/>
    <x v="31"/>
    <n v="59"/>
    <s v="Male"/>
    <s v="Ahmedabad"/>
    <s v="Delhi"/>
    <d v="2024-01-14T00:00:00"/>
    <d v="2024-01-19T00:00:00"/>
    <x v="4"/>
    <s v="Accessories"/>
    <n v="2.9447852760736195"/>
    <n v="69198"/>
    <n v="10"/>
    <x v="1"/>
    <s v="Karan"/>
    <x v="2"/>
    <s v="nehagupta@gmail.com"/>
    <s v="7800860899"/>
    <x v="0"/>
    <s v="Average"/>
    <n v="57"/>
    <s v="Cancelled"/>
    <n v="183395.9263803681"/>
    <n v="5"/>
    <x v="0"/>
    <x v="1"/>
  </r>
  <r>
    <x v="520"/>
    <x v="96"/>
    <n v="22"/>
    <s v="Male"/>
    <s v="Ludhiana"/>
    <s v="Maharashtra"/>
    <d v="2024-06-28T00:00:00"/>
    <d v="2024-07-08T00:00:00"/>
    <x v="0"/>
    <s v="Accessories"/>
    <n v="4"/>
    <n v="11467"/>
    <n v="0"/>
    <x v="3"/>
    <s v="Pooja"/>
    <x v="1"/>
    <s v="Missing"/>
    <s v="7732463970"/>
    <x v="1"/>
    <s v="Bad"/>
    <n v="165"/>
    <s v="Delivered"/>
    <n v="45868"/>
    <n v="10"/>
    <x v="9"/>
    <x v="1"/>
  </r>
  <r>
    <x v="521"/>
    <x v="60"/>
    <n v="45"/>
    <s v="Male"/>
    <s v="Amritsar"/>
    <s v="Rajasthan"/>
    <d v="2023-10-15T00:00:00"/>
    <d v="2023-10-19T00:00:00"/>
    <x v="2"/>
    <s v="Accessories"/>
    <n v="3"/>
    <n v="25033"/>
    <n v="10"/>
    <x v="1"/>
    <s v="Sneha"/>
    <x v="2"/>
    <s v="amitsharma@gmail.com"/>
    <s v="6435145797"/>
    <x v="1"/>
    <s v="Excellent"/>
    <n v="488"/>
    <s v="Delivered"/>
    <n v="67589.100000000006"/>
    <n v="4"/>
    <x v="5"/>
    <x v="0"/>
  </r>
  <r>
    <x v="522"/>
    <x v="54"/>
    <n v="36"/>
    <s v="Female"/>
    <s v="Ahmedabad"/>
    <s v="Gujarat"/>
    <d v="2023-02-19T00:00:00"/>
    <d v="2023-02-26T00:00:00"/>
    <x v="0"/>
    <s v="Accessories"/>
    <n v="1"/>
    <n v="20087"/>
    <n v="10"/>
    <x v="0"/>
    <s v="Vikas"/>
    <x v="2"/>
    <s v="karankumar@gmail.com"/>
    <s v="6089208694"/>
    <x v="1"/>
    <s v="Bad"/>
    <n v="486"/>
    <s v="Cancelled"/>
    <n v="18078.3"/>
    <n v="7"/>
    <x v="8"/>
    <x v="0"/>
  </r>
  <r>
    <x v="523"/>
    <x v="3"/>
    <n v="23"/>
    <s v="Female"/>
    <s v="Ahmedabad"/>
    <s v="Punjab"/>
    <d v="2023-09-28T00:00:00"/>
    <d v="2023-10-06T00:00:00"/>
    <x v="2"/>
    <s v="Accessories"/>
    <n v="2"/>
    <n v="21937"/>
    <n v="15"/>
    <x v="2"/>
    <s v="Priya"/>
    <x v="2"/>
    <s v="anjalipatel@gmail.com"/>
    <s v="8324537987"/>
    <x v="4"/>
    <s v="Average"/>
    <n v="470"/>
    <s v="Cancelled"/>
    <n v="37292.9"/>
    <n v="8"/>
    <x v="2"/>
    <x v="0"/>
  </r>
  <r>
    <x v="524"/>
    <x v="46"/>
    <n v="55"/>
    <s v="Male"/>
    <s v="Ludhiana"/>
    <s v="Gujarat"/>
    <d v="2023-07-26T00:00:00"/>
    <d v="2023-07-30T00:00:00"/>
    <x v="2"/>
    <s v="Accessories"/>
    <n v="4"/>
    <n v="8879"/>
    <n v="0"/>
    <x v="3"/>
    <s v="Pooja"/>
    <x v="0"/>
    <s v="rohityadav@gmail.com"/>
    <s v="8964440493"/>
    <x v="3"/>
    <s v="Average"/>
    <n v="217"/>
    <s v="Returned"/>
    <n v="35516"/>
    <n v="4"/>
    <x v="4"/>
    <x v="0"/>
  </r>
  <r>
    <x v="525"/>
    <x v="65"/>
    <n v="58"/>
    <s v="Female"/>
    <s v="Amritsar"/>
    <s v="Gujarat"/>
    <d v="2024-01-20T00:00:00"/>
    <d v="2024-01-21T00:00:00"/>
    <x v="1"/>
    <s v="Electronics"/>
    <n v="5"/>
    <n v="37252"/>
    <n v="5"/>
    <x v="2"/>
    <s v="Rohit"/>
    <x v="1"/>
    <s v="nehaverma@gmail.com"/>
    <s v="8772881458"/>
    <x v="1"/>
    <s v="Average"/>
    <n v="425"/>
    <s v="Returned"/>
    <n v="176947"/>
    <n v="1"/>
    <x v="0"/>
    <x v="1"/>
  </r>
  <r>
    <x v="526"/>
    <x v="74"/>
    <n v="44"/>
    <s v="Male"/>
    <s v="Pune"/>
    <s v="Rajasthan"/>
    <d v="2023-09-24T00:00:00"/>
    <d v="2023-09-25T00:00:00"/>
    <x v="2"/>
    <s v="Electronics"/>
    <n v="2"/>
    <n v="60397"/>
    <n v="15"/>
    <x v="1"/>
    <s v="Pooja"/>
    <x v="2"/>
    <s v="poojaverma@gmail.com"/>
    <s v="8955952854"/>
    <x v="3"/>
    <s v="Bad"/>
    <n v="204"/>
    <s v="Cancelled"/>
    <n v="102674.9"/>
    <n v="1"/>
    <x v="2"/>
    <x v="0"/>
  </r>
  <r>
    <x v="527"/>
    <x v="80"/>
    <n v="35"/>
    <s v="Female"/>
    <s v="Pune"/>
    <s v="Punjab"/>
    <d v="2024-01-10T00:00:00"/>
    <d v="2024-01-20T00:00:00"/>
    <x v="5"/>
    <s v="Accessories"/>
    <n v="3"/>
    <n v="73803"/>
    <n v="15"/>
    <x v="2"/>
    <s v="Rahul"/>
    <x v="2"/>
    <s v="rahulagarwal@gmail.com"/>
    <s v="9079727028"/>
    <x v="2"/>
    <s v="Bad"/>
    <n v="73"/>
    <s v="Returned"/>
    <n v="188197.65"/>
    <n v="10"/>
    <x v="0"/>
    <x v="1"/>
  </r>
  <r>
    <x v="528"/>
    <x v="77"/>
    <n v="28"/>
    <s v="Male"/>
    <s v="Delhi"/>
    <s v="Maharashtra"/>
    <d v="2024-07-20T00:00:00"/>
    <d v="2024-07-30T00:00:00"/>
    <x v="5"/>
    <s v="Accessories"/>
    <n v="3"/>
    <n v="23108"/>
    <n v="15"/>
    <x v="2"/>
    <s v="Priya"/>
    <x v="1"/>
    <s v="rohitkumar@gmail.com"/>
    <s v="9870430118"/>
    <x v="1"/>
    <s v="Average"/>
    <n v="424"/>
    <s v="Cancelled"/>
    <n v="58925.4"/>
    <n v="10"/>
    <x v="4"/>
    <x v="1"/>
  </r>
  <r>
    <x v="529"/>
    <x v="22"/>
    <n v="37"/>
    <s v="Male"/>
    <s v="Mumbai"/>
    <s v="Delhi"/>
    <d v="2024-06-09T00:00:00"/>
    <d v="2024-06-16T00:00:00"/>
    <x v="3"/>
    <s v="Electronics"/>
    <n v="2.9447852760736195"/>
    <n v="65459"/>
    <n v="10"/>
    <x v="1"/>
    <s v="Rahul"/>
    <x v="3"/>
    <s v="poojakumar@gmail.com"/>
    <s v="Missing"/>
    <x v="1"/>
    <s v="Average"/>
    <n v="311"/>
    <s v="Cancelled"/>
    <n v="173486.42944785274"/>
    <n v="7"/>
    <x v="9"/>
    <x v="1"/>
  </r>
  <r>
    <x v="530"/>
    <x v="22"/>
    <n v="25"/>
    <s v="Female"/>
    <s v="Ahmedabad"/>
    <s v="Punjab"/>
    <d v="2024-03-07T00:00:00"/>
    <d v="2024-03-10T00:00:00"/>
    <x v="0"/>
    <s v="Accessories"/>
    <n v="1"/>
    <n v="38916"/>
    <n v="10"/>
    <x v="1"/>
    <s v="Sneha"/>
    <x v="3"/>
    <s v="poojakumar@gmail.com"/>
    <s v="8949615525"/>
    <x v="0"/>
    <s v="Bad"/>
    <n v="62"/>
    <s v="Returned"/>
    <n v="35024.400000000001"/>
    <n v="3"/>
    <x v="10"/>
    <x v="1"/>
  </r>
  <r>
    <x v="531"/>
    <x v="98"/>
    <n v="24"/>
    <s v="Female"/>
    <s v="Chandigarh"/>
    <s v="Delhi"/>
    <d v="2023-03-16T00:00:00"/>
    <d v="2023-03-21T00:00:00"/>
    <x v="0"/>
    <s v="Electronics"/>
    <n v="1"/>
    <n v="7839"/>
    <n v="15"/>
    <x v="0"/>
    <s v="Rahul"/>
    <x v="3"/>
    <s v="vikassingh@gmail.com"/>
    <s v="9632036226"/>
    <x v="4"/>
    <s v="Bad"/>
    <n v="468"/>
    <s v="Delivered"/>
    <n v="6663.15"/>
    <n v="5"/>
    <x v="10"/>
    <x v="0"/>
  </r>
  <r>
    <x v="532"/>
    <x v="47"/>
    <n v="21"/>
    <s v="Male"/>
    <s v="Chandigarh"/>
    <s v="Maharashtra"/>
    <d v="2024-05-03T00:00:00"/>
    <d v="2024-05-13T00:00:00"/>
    <x v="0"/>
    <s v="Accessories"/>
    <n v="3"/>
    <n v="77335"/>
    <n v="0"/>
    <x v="1"/>
    <s v="Vikas"/>
    <x v="3"/>
    <s v="Missing"/>
    <s v="7806675208"/>
    <x v="1"/>
    <s v="Good"/>
    <n v="210"/>
    <s v="Returned"/>
    <n v="232005"/>
    <n v="10"/>
    <x v="6"/>
    <x v="1"/>
  </r>
  <r>
    <x v="533"/>
    <x v="8"/>
    <n v="28"/>
    <s v="Female"/>
    <s v="Amritsar"/>
    <s v="Rajasthan"/>
    <d v="2023-11-24T00:00:00"/>
    <d v="2023-11-25T00:00:00"/>
    <x v="5"/>
    <s v="Accessories"/>
    <n v="3"/>
    <n v="17211"/>
    <n v="10"/>
    <x v="1"/>
    <s v="Priya"/>
    <x v="3"/>
    <s v="priyamehta@gmail.com"/>
    <s v="7216032285"/>
    <x v="2"/>
    <s v="Good"/>
    <n v="233"/>
    <s v="Cancelled"/>
    <n v="46469.700000000004"/>
    <n v="1"/>
    <x v="7"/>
    <x v="0"/>
  </r>
  <r>
    <x v="534"/>
    <x v="53"/>
    <n v="21"/>
    <s v="Female"/>
    <s v="Ahmedabad"/>
    <s v="Punjab"/>
    <d v="2023-10-01T00:00:00"/>
    <d v="2023-10-04T00:00:00"/>
    <x v="1"/>
    <s v="Electronics"/>
    <n v="3"/>
    <n v="69703"/>
    <n v="10"/>
    <x v="3"/>
    <s v="Sneha"/>
    <x v="0"/>
    <s v="nehasharma@gmail.com"/>
    <s v="8680239178"/>
    <x v="2"/>
    <s v="Good"/>
    <n v="375"/>
    <s v="Returned"/>
    <n v="188198.1"/>
    <n v="3"/>
    <x v="5"/>
    <x v="0"/>
  </r>
  <r>
    <x v="535"/>
    <x v="14"/>
    <n v="19"/>
    <s v="Male"/>
    <s v="Chandigarh"/>
    <s v="Maharashtra"/>
    <d v="2024-03-28T00:00:00"/>
    <d v="2024-04-05T00:00:00"/>
    <x v="1"/>
    <s v="Electronics"/>
    <n v="1"/>
    <n v="32337"/>
    <n v="0"/>
    <x v="2"/>
    <s v="Amit"/>
    <x v="1"/>
    <s v="rohitgupta@gmail.com"/>
    <s v="6936840599"/>
    <x v="0"/>
    <s v="Good"/>
    <n v="82"/>
    <s v="Cancelled"/>
    <n v="32337"/>
    <n v="8"/>
    <x v="10"/>
    <x v="1"/>
  </r>
  <r>
    <x v="536"/>
    <x v="48"/>
    <n v="45"/>
    <s v="Male"/>
    <s v="Ahmedabad"/>
    <s v="Punjab"/>
    <d v="2023-12-08T00:00:00"/>
    <d v="2023-12-13T00:00:00"/>
    <x v="2"/>
    <s v="Electronics"/>
    <n v="1"/>
    <n v="42109.716287215415"/>
    <n v="0"/>
    <x v="2"/>
    <s v="Neha"/>
    <x v="0"/>
    <s v="anjalijoshi@gmail.com"/>
    <s v="7200049648"/>
    <x v="0"/>
    <s v="Good"/>
    <n v="120"/>
    <s v="Cancelled"/>
    <n v="42109.716287215415"/>
    <n v="5"/>
    <x v="11"/>
    <x v="0"/>
  </r>
  <r>
    <x v="537"/>
    <x v="1"/>
    <n v="18"/>
    <s v="Male"/>
    <s v="Amritsar"/>
    <s v="Gujarat"/>
    <d v="2024-04-08T00:00:00"/>
    <d v="2024-04-12T00:00:00"/>
    <x v="0"/>
    <s v="Accessories"/>
    <n v="1"/>
    <n v="16261"/>
    <n v="0"/>
    <x v="2"/>
    <s v="Anjali"/>
    <x v="3"/>
    <s v="poojagupta@gmail.com"/>
    <s v="8312217320"/>
    <x v="0"/>
    <s v="Excellent"/>
    <n v="131"/>
    <s v="Returned"/>
    <n v="16261"/>
    <n v="4"/>
    <x v="1"/>
    <x v="1"/>
  </r>
  <r>
    <x v="538"/>
    <x v="6"/>
    <n v="53"/>
    <s v="Female"/>
    <s v="Pune"/>
    <s v="Maharashtra"/>
    <d v="2024-01-13T00:00:00"/>
    <d v="2024-01-18T00:00:00"/>
    <x v="1"/>
    <s v="Electronics"/>
    <n v="4"/>
    <n v="36415"/>
    <n v="5"/>
    <x v="0"/>
    <s v="Rahul"/>
    <x v="1"/>
    <s v="poojayadav@gmail.com"/>
    <s v="6914473048"/>
    <x v="2"/>
    <s v="Average"/>
    <n v="315"/>
    <s v="Cancelled"/>
    <n v="138377"/>
    <n v="5"/>
    <x v="0"/>
    <x v="1"/>
  </r>
  <r>
    <x v="539"/>
    <x v="8"/>
    <n v="55"/>
    <s v="Male"/>
    <s v="Ahmedabad"/>
    <s v="Delhi"/>
    <d v="2023-05-31T00:00:00"/>
    <d v="2023-06-01T00:00:00"/>
    <x v="4"/>
    <s v="Electronics"/>
    <n v="2"/>
    <n v="29765"/>
    <n v="10"/>
    <x v="1"/>
    <s v="Karan"/>
    <x v="0"/>
    <s v="priyamehta@gmail.com"/>
    <s v="8092662305"/>
    <x v="1"/>
    <s v="Bad"/>
    <n v="388"/>
    <s v="Delivered"/>
    <n v="53577"/>
    <n v="1"/>
    <x v="6"/>
    <x v="0"/>
  </r>
  <r>
    <x v="540"/>
    <x v="50"/>
    <n v="41"/>
    <s v="Male"/>
    <s v="Jaipur"/>
    <s v="Delhi"/>
    <d v="2023-03-09T00:00:00"/>
    <d v="2023-03-15T00:00:00"/>
    <x v="2"/>
    <s v="Electronics"/>
    <n v="3"/>
    <n v="9996"/>
    <n v="15"/>
    <x v="1"/>
    <s v="Amit"/>
    <x v="1"/>
    <s v="amitkumar@gmail.com"/>
    <s v="9384623595"/>
    <x v="4"/>
    <s v="Excellent"/>
    <n v="143"/>
    <s v="Delivered"/>
    <n v="25489.8"/>
    <n v="6"/>
    <x v="10"/>
    <x v="0"/>
  </r>
  <r>
    <x v="541"/>
    <x v="30"/>
    <n v="44"/>
    <s v="Female"/>
    <s v="Ludhiana"/>
    <s v="Punjab"/>
    <d v="2023-10-27T00:00:00"/>
    <d v="2023-10-31T00:00:00"/>
    <x v="2"/>
    <s v="Accessories"/>
    <n v="4"/>
    <n v="48638"/>
    <n v="5"/>
    <x v="0"/>
    <s v="Karan"/>
    <x v="2"/>
    <s v="amitsingh@gmail.com"/>
    <s v="7990498840"/>
    <x v="2"/>
    <s v="Excellent"/>
    <n v="305"/>
    <s v="Returned"/>
    <n v="184824.4"/>
    <n v="4"/>
    <x v="5"/>
    <x v="0"/>
  </r>
  <r>
    <x v="542"/>
    <x v="93"/>
    <n v="27"/>
    <s v="Female"/>
    <s v="Delhi"/>
    <s v="Gujarat"/>
    <d v="2024-04-15T00:00:00"/>
    <d v="2024-04-25T00:00:00"/>
    <x v="2"/>
    <s v="Accessories"/>
    <n v="2"/>
    <n v="59418"/>
    <n v="0"/>
    <x v="0"/>
    <s v="Neha"/>
    <x v="3"/>
    <s v="karangupta@gmail.com"/>
    <s v="8323377436"/>
    <x v="2"/>
    <s v="Excellent"/>
    <n v="195"/>
    <s v="Cancelled"/>
    <n v="118836"/>
    <n v="10"/>
    <x v="1"/>
    <x v="1"/>
  </r>
  <r>
    <x v="543"/>
    <x v="47"/>
    <n v="45"/>
    <s v="Female"/>
    <s v="Ahmedabad"/>
    <s v="Gujarat"/>
    <d v="2024-10-18T00:00:00"/>
    <d v="2024-10-22T00:00:00"/>
    <x v="4"/>
    <s v="Electronics"/>
    <n v="4"/>
    <n v="44911"/>
    <n v="10"/>
    <x v="2"/>
    <s v="Neha"/>
    <x v="1"/>
    <s v="nehaagarwal@gmail.com"/>
    <s v="8971604283"/>
    <x v="2"/>
    <s v="Good"/>
    <n v="326"/>
    <s v="Cancelled"/>
    <n v="161679.6"/>
    <n v="4"/>
    <x v="5"/>
    <x v="1"/>
  </r>
  <r>
    <x v="544"/>
    <x v="81"/>
    <n v="42"/>
    <s v="Female"/>
    <s v="Ahmedabad"/>
    <s v="Punjab"/>
    <d v="2024-09-03T00:00:00"/>
    <d v="2024-09-04T00:00:00"/>
    <x v="4"/>
    <s v="Accessories"/>
    <n v="4"/>
    <n v="53927"/>
    <n v="0"/>
    <x v="0"/>
    <s v="Neha"/>
    <x v="0"/>
    <s v="poojajoshi@gmail.com"/>
    <s v="7364423865"/>
    <x v="3"/>
    <s v="Average"/>
    <n v="470"/>
    <s v="Returned"/>
    <n v="215708"/>
    <n v="1"/>
    <x v="2"/>
    <x v="1"/>
  </r>
  <r>
    <x v="545"/>
    <x v="67"/>
    <n v="20"/>
    <s v="Female"/>
    <s v="Jaipur"/>
    <s v="Delhi"/>
    <d v="2024-07-16T00:00:00"/>
    <d v="2024-07-25T00:00:00"/>
    <x v="3"/>
    <s v="Accessories"/>
    <n v="3"/>
    <n v="74209"/>
    <n v="0"/>
    <x v="3"/>
    <s v="Priya"/>
    <x v="0"/>
    <s v="karanyadav@gmail.com"/>
    <s v="6310937316"/>
    <x v="2"/>
    <s v="Good"/>
    <n v="379"/>
    <s v="Returned"/>
    <n v="222627"/>
    <n v="9"/>
    <x v="4"/>
    <x v="1"/>
  </r>
  <r>
    <x v="546"/>
    <x v="26"/>
    <n v="53"/>
    <s v="Male"/>
    <s v="Jaipur"/>
    <s v="Maharashtra"/>
    <d v="2023-04-17T00:00:00"/>
    <d v="2023-04-20T00:00:00"/>
    <x v="5"/>
    <s v="Accessories"/>
    <n v="2"/>
    <n v="62337"/>
    <n v="10"/>
    <x v="3"/>
    <s v="Sneha"/>
    <x v="0"/>
    <s v="karanjoshi@gmail.com"/>
    <s v="7027753025"/>
    <x v="0"/>
    <s v="Excellent"/>
    <n v="97"/>
    <s v="Cancelled"/>
    <n v="112206.6"/>
    <n v="3"/>
    <x v="1"/>
    <x v="0"/>
  </r>
  <r>
    <x v="547"/>
    <x v="41"/>
    <n v="49"/>
    <s v="Female"/>
    <s v="Ludhiana"/>
    <s v="Delhi"/>
    <d v="2023-02-02T00:00:00"/>
    <d v="2023-02-04T00:00:00"/>
    <x v="4"/>
    <s v="Accessories"/>
    <n v="2.9447852760736195"/>
    <n v="49166"/>
    <n v="5"/>
    <x v="2"/>
    <s v="Vikas"/>
    <x v="2"/>
    <s v="priyakumar@gmail.com"/>
    <s v="Missing"/>
    <x v="4"/>
    <s v="Good"/>
    <n v="351"/>
    <s v="Returned"/>
    <n v="137544.14723926378"/>
    <n v="2"/>
    <x v="8"/>
    <x v="0"/>
  </r>
  <r>
    <x v="548"/>
    <x v="93"/>
    <n v="56"/>
    <s v="Male"/>
    <s v="Pune"/>
    <s v="Delhi"/>
    <d v="2023-09-24T00:00:00"/>
    <d v="2023-09-28T00:00:00"/>
    <x v="1"/>
    <s v="Electronics"/>
    <n v="5"/>
    <n v="41717"/>
    <n v="15"/>
    <x v="0"/>
    <s v="Rahul"/>
    <x v="0"/>
    <s v="karangupta@gmail.com"/>
    <s v="6437249181"/>
    <x v="1"/>
    <s v="Bad"/>
    <n v="68"/>
    <s v="Returned"/>
    <n v="177297.25"/>
    <n v="4"/>
    <x v="2"/>
    <x v="0"/>
  </r>
  <r>
    <x v="549"/>
    <x v="63"/>
    <n v="24"/>
    <s v="Male"/>
    <s v="Mumbai"/>
    <s v="Punjab"/>
    <d v="2023-02-20T00:00:00"/>
    <d v="2023-02-24T00:00:00"/>
    <x v="2"/>
    <s v="Accessories"/>
    <n v="2"/>
    <n v="6733"/>
    <n v="10"/>
    <x v="2"/>
    <s v="Priya"/>
    <x v="3"/>
    <s v="priyagupta@gmail.com"/>
    <s v="9443387613"/>
    <x v="4"/>
    <s v="Excellent"/>
    <n v="159"/>
    <s v="Returned"/>
    <n v="12119.4"/>
    <n v="4"/>
    <x v="8"/>
    <x v="0"/>
  </r>
  <r>
    <x v="550"/>
    <x v="30"/>
    <n v="42"/>
    <s v="Male"/>
    <s v="Chandigarh"/>
    <s v="Maharashtra"/>
    <d v="2024-08-06T00:00:00"/>
    <d v="2024-08-14T00:00:00"/>
    <x v="1"/>
    <s v="Electronics"/>
    <n v="4"/>
    <n v="8880"/>
    <n v="5"/>
    <x v="1"/>
    <s v="Rahul"/>
    <x v="0"/>
    <s v="amitsingh@gmail.com"/>
    <s v="7022095046"/>
    <x v="3"/>
    <s v="Bad"/>
    <n v="171"/>
    <s v="Delivered"/>
    <n v="33744"/>
    <n v="8"/>
    <x v="3"/>
    <x v="1"/>
  </r>
  <r>
    <x v="551"/>
    <x v="51"/>
    <n v="21"/>
    <s v="Male"/>
    <s v="Ludhiana"/>
    <s v="Maharashtra"/>
    <d v="2023-03-06T00:00:00"/>
    <d v="2023-03-14T00:00:00"/>
    <x v="5"/>
    <s v="Accessories"/>
    <n v="3"/>
    <n v="78275"/>
    <n v="15"/>
    <x v="2"/>
    <s v="Priya"/>
    <x v="0"/>
    <s v="priyaverma@gmail.com"/>
    <s v="9786576398"/>
    <x v="1"/>
    <s v="Bad"/>
    <n v="203"/>
    <s v="Cancelled"/>
    <n v="199601.25"/>
    <n v="8"/>
    <x v="10"/>
    <x v="0"/>
  </r>
  <r>
    <x v="552"/>
    <x v="10"/>
    <n v="27"/>
    <s v="Female"/>
    <s v="Mumbai"/>
    <s v="Delhi"/>
    <d v="2023-02-28T00:00:00"/>
    <d v="2023-03-02T00:00:00"/>
    <x v="0"/>
    <s v="Accessories"/>
    <n v="5"/>
    <n v="69340"/>
    <n v="15"/>
    <x v="2"/>
    <s v="Karan"/>
    <x v="3"/>
    <s v="Missing"/>
    <s v="9648040286"/>
    <x v="2"/>
    <s v="Bad"/>
    <n v="82"/>
    <s v="Delivered"/>
    <n v="294695"/>
    <n v="2"/>
    <x v="8"/>
    <x v="0"/>
  </r>
  <r>
    <x v="553"/>
    <x v="92"/>
    <n v="30"/>
    <s v="Female"/>
    <s v="Ahmedabad"/>
    <s v="Punjab"/>
    <d v="2023-12-31T00:00:00"/>
    <d v="2024-01-08T00:00:00"/>
    <x v="1"/>
    <s v="Electronics"/>
    <n v="1"/>
    <n v="44999"/>
    <n v="10"/>
    <x v="3"/>
    <s v="Priya"/>
    <x v="2"/>
    <s v="Missing"/>
    <s v="Missing"/>
    <x v="1"/>
    <s v="Bad"/>
    <n v="302"/>
    <s v="Delivered"/>
    <n v="40499.1"/>
    <n v="8"/>
    <x v="11"/>
    <x v="0"/>
  </r>
  <r>
    <x v="554"/>
    <x v="12"/>
    <n v="18"/>
    <s v="Male"/>
    <s v="Chandigarh"/>
    <s v="Rajasthan"/>
    <d v="2023-01-17T00:00:00"/>
    <d v="2023-01-24T00:00:00"/>
    <x v="4"/>
    <s v="Electronics"/>
    <n v="2.9447852760736195"/>
    <n v="53104"/>
    <n v="10"/>
    <x v="0"/>
    <s v="Neha"/>
    <x v="3"/>
    <s v="snehasingh@gmail.com"/>
    <s v="9301508780"/>
    <x v="4"/>
    <s v="Excellent"/>
    <n v="257"/>
    <s v="Returned"/>
    <n v="140741.88957055216"/>
    <n v="7"/>
    <x v="0"/>
    <x v="0"/>
  </r>
  <r>
    <x v="555"/>
    <x v="48"/>
    <n v="59"/>
    <s v="Female"/>
    <s v="Amritsar"/>
    <s v="Maharashtra"/>
    <d v="2023-09-07T00:00:00"/>
    <d v="2023-09-13T00:00:00"/>
    <x v="1"/>
    <s v="Electronics"/>
    <n v="5"/>
    <n v="53933"/>
    <n v="0"/>
    <x v="3"/>
    <s v="Neha"/>
    <x v="2"/>
    <s v="anjalijoshi@gmail.com"/>
    <s v="7987887134"/>
    <x v="1"/>
    <s v="Bad"/>
    <n v="129"/>
    <s v="Cancelled"/>
    <n v="269665"/>
    <n v="6"/>
    <x v="2"/>
    <x v="0"/>
  </r>
  <r>
    <x v="556"/>
    <x v="47"/>
    <n v="26"/>
    <s v="Female"/>
    <s v="Delhi"/>
    <s v="Rajasthan"/>
    <d v="2023-11-26T00:00:00"/>
    <d v="2023-11-28T00:00:00"/>
    <x v="5"/>
    <s v="Electronics"/>
    <n v="5"/>
    <n v="77829"/>
    <n v="10"/>
    <x v="2"/>
    <s v="Rahul"/>
    <x v="1"/>
    <s v="nehaagarwal@gmail.com"/>
    <s v="6081171084"/>
    <x v="1"/>
    <s v="Average"/>
    <n v="241"/>
    <s v="Delivered"/>
    <n v="350230.5"/>
    <n v="2"/>
    <x v="7"/>
    <x v="0"/>
  </r>
  <r>
    <x v="557"/>
    <x v="71"/>
    <n v="36"/>
    <s v="Female"/>
    <s v="Mumbai"/>
    <s v="Rajasthan"/>
    <d v="2024-08-21T00:00:00"/>
    <d v="2024-08-27T00:00:00"/>
    <x v="4"/>
    <s v="Accessories"/>
    <n v="2"/>
    <n v="11290"/>
    <n v="5"/>
    <x v="0"/>
    <s v="Pooja"/>
    <x v="1"/>
    <s v="rohitverma@gmail.com"/>
    <s v="6467414130"/>
    <x v="1"/>
    <s v="Bad"/>
    <n v="466"/>
    <s v="Returned"/>
    <n v="21451"/>
    <n v="6"/>
    <x v="3"/>
    <x v="1"/>
  </r>
  <r>
    <x v="558"/>
    <x v="0"/>
    <n v="58"/>
    <s v="Male"/>
    <s v="Ludhiana"/>
    <s v="Gujarat"/>
    <d v="2024-09-06T00:00:00"/>
    <d v="2024-09-10T00:00:00"/>
    <x v="0"/>
    <s v="Electronics"/>
    <n v="4"/>
    <n v="37343"/>
    <n v="15"/>
    <x v="1"/>
    <s v="Karan"/>
    <x v="0"/>
    <s v="poojamehta@gmail.com"/>
    <s v="6580499893"/>
    <x v="4"/>
    <s v="Good"/>
    <n v="255"/>
    <s v="Returned"/>
    <n v="126966.2"/>
    <n v="4"/>
    <x v="2"/>
    <x v="1"/>
  </r>
  <r>
    <x v="559"/>
    <x v="43"/>
    <n v="42"/>
    <s v="Female"/>
    <s v="Delhi"/>
    <s v="Punjab"/>
    <d v="2024-06-22T00:00:00"/>
    <d v="2024-06-30T00:00:00"/>
    <x v="4"/>
    <s v="Accessories"/>
    <n v="4"/>
    <n v="41678"/>
    <n v="15"/>
    <x v="2"/>
    <s v="Anjali"/>
    <x v="0"/>
    <s v="Missing"/>
    <s v="8088798145"/>
    <x v="4"/>
    <s v="Bad"/>
    <n v="176"/>
    <s v="Delivered"/>
    <n v="141705.19999999998"/>
    <n v="8"/>
    <x v="9"/>
    <x v="1"/>
  </r>
  <r>
    <x v="560"/>
    <x v="18"/>
    <n v="53"/>
    <s v="Male"/>
    <s v="Pune"/>
    <s v="Punjab"/>
    <d v="2023-10-22T00:00:00"/>
    <d v="2023-10-23T00:00:00"/>
    <x v="5"/>
    <s v="Electronics"/>
    <n v="4"/>
    <n v="17582"/>
    <n v="5"/>
    <x v="1"/>
    <s v="Rohit"/>
    <x v="1"/>
    <s v="snehaagarwal@gmail.com"/>
    <s v="6757934316"/>
    <x v="4"/>
    <s v="Excellent"/>
    <n v="334"/>
    <s v="Cancelled"/>
    <n v="66811.599999999991"/>
    <n v="1"/>
    <x v="5"/>
    <x v="0"/>
  </r>
  <r>
    <x v="561"/>
    <x v="90"/>
    <n v="37"/>
    <s v="Female"/>
    <s v="Mumbai"/>
    <s v="Maharashtra"/>
    <d v="2024-03-08T00:00:00"/>
    <d v="2024-03-10T00:00:00"/>
    <x v="0"/>
    <s v="Accessories"/>
    <n v="1"/>
    <n v="13993"/>
    <n v="15"/>
    <x v="0"/>
    <s v="Karan"/>
    <x v="3"/>
    <s v="vikaspatel@gmail.com"/>
    <s v="8281256524"/>
    <x v="3"/>
    <s v="Excellent"/>
    <n v="195"/>
    <s v="Cancelled"/>
    <n v="11894.05"/>
    <n v="2"/>
    <x v="10"/>
    <x v="1"/>
  </r>
  <r>
    <x v="562"/>
    <x v="60"/>
    <n v="23"/>
    <s v="Female"/>
    <s v="Chandigarh"/>
    <s v="Maharashtra"/>
    <d v="2024-09-09T00:00:00"/>
    <d v="2024-09-13T00:00:00"/>
    <x v="3"/>
    <s v="Electronics"/>
    <n v="2"/>
    <n v="44582"/>
    <n v="10"/>
    <x v="0"/>
    <s v="Vikas"/>
    <x v="0"/>
    <s v="amitsharma@gmail.com"/>
    <s v="7299609606"/>
    <x v="4"/>
    <s v="Good"/>
    <n v="180"/>
    <s v="Returned"/>
    <n v="80247.600000000006"/>
    <n v="4"/>
    <x v="2"/>
    <x v="1"/>
  </r>
  <r>
    <x v="563"/>
    <x v="4"/>
    <n v="27"/>
    <s v="Female"/>
    <s v="Amritsar"/>
    <s v="Punjab"/>
    <d v="2023-08-22T00:00:00"/>
    <d v="2023-08-25T00:00:00"/>
    <x v="2"/>
    <s v="Accessories"/>
    <n v="1"/>
    <n v="60007"/>
    <n v="15"/>
    <x v="2"/>
    <s v="Rohit"/>
    <x v="3"/>
    <s v="rahulyadav@gmail.com"/>
    <s v="9142793380"/>
    <x v="1"/>
    <s v="Bad"/>
    <n v="192"/>
    <s v="Cancelled"/>
    <n v="51005.95"/>
    <n v="3"/>
    <x v="3"/>
    <x v="0"/>
  </r>
  <r>
    <x v="564"/>
    <x v="6"/>
    <n v="43"/>
    <s v="Female"/>
    <s v="Delhi"/>
    <s v="Maharashtra"/>
    <d v="2023-11-11T00:00:00"/>
    <d v="2023-11-12T00:00:00"/>
    <x v="2"/>
    <s v="Accessories"/>
    <n v="5"/>
    <n v="18672"/>
    <n v="10"/>
    <x v="2"/>
    <s v="Pooja"/>
    <x v="0"/>
    <s v="poojayadav@gmail.com"/>
    <s v="7291044675"/>
    <x v="0"/>
    <s v="Excellent"/>
    <n v="85"/>
    <s v="Delivered"/>
    <n v="84024"/>
    <n v="1"/>
    <x v="7"/>
    <x v="0"/>
  </r>
  <r>
    <x v="565"/>
    <x v="18"/>
    <n v="36"/>
    <s v="Male"/>
    <s v="Amritsar"/>
    <s v="Maharashtra"/>
    <d v="2023-09-02T00:00:00"/>
    <d v="2023-09-09T00:00:00"/>
    <x v="4"/>
    <s v="Electronics"/>
    <n v="2"/>
    <n v="69738"/>
    <n v="5"/>
    <x v="0"/>
    <s v="Rohit"/>
    <x v="2"/>
    <s v="snehaagarwal@gmail.com"/>
    <s v="6542252315"/>
    <x v="2"/>
    <s v="Bad"/>
    <n v="131"/>
    <s v="Delivered"/>
    <n v="132502.19999999998"/>
    <n v="7"/>
    <x v="2"/>
    <x v="0"/>
  </r>
  <r>
    <x v="566"/>
    <x v="21"/>
    <n v="31"/>
    <s v="Male"/>
    <s v="Pune"/>
    <s v="Gujarat"/>
    <d v="2024-11-02T00:00:00"/>
    <d v="2024-11-05T00:00:00"/>
    <x v="2"/>
    <s v="Electronics"/>
    <n v="3"/>
    <n v="69124"/>
    <n v="10"/>
    <x v="1"/>
    <s v="Rahul"/>
    <x v="1"/>
    <s v="karansingh@gmail.com"/>
    <s v="9164770606"/>
    <x v="0"/>
    <s v="Average"/>
    <n v="138"/>
    <s v="Cancelled"/>
    <n v="186634.80000000002"/>
    <n v="3"/>
    <x v="7"/>
    <x v="1"/>
  </r>
  <r>
    <x v="567"/>
    <x v="5"/>
    <n v="35"/>
    <s v="Male"/>
    <s v="Jaipur"/>
    <s v="Maharashtra"/>
    <d v="2023-05-24T00:00:00"/>
    <d v="2023-05-29T00:00:00"/>
    <x v="3"/>
    <s v="Electronics"/>
    <n v="1"/>
    <n v="62455"/>
    <n v="10"/>
    <x v="1"/>
    <s v="Priya"/>
    <x v="1"/>
    <s v="karanverma@gmail.com"/>
    <s v="8765283348"/>
    <x v="0"/>
    <s v="Average"/>
    <n v="238"/>
    <s v="Cancelled"/>
    <n v="56209.5"/>
    <n v="5"/>
    <x v="6"/>
    <x v="0"/>
  </r>
  <r>
    <x v="568"/>
    <x v="63"/>
    <n v="23"/>
    <s v="Male"/>
    <s v="Ahmedabad"/>
    <s v="Rajasthan"/>
    <d v="2024-05-08T00:00:00"/>
    <d v="2024-05-17T00:00:00"/>
    <x v="5"/>
    <s v="Accessories"/>
    <n v="1"/>
    <n v="39534"/>
    <n v="0"/>
    <x v="2"/>
    <s v="Rahul"/>
    <x v="2"/>
    <s v="priyagupta@gmail.com"/>
    <s v="7356717554"/>
    <x v="1"/>
    <s v="Excellent"/>
    <n v="169"/>
    <s v="Delivered"/>
    <n v="39534"/>
    <n v="9"/>
    <x v="6"/>
    <x v="1"/>
  </r>
  <r>
    <x v="569"/>
    <x v="22"/>
    <n v="56"/>
    <s v="Male"/>
    <s v="Mumbai"/>
    <s v="Punjab"/>
    <d v="2023-08-06T00:00:00"/>
    <d v="2023-08-13T00:00:00"/>
    <x v="1"/>
    <s v="Accessories"/>
    <n v="2.9447852760736195"/>
    <n v="16135"/>
    <n v="10"/>
    <x v="2"/>
    <s v="Anjali"/>
    <x v="1"/>
    <s v="poojakumar@gmail.com"/>
    <s v="9782269546"/>
    <x v="0"/>
    <s v="Average"/>
    <n v="61"/>
    <s v="Returned"/>
    <n v="42762.699386503067"/>
    <n v="7"/>
    <x v="3"/>
    <x v="0"/>
  </r>
  <r>
    <x v="570"/>
    <x v="38"/>
    <n v="20"/>
    <s v="Female"/>
    <s v="Amritsar"/>
    <s v="Maharashtra"/>
    <d v="2023-06-06T00:00:00"/>
    <d v="2023-06-12T00:00:00"/>
    <x v="3"/>
    <s v="Accessories"/>
    <n v="3"/>
    <n v="76342"/>
    <n v="15"/>
    <x v="0"/>
    <s v="Pooja"/>
    <x v="3"/>
    <s v="Missing"/>
    <s v="8750793450"/>
    <x v="0"/>
    <s v="Excellent"/>
    <n v="213"/>
    <s v="Cancelled"/>
    <n v="194672.1"/>
    <n v="6"/>
    <x v="9"/>
    <x v="0"/>
  </r>
  <r>
    <x v="571"/>
    <x v="73"/>
    <n v="20"/>
    <s v="Female"/>
    <s v="Pune"/>
    <s v="Gujarat"/>
    <d v="2023-04-22T00:00:00"/>
    <d v="2023-04-24T00:00:00"/>
    <x v="1"/>
    <s v="Electronics"/>
    <n v="4"/>
    <n v="77207"/>
    <n v="0"/>
    <x v="1"/>
    <s v="Sneha"/>
    <x v="2"/>
    <s v="priyaagarwal@gmail.com"/>
    <s v="9998357640"/>
    <x v="3"/>
    <s v="Excellent"/>
    <n v="342"/>
    <s v="Returned"/>
    <n v="308828"/>
    <n v="2"/>
    <x v="1"/>
    <x v="0"/>
  </r>
  <r>
    <x v="572"/>
    <x v="55"/>
    <n v="28"/>
    <s v="Male"/>
    <s v="Chandigarh"/>
    <s v="Punjab"/>
    <d v="2024-05-13T00:00:00"/>
    <d v="2024-05-23T00:00:00"/>
    <x v="1"/>
    <s v="Electronics"/>
    <n v="5"/>
    <n v="42655"/>
    <n v="10"/>
    <x v="0"/>
    <s v="Priya"/>
    <x v="2"/>
    <s v="amitverma@gmail.com"/>
    <s v="Missing"/>
    <x v="4"/>
    <s v="Bad"/>
    <n v="228"/>
    <s v="Delivered"/>
    <n v="191947.5"/>
    <n v="10"/>
    <x v="6"/>
    <x v="1"/>
  </r>
  <r>
    <x v="573"/>
    <x v="0"/>
    <n v="36"/>
    <s v="Female"/>
    <s v="Jaipur"/>
    <s v="Delhi"/>
    <d v="2023-05-01T00:00:00"/>
    <d v="2023-05-05T00:00:00"/>
    <x v="3"/>
    <s v="Electronics"/>
    <n v="2.9447852760736195"/>
    <n v="36629"/>
    <n v="5"/>
    <x v="3"/>
    <s v="Rahul"/>
    <x v="0"/>
    <s v="Missing"/>
    <s v="8618426710"/>
    <x v="1"/>
    <s v="Good"/>
    <n v="256"/>
    <s v="Cancelled"/>
    <n v="102471.31288343557"/>
    <n v="4"/>
    <x v="6"/>
    <x v="0"/>
  </r>
  <r>
    <x v="574"/>
    <x v="99"/>
    <n v="27"/>
    <s v="Female"/>
    <s v="Delhi"/>
    <s v="Rajasthan"/>
    <d v="2023-10-04T00:00:00"/>
    <d v="2023-10-08T00:00:00"/>
    <x v="5"/>
    <s v="Accessories"/>
    <n v="3"/>
    <n v="39208"/>
    <n v="0"/>
    <x v="0"/>
    <s v="Amit"/>
    <x v="2"/>
    <s v="Missing"/>
    <s v="7417487401"/>
    <x v="0"/>
    <s v="Average"/>
    <n v="458"/>
    <s v="Returned"/>
    <n v="117624"/>
    <n v="4"/>
    <x v="5"/>
    <x v="0"/>
  </r>
  <r>
    <x v="575"/>
    <x v="52"/>
    <n v="37"/>
    <s v="Male"/>
    <s v="Mumbai"/>
    <s v="Rajasthan"/>
    <d v="2023-12-12T00:00:00"/>
    <d v="2023-12-13T00:00:00"/>
    <x v="5"/>
    <s v="Accessories"/>
    <n v="5"/>
    <n v="34638"/>
    <n v="15"/>
    <x v="2"/>
    <s v="Pooja"/>
    <x v="2"/>
    <s v="rohitsharma@gmail.com"/>
    <s v="6314165451"/>
    <x v="3"/>
    <s v="Bad"/>
    <n v="241"/>
    <s v="Delivered"/>
    <n v="147211.5"/>
    <n v="1"/>
    <x v="11"/>
    <x v="0"/>
  </r>
  <r>
    <x v="576"/>
    <x v="58"/>
    <n v="31"/>
    <s v="Female"/>
    <s v="Pune"/>
    <s v="Maharashtra"/>
    <d v="2024-11-13T00:00:00"/>
    <d v="2024-11-22T00:00:00"/>
    <x v="4"/>
    <s v="Accessories"/>
    <n v="1"/>
    <n v="54099"/>
    <n v="5"/>
    <x v="1"/>
    <s v="Amit"/>
    <x v="3"/>
    <s v="vikasgupta@gmail.com"/>
    <s v="8913265166"/>
    <x v="4"/>
    <s v="Good"/>
    <n v="448"/>
    <s v="Cancelled"/>
    <n v="51394.049999999996"/>
    <n v="9"/>
    <x v="7"/>
    <x v="1"/>
  </r>
  <r>
    <x v="577"/>
    <x v="48"/>
    <n v="54"/>
    <s v="Female"/>
    <s v="Jaipur"/>
    <s v="Delhi"/>
    <d v="2024-06-11T00:00:00"/>
    <d v="2024-06-17T00:00:00"/>
    <x v="4"/>
    <s v="Electronics"/>
    <n v="5"/>
    <n v="77102"/>
    <n v="5"/>
    <x v="2"/>
    <s v="Vikas"/>
    <x v="0"/>
    <s v="anjalijoshi@gmail.com"/>
    <s v="7616024315"/>
    <x v="3"/>
    <s v="Excellent"/>
    <n v="319"/>
    <s v="Delivered"/>
    <n v="366234.5"/>
    <n v="6"/>
    <x v="9"/>
    <x v="1"/>
  </r>
  <r>
    <x v="578"/>
    <x v="7"/>
    <n v="55"/>
    <s v="Female"/>
    <s v="Ahmedabad"/>
    <s v="Maharashtra"/>
    <d v="2023-10-27T00:00:00"/>
    <d v="2023-11-02T00:00:00"/>
    <x v="2"/>
    <s v="Electronics"/>
    <n v="5"/>
    <n v="62464"/>
    <n v="0"/>
    <x v="3"/>
    <s v="Priya"/>
    <x v="2"/>
    <s v="vikasyadav@gmail.com"/>
    <s v="6850890642"/>
    <x v="3"/>
    <s v="Good"/>
    <n v="156"/>
    <s v="Cancelled"/>
    <n v="312320"/>
    <n v="6"/>
    <x v="5"/>
    <x v="0"/>
  </r>
  <r>
    <x v="579"/>
    <x v="47"/>
    <n v="40"/>
    <s v="Female"/>
    <s v="Amritsar"/>
    <s v="Maharashtra"/>
    <d v="2024-08-01T00:00:00"/>
    <d v="2024-08-02T00:00:00"/>
    <x v="1"/>
    <s v="Accessories"/>
    <n v="5"/>
    <n v="67301"/>
    <n v="0"/>
    <x v="2"/>
    <s v="Karan"/>
    <x v="2"/>
    <s v="nehaagarwal@gmail.com"/>
    <s v="6613181603"/>
    <x v="3"/>
    <s v="Bad"/>
    <n v="161"/>
    <s v="Returned"/>
    <n v="336505"/>
    <n v="1"/>
    <x v="3"/>
    <x v="1"/>
  </r>
  <r>
    <x v="580"/>
    <x v="25"/>
    <n v="36"/>
    <s v="Female"/>
    <s v="Ludhiana"/>
    <s v="Rajasthan"/>
    <d v="2024-08-13T00:00:00"/>
    <d v="2024-08-17T00:00:00"/>
    <x v="2"/>
    <s v="Accessories"/>
    <n v="4"/>
    <n v="18420"/>
    <n v="5"/>
    <x v="3"/>
    <s v="Pooja"/>
    <x v="0"/>
    <s v="Missing"/>
    <s v="7141810687"/>
    <x v="3"/>
    <s v="Excellent"/>
    <n v="162"/>
    <s v="Cancelled"/>
    <n v="69996"/>
    <n v="4"/>
    <x v="3"/>
    <x v="1"/>
  </r>
  <r>
    <x v="581"/>
    <x v="21"/>
    <n v="29"/>
    <s v="Male"/>
    <s v="Mumbai"/>
    <s v="Maharashtra"/>
    <d v="2023-04-02T00:00:00"/>
    <d v="2023-04-03T00:00:00"/>
    <x v="1"/>
    <s v="Electronics"/>
    <n v="2.9447852760736195"/>
    <n v="17798"/>
    <n v="15"/>
    <x v="1"/>
    <s v="Pooja"/>
    <x v="3"/>
    <s v="karansingh@gmail.com"/>
    <s v="9671678819"/>
    <x v="4"/>
    <s v="Good"/>
    <n v="330"/>
    <s v="Returned"/>
    <n v="44549.595092024538"/>
    <n v="1"/>
    <x v="1"/>
    <x v="0"/>
  </r>
  <r>
    <x v="582"/>
    <x v="77"/>
    <n v="20"/>
    <s v="Male"/>
    <s v="Mumbai"/>
    <s v="Punjab"/>
    <d v="2023-05-20T00:00:00"/>
    <d v="2023-05-22T00:00:00"/>
    <x v="4"/>
    <s v="Accessories"/>
    <n v="5"/>
    <n v="19103"/>
    <n v="0"/>
    <x v="3"/>
    <s v="Sneha"/>
    <x v="1"/>
    <s v="rohitkumar@gmail.com"/>
    <s v="7305247490"/>
    <x v="4"/>
    <s v="Good"/>
    <n v="242"/>
    <s v="Returned"/>
    <n v="95515"/>
    <n v="2"/>
    <x v="6"/>
    <x v="0"/>
  </r>
  <r>
    <x v="583"/>
    <x v="91"/>
    <n v="47"/>
    <s v="Male"/>
    <s v="Chandigarh"/>
    <s v="Delhi"/>
    <d v="2024-03-08T00:00:00"/>
    <d v="2024-03-17T00:00:00"/>
    <x v="0"/>
    <s v="Electronics"/>
    <n v="1"/>
    <n v="58674"/>
    <n v="0"/>
    <x v="0"/>
    <s v="Rahul"/>
    <x v="1"/>
    <s v="nehakumar@gmail.com"/>
    <s v="8037015401"/>
    <x v="1"/>
    <s v="Bad"/>
    <n v="337"/>
    <s v="Cancelled"/>
    <n v="58674"/>
    <n v="9"/>
    <x v="10"/>
    <x v="1"/>
  </r>
  <r>
    <x v="584"/>
    <x v="81"/>
    <n v="24"/>
    <s v="Female"/>
    <s v="Delhi"/>
    <s v="Gujarat"/>
    <d v="2023-04-18T00:00:00"/>
    <d v="2023-04-25T00:00:00"/>
    <x v="2"/>
    <s v="Accessories"/>
    <n v="4"/>
    <n v="77562"/>
    <n v="5"/>
    <x v="0"/>
    <s v="Amit"/>
    <x v="3"/>
    <s v="poojajoshi@gmail.com"/>
    <s v="6217111923"/>
    <x v="3"/>
    <s v="Average"/>
    <n v="446"/>
    <s v="Cancelled"/>
    <n v="294735.59999999998"/>
    <n v="7"/>
    <x v="1"/>
    <x v="0"/>
  </r>
  <r>
    <x v="585"/>
    <x v="23"/>
    <n v="25"/>
    <s v="Male"/>
    <s v="Mumbai"/>
    <s v="Delhi"/>
    <d v="2024-11-18T00:00:00"/>
    <d v="2024-11-26T00:00:00"/>
    <x v="4"/>
    <s v="Electronics"/>
    <n v="1"/>
    <n v="45676"/>
    <n v="5"/>
    <x v="1"/>
    <s v="Sneha"/>
    <x v="0"/>
    <s v="karanagarwal@gmail.com"/>
    <s v="9738021430"/>
    <x v="4"/>
    <s v="Bad"/>
    <n v="268"/>
    <s v="Returned"/>
    <n v="43392.2"/>
    <n v="8"/>
    <x v="7"/>
    <x v="1"/>
  </r>
  <r>
    <x v="586"/>
    <x v="41"/>
    <n v="45"/>
    <s v="Male"/>
    <s v="Jaipur"/>
    <s v="Rajasthan"/>
    <d v="2023-02-07T00:00:00"/>
    <d v="2023-02-08T00:00:00"/>
    <x v="0"/>
    <s v="Accessories"/>
    <n v="2"/>
    <n v="63190"/>
    <n v="5"/>
    <x v="1"/>
    <s v="Rahul"/>
    <x v="2"/>
    <s v="priyakumar@gmail.com"/>
    <s v="7706046893"/>
    <x v="2"/>
    <s v="Good"/>
    <n v="163"/>
    <s v="Delivered"/>
    <n v="120061"/>
    <n v="1"/>
    <x v="8"/>
    <x v="0"/>
  </r>
  <r>
    <x v="587"/>
    <x v="86"/>
    <n v="20"/>
    <s v="Female"/>
    <s v="Jaipur"/>
    <s v="Gujarat"/>
    <d v="2024-02-04T00:00:00"/>
    <d v="2024-02-05T00:00:00"/>
    <x v="3"/>
    <s v="Accessories"/>
    <n v="1"/>
    <n v="20858"/>
    <n v="15"/>
    <x v="2"/>
    <s v="Rahul"/>
    <x v="2"/>
    <s v="rohitsingh@gmail.com"/>
    <s v="8648364608"/>
    <x v="4"/>
    <s v="Excellent"/>
    <n v="311"/>
    <s v="Cancelled"/>
    <n v="17729.3"/>
    <n v="1"/>
    <x v="8"/>
    <x v="1"/>
  </r>
  <r>
    <x v="588"/>
    <x v="62"/>
    <n v="48"/>
    <s v="Female"/>
    <s v="Chandigarh"/>
    <s v="Delhi"/>
    <d v="2023-09-02T00:00:00"/>
    <d v="2023-09-06T00:00:00"/>
    <x v="4"/>
    <s v="Accessories"/>
    <n v="2"/>
    <n v="43640"/>
    <n v="0"/>
    <x v="2"/>
    <s v="Pooja"/>
    <x v="1"/>
    <s v="anjalisingh@gmail.com"/>
    <s v="8287361208"/>
    <x v="0"/>
    <s v="Bad"/>
    <n v="458"/>
    <s v="Returned"/>
    <n v="87280"/>
    <n v="4"/>
    <x v="2"/>
    <x v="0"/>
  </r>
  <r>
    <x v="589"/>
    <x v="68"/>
    <n v="39"/>
    <s v="Male"/>
    <s v="Chandigarh"/>
    <s v="Punjab"/>
    <d v="2023-05-23T00:00:00"/>
    <d v="2023-05-30T00:00:00"/>
    <x v="5"/>
    <s v="Accessories"/>
    <n v="2"/>
    <n v="12764"/>
    <n v="10"/>
    <x v="0"/>
    <s v="Anjali"/>
    <x v="3"/>
    <s v="Missing"/>
    <s v="Missing"/>
    <x v="3"/>
    <s v="Good"/>
    <n v="480"/>
    <s v="Cancelled"/>
    <n v="22975.200000000001"/>
    <n v="7"/>
    <x v="6"/>
    <x v="0"/>
  </r>
  <r>
    <x v="590"/>
    <x v="3"/>
    <n v="49"/>
    <s v="Male"/>
    <s v="Mumbai"/>
    <s v="Rajasthan"/>
    <d v="2024-01-01T00:00:00"/>
    <d v="2024-01-03T00:00:00"/>
    <x v="5"/>
    <s v="Accessories"/>
    <n v="1"/>
    <n v="22055"/>
    <n v="0"/>
    <x v="3"/>
    <s v="Amit"/>
    <x v="2"/>
    <s v="anjalipatel@gmail.com"/>
    <s v="7896039799"/>
    <x v="2"/>
    <s v="Bad"/>
    <n v="209"/>
    <s v="Returned"/>
    <n v="22055"/>
    <n v="2"/>
    <x v="0"/>
    <x v="1"/>
  </r>
  <r>
    <x v="591"/>
    <x v="17"/>
    <n v="30"/>
    <s v="Male"/>
    <s v="Amritsar"/>
    <s v="Gujarat"/>
    <d v="2023-08-21T00:00:00"/>
    <d v="2023-08-27T00:00:00"/>
    <x v="5"/>
    <s v="Electronics"/>
    <n v="3"/>
    <n v="7146"/>
    <n v="10"/>
    <x v="1"/>
    <s v="Pooja"/>
    <x v="3"/>
    <s v="rohitpatel@gmail.com"/>
    <s v="Missing"/>
    <x v="0"/>
    <s v="Bad"/>
    <n v="302"/>
    <s v="Delivered"/>
    <n v="19294.2"/>
    <n v="6"/>
    <x v="3"/>
    <x v="0"/>
  </r>
  <r>
    <x v="592"/>
    <x v="13"/>
    <n v="36"/>
    <s v="Female"/>
    <s v="Amritsar"/>
    <s v="Rajasthan"/>
    <d v="2024-03-20T00:00:00"/>
    <d v="2024-03-23T00:00:00"/>
    <x v="2"/>
    <s v="Accessories"/>
    <n v="1"/>
    <n v="32541"/>
    <n v="0"/>
    <x v="3"/>
    <s v="Vikas"/>
    <x v="2"/>
    <s v="priyayadav@gmail.com"/>
    <s v="8002045238"/>
    <x v="0"/>
    <s v="Average"/>
    <n v="424"/>
    <s v="Delivered"/>
    <n v="32541"/>
    <n v="3"/>
    <x v="10"/>
    <x v="1"/>
  </r>
  <r>
    <x v="593"/>
    <x v="6"/>
    <n v="29"/>
    <s v="Female"/>
    <s v="Pune"/>
    <s v="Gujarat"/>
    <d v="2024-07-20T00:00:00"/>
    <d v="2024-07-22T00:00:00"/>
    <x v="2"/>
    <s v="Accessories"/>
    <n v="4"/>
    <n v="45799"/>
    <n v="0"/>
    <x v="0"/>
    <s v="Vikas"/>
    <x v="1"/>
    <s v="poojayadav@gmail.com"/>
    <s v="8477499579"/>
    <x v="4"/>
    <s v="Good"/>
    <n v="161"/>
    <s v="Returned"/>
    <n v="183196"/>
    <n v="2"/>
    <x v="4"/>
    <x v="1"/>
  </r>
  <r>
    <x v="594"/>
    <x v="58"/>
    <n v="32"/>
    <s v="Male"/>
    <s v="Amritsar"/>
    <s v="Punjab"/>
    <d v="2023-11-04T00:00:00"/>
    <d v="2023-11-09T00:00:00"/>
    <x v="4"/>
    <s v="Accessories"/>
    <n v="4"/>
    <n v="32191"/>
    <n v="10"/>
    <x v="0"/>
    <s v="Rahul"/>
    <x v="0"/>
    <s v="vikasgupta@gmail.com"/>
    <s v="6714979918"/>
    <x v="1"/>
    <s v="Excellent"/>
    <n v="415"/>
    <s v="Returned"/>
    <n v="115887.6"/>
    <n v="5"/>
    <x v="7"/>
    <x v="0"/>
  </r>
  <r>
    <x v="595"/>
    <x v="60"/>
    <n v="39"/>
    <s v="Male"/>
    <s v="Pune"/>
    <s v="Rajasthan"/>
    <d v="2024-09-19T00:00:00"/>
    <d v="2024-09-27T00:00:00"/>
    <x v="3"/>
    <s v="Electronics"/>
    <n v="3"/>
    <n v="32196"/>
    <n v="10"/>
    <x v="0"/>
    <s v="Rohit"/>
    <x v="0"/>
    <s v="amitsharma@gmail.com"/>
    <s v="9593779657"/>
    <x v="0"/>
    <s v="Good"/>
    <n v="360"/>
    <s v="Cancelled"/>
    <n v="86929.2"/>
    <n v="8"/>
    <x v="2"/>
    <x v="1"/>
  </r>
  <r>
    <x v="596"/>
    <x v="56"/>
    <n v="36"/>
    <s v="Male"/>
    <s v="Amritsar"/>
    <s v="Rajasthan"/>
    <d v="2024-10-01T00:00:00"/>
    <d v="2024-10-11T00:00:00"/>
    <x v="3"/>
    <s v="Electronics"/>
    <n v="4"/>
    <n v="16421"/>
    <n v="5"/>
    <x v="3"/>
    <s v="Priya"/>
    <x v="3"/>
    <s v="anjalisharma@gmail.com"/>
    <s v="6233547138"/>
    <x v="1"/>
    <s v="Good"/>
    <n v="110"/>
    <s v="Returned"/>
    <n v="62399.799999999996"/>
    <n v="10"/>
    <x v="5"/>
    <x v="1"/>
  </r>
  <r>
    <x v="597"/>
    <x v="33"/>
    <n v="37"/>
    <s v="Female"/>
    <s v="Ludhiana"/>
    <s v="Gujarat"/>
    <d v="2024-09-27T00:00:00"/>
    <d v="2024-09-29T00:00:00"/>
    <x v="2"/>
    <s v="Accessories"/>
    <n v="2"/>
    <n v="49793"/>
    <n v="10"/>
    <x v="0"/>
    <s v="Pooja"/>
    <x v="3"/>
    <s v="poojapatel@gmail.com"/>
    <s v="7340743494"/>
    <x v="2"/>
    <s v="Bad"/>
    <n v="71"/>
    <s v="Cancelled"/>
    <n v="89627.400000000009"/>
    <n v="2"/>
    <x v="2"/>
    <x v="1"/>
  </r>
  <r>
    <x v="598"/>
    <x v="75"/>
    <n v="34"/>
    <s v="Male"/>
    <s v="Mumbai"/>
    <s v="Punjab"/>
    <d v="2023-08-11T00:00:00"/>
    <d v="2023-08-13T00:00:00"/>
    <x v="3"/>
    <s v="Electronics"/>
    <n v="4"/>
    <n v="30119"/>
    <n v="5"/>
    <x v="2"/>
    <s v="Anjali"/>
    <x v="0"/>
    <s v="Missing"/>
    <s v="8163933441"/>
    <x v="0"/>
    <s v="Good"/>
    <n v="81"/>
    <s v="Cancelled"/>
    <n v="114452.2"/>
    <n v="2"/>
    <x v="3"/>
    <x v="0"/>
  </r>
  <r>
    <x v="599"/>
    <x v="5"/>
    <n v="24"/>
    <s v="Male"/>
    <s v="Ahmedabad"/>
    <s v="Rajasthan"/>
    <d v="2023-03-01T00:00:00"/>
    <d v="2023-03-03T00:00:00"/>
    <x v="4"/>
    <s v="Electronics"/>
    <n v="1"/>
    <n v="20715"/>
    <n v="0"/>
    <x v="0"/>
    <s v="Neha"/>
    <x v="2"/>
    <s v="karanverma@gmail.com"/>
    <s v="7936548048"/>
    <x v="1"/>
    <s v="Average"/>
    <n v="142"/>
    <s v="Delivered"/>
    <n v="20715"/>
    <n v="2"/>
    <x v="10"/>
    <x v="0"/>
  </r>
  <r>
    <x v="600"/>
    <x v="21"/>
    <n v="45"/>
    <s v="Female"/>
    <s v="Amritsar"/>
    <s v="Punjab"/>
    <d v="2023-05-30T00:00:00"/>
    <d v="2023-06-08T00:00:00"/>
    <x v="1"/>
    <s v="Electronics"/>
    <n v="2"/>
    <n v="76293"/>
    <n v="5"/>
    <x v="2"/>
    <s v="Vikas"/>
    <x v="0"/>
    <s v="karansingh@gmail.com"/>
    <s v="8422336351"/>
    <x v="1"/>
    <s v="Average"/>
    <n v="332"/>
    <s v="Returned"/>
    <n v="144956.69999999998"/>
    <n v="9"/>
    <x v="6"/>
    <x v="0"/>
  </r>
  <r>
    <x v="601"/>
    <x v="6"/>
    <n v="31"/>
    <s v="Male"/>
    <s v="Chandigarh"/>
    <s v="Maharashtra"/>
    <d v="2023-03-20T00:00:00"/>
    <d v="2023-03-25T00:00:00"/>
    <x v="0"/>
    <s v="Electronics"/>
    <n v="1"/>
    <n v="42109.716287215415"/>
    <n v="15"/>
    <x v="3"/>
    <s v="Priya"/>
    <x v="1"/>
    <s v="poojayadav@gmail.com"/>
    <s v="8134909230"/>
    <x v="0"/>
    <s v="Bad"/>
    <n v="161"/>
    <s v="Delivered"/>
    <n v="35793.258844133103"/>
    <n v="5"/>
    <x v="10"/>
    <x v="0"/>
  </r>
  <r>
    <x v="602"/>
    <x v="21"/>
    <n v="58"/>
    <s v="Female"/>
    <s v="Chandigarh"/>
    <s v="Maharashtra"/>
    <d v="2024-10-24T00:00:00"/>
    <d v="2024-11-03T00:00:00"/>
    <x v="4"/>
    <s v="Electronics"/>
    <n v="5"/>
    <n v="73566"/>
    <n v="0"/>
    <x v="3"/>
    <s v="Priya"/>
    <x v="2"/>
    <s v="karansingh@gmail.com"/>
    <s v="6221416317"/>
    <x v="3"/>
    <s v="Average"/>
    <n v="169"/>
    <s v="Returned"/>
    <n v="367830"/>
    <n v="10"/>
    <x v="5"/>
    <x v="1"/>
  </r>
  <r>
    <x v="603"/>
    <x v="79"/>
    <n v="55"/>
    <s v="Female"/>
    <s v="Delhi"/>
    <s v="Maharashtra"/>
    <d v="2023-02-24T00:00:00"/>
    <d v="2023-02-28T00:00:00"/>
    <x v="3"/>
    <s v="Electronics"/>
    <n v="1"/>
    <n v="74368"/>
    <n v="5"/>
    <x v="1"/>
    <s v="Amit"/>
    <x v="0"/>
    <s v="rahulpatel@gmail.com"/>
    <s v="6467027567"/>
    <x v="1"/>
    <s v="Average"/>
    <n v="205"/>
    <s v="Cancelled"/>
    <n v="70649.599999999991"/>
    <n v="4"/>
    <x v="8"/>
    <x v="0"/>
  </r>
  <r>
    <x v="604"/>
    <x v="58"/>
    <n v="26"/>
    <s v="Male"/>
    <s v="Amritsar"/>
    <s v="Rajasthan"/>
    <d v="2023-03-29T00:00:00"/>
    <d v="2023-04-04T00:00:00"/>
    <x v="0"/>
    <s v="Accessories"/>
    <n v="1"/>
    <n v="29335"/>
    <n v="0"/>
    <x v="2"/>
    <s v="Amit"/>
    <x v="3"/>
    <s v="vikasgupta@gmail.com"/>
    <s v="9804820195"/>
    <x v="4"/>
    <s v="Bad"/>
    <n v="213"/>
    <s v="Cancelled"/>
    <n v="29335"/>
    <n v="6"/>
    <x v="10"/>
    <x v="0"/>
  </r>
  <r>
    <x v="605"/>
    <x v="45"/>
    <n v="24"/>
    <s v="Male"/>
    <s v="Amritsar"/>
    <s v="Rajasthan"/>
    <d v="2023-07-27T00:00:00"/>
    <d v="2023-07-28T00:00:00"/>
    <x v="3"/>
    <s v="Electronics"/>
    <n v="5"/>
    <n v="67880"/>
    <n v="5"/>
    <x v="2"/>
    <s v="Pooja"/>
    <x v="2"/>
    <s v="snehakumar@gmail.com"/>
    <s v="7341333308"/>
    <x v="0"/>
    <s v="Bad"/>
    <n v="72"/>
    <s v="Cancelled"/>
    <n v="322430"/>
    <n v="1"/>
    <x v="4"/>
    <x v="0"/>
  </r>
  <r>
    <x v="606"/>
    <x v="34"/>
    <n v="60"/>
    <s v="Female"/>
    <s v="Pune"/>
    <s v="Rajasthan"/>
    <d v="2024-10-08T00:00:00"/>
    <d v="2024-10-16T00:00:00"/>
    <x v="5"/>
    <s v="Accessories"/>
    <n v="3"/>
    <n v="20512"/>
    <n v="5"/>
    <x v="3"/>
    <s v="Karan"/>
    <x v="0"/>
    <s v="snehapatel@gmail.com"/>
    <s v="7133730523"/>
    <x v="2"/>
    <s v="Excellent"/>
    <n v="65"/>
    <s v="Returned"/>
    <n v="58459.199999999997"/>
    <n v="8"/>
    <x v="5"/>
    <x v="1"/>
  </r>
  <r>
    <x v="607"/>
    <x v="59"/>
    <n v="53"/>
    <s v="Male"/>
    <s v="Delhi"/>
    <s v="Delhi"/>
    <d v="2023-06-10T00:00:00"/>
    <d v="2023-06-17T00:00:00"/>
    <x v="2"/>
    <s v="Electronics"/>
    <n v="2"/>
    <n v="64493"/>
    <n v="5"/>
    <x v="0"/>
    <s v="Sneha"/>
    <x v="3"/>
    <s v="amitjoshi@gmail.com"/>
    <s v="Missing"/>
    <x v="0"/>
    <s v="Good"/>
    <n v="304"/>
    <s v="Returned"/>
    <n v="122536.7"/>
    <n v="7"/>
    <x v="9"/>
    <x v="0"/>
  </r>
  <r>
    <x v="608"/>
    <x v="93"/>
    <n v="23"/>
    <s v="Male"/>
    <s v="Jaipur"/>
    <s v="Punjab"/>
    <d v="2024-02-29T00:00:00"/>
    <d v="2024-03-08T00:00:00"/>
    <x v="2"/>
    <s v="Accessories"/>
    <n v="4"/>
    <n v="49378"/>
    <n v="15"/>
    <x v="1"/>
    <s v="Priya"/>
    <x v="0"/>
    <s v="karangupta@gmail.com"/>
    <s v="7193978350"/>
    <x v="0"/>
    <s v="Average"/>
    <n v="485"/>
    <s v="Delivered"/>
    <n v="167885.19999999998"/>
    <n v="8"/>
    <x v="8"/>
    <x v="1"/>
  </r>
  <r>
    <x v="609"/>
    <x v="75"/>
    <n v="47"/>
    <s v="Female"/>
    <s v="Ahmedabad"/>
    <s v="Delhi"/>
    <d v="2023-12-01T00:00:00"/>
    <d v="2023-12-05T00:00:00"/>
    <x v="1"/>
    <s v="Accessories"/>
    <n v="3"/>
    <n v="60659"/>
    <n v="0"/>
    <x v="3"/>
    <s v="Karan"/>
    <x v="3"/>
    <s v="rohitmehta@gmail.com"/>
    <s v="8469133289"/>
    <x v="0"/>
    <s v="Excellent"/>
    <n v="58"/>
    <s v="Delivered"/>
    <n v="181977"/>
    <n v="4"/>
    <x v="11"/>
    <x v="0"/>
  </r>
  <r>
    <x v="610"/>
    <x v="99"/>
    <n v="37"/>
    <s v="Female"/>
    <s v="Amritsar"/>
    <s v="Gujarat"/>
    <d v="2024-07-16T00:00:00"/>
    <d v="2024-07-17T00:00:00"/>
    <x v="1"/>
    <s v="Accessories"/>
    <n v="5"/>
    <n v="19434"/>
    <n v="0"/>
    <x v="2"/>
    <s v="Sneha"/>
    <x v="2"/>
    <s v="snehaverma@gmail.com"/>
    <s v="7591238622"/>
    <x v="3"/>
    <s v="Bad"/>
    <n v="310"/>
    <s v="Delivered"/>
    <n v="97170"/>
    <n v="1"/>
    <x v="4"/>
    <x v="1"/>
  </r>
  <r>
    <x v="611"/>
    <x v="9"/>
    <n v="60"/>
    <s v="Male"/>
    <s v="Chandigarh"/>
    <s v="Punjab"/>
    <d v="2024-03-10T00:00:00"/>
    <d v="2024-03-15T00:00:00"/>
    <x v="1"/>
    <s v="Electronics"/>
    <n v="3"/>
    <n v="16207"/>
    <n v="10"/>
    <x v="3"/>
    <s v="Amit"/>
    <x v="2"/>
    <s v="anjaligupta@gmail.com"/>
    <s v="9167427895"/>
    <x v="3"/>
    <s v="Average"/>
    <n v="252"/>
    <s v="Cancelled"/>
    <n v="43758.9"/>
    <n v="5"/>
    <x v="10"/>
    <x v="1"/>
  </r>
  <r>
    <x v="612"/>
    <x v="43"/>
    <n v="26"/>
    <s v="Female"/>
    <s v="Ludhiana"/>
    <s v="Gujarat"/>
    <d v="2023-08-01T00:00:00"/>
    <d v="2023-08-06T00:00:00"/>
    <x v="1"/>
    <s v="Accessories"/>
    <n v="1"/>
    <n v="46557"/>
    <n v="0"/>
    <x v="1"/>
    <s v="Anjali"/>
    <x v="3"/>
    <s v="amitpatel@gmail.com"/>
    <s v="Missing"/>
    <x v="0"/>
    <s v="Bad"/>
    <n v="219"/>
    <s v="Cancelled"/>
    <n v="46557"/>
    <n v="5"/>
    <x v="3"/>
    <x v="0"/>
  </r>
  <r>
    <x v="613"/>
    <x v="0"/>
    <n v="35"/>
    <s v="Male"/>
    <s v="Ludhiana"/>
    <s v="Delhi"/>
    <d v="2024-04-20T00:00:00"/>
    <d v="2024-04-28T00:00:00"/>
    <x v="1"/>
    <s v="Electronics"/>
    <n v="1"/>
    <n v="12462"/>
    <n v="10"/>
    <x v="2"/>
    <s v="Rohit"/>
    <x v="0"/>
    <s v="poojamehta@gmail.com"/>
    <s v="9457264869"/>
    <x v="4"/>
    <s v="Excellent"/>
    <n v="76"/>
    <s v="Delivered"/>
    <n v="11215.800000000001"/>
    <n v="8"/>
    <x v="1"/>
    <x v="1"/>
  </r>
  <r>
    <x v="614"/>
    <x v="18"/>
    <n v="30"/>
    <s v="Female"/>
    <s v="Pune"/>
    <s v="Rajasthan"/>
    <d v="2023-09-12T00:00:00"/>
    <d v="2023-09-15T00:00:00"/>
    <x v="1"/>
    <s v="Electronics"/>
    <n v="1"/>
    <n v="52752"/>
    <n v="5"/>
    <x v="2"/>
    <s v="Pooja"/>
    <x v="0"/>
    <s v="snehaagarwal@gmail.com"/>
    <s v="8055464416"/>
    <x v="3"/>
    <s v="Bad"/>
    <n v="130"/>
    <s v="Returned"/>
    <n v="50114.399999999994"/>
    <n v="3"/>
    <x v="2"/>
    <x v="0"/>
  </r>
  <r>
    <x v="615"/>
    <x v="92"/>
    <n v="34"/>
    <s v="Male"/>
    <s v="Mumbai"/>
    <s v="Rajasthan"/>
    <d v="2023-12-09T00:00:00"/>
    <d v="2023-12-11T00:00:00"/>
    <x v="3"/>
    <s v="Electronics"/>
    <n v="1"/>
    <n v="32657"/>
    <n v="0"/>
    <x v="3"/>
    <s v="Vikas"/>
    <x v="3"/>
    <s v="anjaliyadav@gmail.com"/>
    <s v="8229331872"/>
    <x v="4"/>
    <s v="Good"/>
    <n v="461"/>
    <s v="Cancelled"/>
    <n v="32657"/>
    <n v="2"/>
    <x v="11"/>
    <x v="0"/>
  </r>
  <r>
    <x v="616"/>
    <x v="91"/>
    <n v="24"/>
    <s v="Female"/>
    <s v="Pune"/>
    <s v="Rajasthan"/>
    <d v="2023-09-02T00:00:00"/>
    <d v="2023-09-11T00:00:00"/>
    <x v="5"/>
    <s v="Electronics"/>
    <n v="1"/>
    <n v="24562"/>
    <n v="5"/>
    <x v="3"/>
    <s v="Rohit"/>
    <x v="3"/>
    <s v="nehakumar@gmail.com"/>
    <s v="8566098187"/>
    <x v="0"/>
    <s v="Good"/>
    <n v="318"/>
    <s v="Returned"/>
    <n v="23333.899999999998"/>
    <n v="9"/>
    <x v="2"/>
    <x v="0"/>
  </r>
  <r>
    <x v="617"/>
    <x v="75"/>
    <n v="41"/>
    <s v="Male"/>
    <s v="Jaipur"/>
    <s v="Rajasthan"/>
    <d v="2023-09-29T00:00:00"/>
    <d v="2023-10-04T00:00:00"/>
    <x v="5"/>
    <s v="Electronics"/>
    <n v="2"/>
    <n v="8423"/>
    <n v="10"/>
    <x v="1"/>
    <s v="Sneha"/>
    <x v="1"/>
    <s v="rohitmehta@gmail.com"/>
    <s v="6023223511"/>
    <x v="4"/>
    <s v="Bad"/>
    <n v="71"/>
    <s v="Cancelled"/>
    <n v="15161.4"/>
    <n v="5"/>
    <x v="2"/>
    <x v="0"/>
  </r>
  <r>
    <x v="618"/>
    <x v="86"/>
    <n v="58"/>
    <s v="Female"/>
    <s v="Delhi"/>
    <s v="Maharashtra"/>
    <d v="2023-02-08T00:00:00"/>
    <d v="2023-02-09T00:00:00"/>
    <x v="2"/>
    <s v="Accessories"/>
    <n v="4"/>
    <n v="78459"/>
    <n v="15"/>
    <x v="1"/>
    <s v="Vikas"/>
    <x v="0"/>
    <s v="rohitsingh@gmail.com"/>
    <s v="7986087236"/>
    <x v="2"/>
    <s v="Good"/>
    <n v="352"/>
    <s v="Delivered"/>
    <n v="266760.59999999998"/>
    <n v="1"/>
    <x v="8"/>
    <x v="0"/>
  </r>
  <r>
    <x v="619"/>
    <x v="77"/>
    <n v="25"/>
    <s v="Male"/>
    <s v="Jaipur"/>
    <s v="Rajasthan"/>
    <d v="2024-02-24T00:00:00"/>
    <d v="2024-03-02T00:00:00"/>
    <x v="4"/>
    <s v="Accessories"/>
    <n v="5"/>
    <n v="52722"/>
    <n v="15"/>
    <x v="3"/>
    <s v="Pooja"/>
    <x v="2"/>
    <s v="rohitkumar@gmail.com"/>
    <s v="6623753189"/>
    <x v="1"/>
    <s v="Excellent"/>
    <n v="462"/>
    <s v="Cancelled"/>
    <n v="224068.5"/>
    <n v="7"/>
    <x v="8"/>
    <x v="1"/>
  </r>
  <r>
    <x v="620"/>
    <x v="23"/>
    <n v="32"/>
    <s v="Male"/>
    <s v="Amritsar"/>
    <s v="Rajasthan"/>
    <d v="2023-01-04T00:00:00"/>
    <d v="2023-01-09T00:00:00"/>
    <x v="5"/>
    <s v="Electronics"/>
    <n v="1"/>
    <n v="26716"/>
    <n v="5"/>
    <x v="0"/>
    <s v="Neha"/>
    <x v="3"/>
    <s v="karanagarwal@gmail.com"/>
    <s v="9795421872"/>
    <x v="0"/>
    <s v="Excellent"/>
    <n v="409"/>
    <s v="Cancelled"/>
    <n v="25380.199999999997"/>
    <n v="5"/>
    <x v="0"/>
    <x v="0"/>
  </r>
  <r>
    <x v="621"/>
    <x v="67"/>
    <n v="31"/>
    <s v="Male"/>
    <s v="Ludhiana"/>
    <s v="Rajasthan"/>
    <d v="2024-10-08T00:00:00"/>
    <d v="2024-10-15T00:00:00"/>
    <x v="5"/>
    <s v="Accessories"/>
    <n v="2"/>
    <n v="24930"/>
    <n v="5"/>
    <x v="1"/>
    <s v="Rohit"/>
    <x v="2"/>
    <s v="karanyadav@gmail.com"/>
    <s v="9999620129"/>
    <x v="2"/>
    <s v="Good"/>
    <n v="91"/>
    <s v="Cancelled"/>
    <n v="47367"/>
    <n v="7"/>
    <x v="5"/>
    <x v="1"/>
  </r>
  <r>
    <x v="622"/>
    <x v="15"/>
    <n v="50"/>
    <s v="Male"/>
    <s v="Delhi"/>
    <s v="Rajasthan"/>
    <d v="2023-01-13T00:00:00"/>
    <d v="2023-01-15T00:00:00"/>
    <x v="1"/>
    <s v="Electronics"/>
    <n v="2.9447852760736195"/>
    <n v="79638"/>
    <n v="10"/>
    <x v="3"/>
    <s v="Karan"/>
    <x v="1"/>
    <s v="priyajoshi@gmail.com"/>
    <s v="8571804673"/>
    <x v="3"/>
    <s v="Good"/>
    <n v="334"/>
    <s v="Returned"/>
    <n v="211065.12883435583"/>
    <n v="2"/>
    <x v="0"/>
    <x v="0"/>
  </r>
  <r>
    <x v="623"/>
    <x v="28"/>
    <n v="54"/>
    <s v="Female"/>
    <s v="Ahmedabad"/>
    <s v="Rajasthan"/>
    <d v="2024-11-15T00:00:00"/>
    <d v="2024-11-16T00:00:00"/>
    <x v="1"/>
    <s v="Accessories"/>
    <n v="1"/>
    <n v="37598"/>
    <n v="0"/>
    <x v="3"/>
    <s v="Sneha"/>
    <x v="0"/>
    <s v="nehayadav@gmail.com"/>
    <s v="8468838510"/>
    <x v="3"/>
    <s v="Excellent"/>
    <n v="403"/>
    <s v="Cancelled"/>
    <n v="37598"/>
    <n v="1"/>
    <x v="7"/>
    <x v="1"/>
  </r>
  <r>
    <x v="624"/>
    <x v="85"/>
    <n v="25"/>
    <s v="Male"/>
    <s v="Ahmedabad"/>
    <s v="Maharashtra"/>
    <d v="2023-02-08T00:00:00"/>
    <d v="2023-02-14T00:00:00"/>
    <x v="2"/>
    <s v="Accessories"/>
    <n v="1"/>
    <n v="47343"/>
    <n v="10"/>
    <x v="1"/>
    <s v="Rahul"/>
    <x v="1"/>
    <s v="Missing"/>
    <s v="8907992357"/>
    <x v="0"/>
    <s v="Excellent"/>
    <n v="461"/>
    <s v="Returned"/>
    <n v="42608.700000000004"/>
    <n v="6"/>
    <x v="8"/>
    <x v="0"/>
  </r>
  <r>
    <x v="625"/>
    <x v="65"/>
    <n v="59"/>
    <s v="Male"/>
    <s v="Pune"/>
    <s v="Gujarat"/>
    <d v="2023-01-04T00:00:00"/>
    <d v="2023-01-10T00:00:00"/>
    <x v="2"/>
    <s v="Electronics"/>
    <n v="1"/>
    <n v="20853"/>
    <n v="0"/>
    <x v="2"/>
    <s v="Rohit"/>
    <x v="2"/>
    <s v="nehaverma@gmail.com"/>
    <s v="6189934198"/>
    <x v="1"/>
    <s v="Bad"/>
    <n v="415"/>
    <s v="Cancelled"/>
    <n v="20853"/>
    <n v="6"/>
    <x v="0"/>
    <x v="0"/>
  </r>
  <r>
    <x v="626"/>
    <x v="5"/>
    <n v="59"/>
    <s v="Female"/>
    <s v="Jaipur"/>
    <s v="Maharashtra"/>
    <d v="2024-08-11T00:00:00"/>
    <d v="2024-08-16T00:00:00"/>
    <x v="2"/>
    <s v="Electronics"/>
    <n v="3"/>
    <n v="51207"/>
    <n v="0"/>
    <x v="3"/>
    <s v="Karan"/>
    <x v="2"/>
    <s v="karanverma@gmail.com"/>
    <s v="7412286763"/>
    <x v="4"/>
    <s v="Average"/>
    <n v="289"/>
    <s v="Returned"/>
    <n v="153621"/>
    <n v="5"/>
    <x v="3"/>
    <x v="1"/>
  </r>
  <r>
    <x v="627"/>
    <x v="56"/>
    <n v="52"/>
    <s v="Male"/>
    <s v="Delhi"/>
    <s v="Rajasthan"/>
    <d v="2024-09-18T00:00:00"/>
    <d v="2024-09-20T00:00:00"/>
    <x v="0"/>
    <s v="Electronics"/>
    <n v="2"/>
    <n v="64753"/>
    <n v="5"/>
    <x v="2"/>
    <s v="Neha"/>
    <x v="1"/>
    <s v="anjalisharma@gmail.com"/>
    <s v="6580240550"/>
    <x v="4"/>
    <s v="Good"/>
    <n v="418"/>
    <s v="Delivered"/>
    <n v="123030.7"/>
    <n v="2"/>
    <x v="2"/>
    <x v="1"/>
  </r>
  <r>
    <x v="628"/>
    <x v="23"/>
    <n v="59"/>
    <s v="Female"/>
    <s v="Delhi"/>
    <s v="Maharashtra"/>
    <d v="2023-12-17T00:00:00"/>
    <d v="2023-12-27T00:00:00"/>
    <x v="2"/>
    <s v="Electronics"/>
    <n v="4"/>
    <n v="19784"/>
    <n v="10"/>
    <x v="2"/>
    <s v="Sneha"/>
    <x v="1"/>
    <s v="karanagarwal@gmail.com"/>
    <s v="Missing"/>
    <x v="1"/>
    <s v="Excellent"/>
    <n v="460"/>
    <s v="Returned"/>
    <n v="71222.400000000009"/>
    <n v="10"/>
    <x v="11"/>
    <x v="0"/>
  </r>
  <r>
    <x v="629"/>
    <x v="31"/>
    <n v="44"/>
    <s v="Male"/>
    <s v="Ludhiana"/>
    <s v="Gujarat"/>
    <d v="2024-01-29T00:00:00"/>
    <d v="2024-02-06T00:00:00"/>
    <x v="3"/>
    <s v="Accessories"/>
    <n v="5"/>
    <n v="51796"/>
    <n v="5"/>
    <x v="1"/>
    <s v="Amit"/>
    <x v="0"/>
    <s v="nehagupta@gmail.com"/>
    <s v="6492982861"/>
    <x v="1"/>
    <s v="Excellent"/>
    <n v="69"/>
    <s v="Returned"/>
    <n v="246031"/>
    <n v="8"/>
    <x v="0"/>
    <x v="1"/>
  </r>
  <r>
    <x v="630"/>
    <x v="87"/>
    <n v="57"/>
    <s v="Male"/>
    <s v="Ludhiana"/>
    <s v="Delhi"/>
    <d v="2023-08-18T00:00:00"/>
    <d v="2023-08-23T00:00:00"/>
    <x v="4"/>
    <s v="Electronics"/>
    <n v="1"/>
    <n v="17854"/>
    <n v="0"/>
    <x v="1"/>
    <s v="Anjali"/>
    <x v="2"/>
    <s v="snehamehta@gmail.com"/>
    <s v="9138488555"/>
    <x v="4"/>
    <s v="Average"/>
    <n v="339"/>
    <s v="Returned"/>
    <n v="17854"/>
    <n v="5"/>
    <x v="3"/>
    <x v="0"/>
  </r>
  <r>
    <x v="631"/>
    <x v="43"/>
    <n v="36"/>
    <s v="Male"/>
    <s v="Ludhiana"/>
    <s v="Maharashtra"/>
    <d v="2023-07-02T00:00:00"/>
    <d v="2023-07-07T00:00:00"/>
    <x v="5"/>
    <s v="Electronics"/>
    <n v="3"/>
    <n v="42109.716287215415"/>
    <n v="10"/>
    <x v="1"/>
    <s v="Amit"/>
    <x v="0"/>
    <s v="amitpatel@gmail.com"/>
    <s v="8324352414"/>
    <x v="3"/>
    <s v="Good"/>
    <n v="425"/>
    <s v="Returned"/>
    <n v="113696.23397548162"/>
    <n v="5"/>
    <x v="4"/>
    <x v="0"/>
  </r>
  <r>
    <x v="632"/>
    <x v="45"/>
    <n v="34"/>
    <s v="Male"/>
    <s v="Delhi"/>
    <s v="Delhi"/>
    <d v="2023-11-23T00:00:00"/>
    <d v="2023-11-30T00:00:00"/>
    <x v="3"/>
    <s v="Electronics"/>
    <n v="3"/>
    <n v="67078"/>
    <n v="10"/>
    <x v="3"/>
    <s v="Rahul"/>
    <x v="1"/>
    <s v="snehakumar@gmail.com"/>
    <s v="Missing"/>
    <x v="1"/>
    <s v="Bad"/>
    <n v="60"/>
    <s v="Cancelled"/>
    <n v="181110.6"/>
    <n v="7"/>
    <x v="7"/>
    <x v="0"/>
  </r>
  <r>
    <x v="633"/>
    <x v="59"/>
    <n v="28"/>
    <s v="Male"/>
    <s v="Mumbai"/>
    <s v="Gujarat"/>
    <d v="2023-04-26T00:00:00"/>
    <d v="2023-04-27T00:00:00"/>
    <x v="2"/>
    <s v="Accessories"/>
    <n v="5"/>
    <n v="41325"/>
    <n v="5"/>
    <x v="1"/>
    <s v="Vikas"/>
    <x v="3"/>
    <s v="amitjoshi@gmail.com"/>
    <s v="8909686877"/>
    <x v="4"/>
    <s v="Bad"/>
    <n v="186"/>
    <s v="Delivered"/>
    <n v="196293.75"/>
    <n v="1"/>
    <x v="1"/>
    <x v="0"/>
  </r>
  <r>
    <x v="634"/>
    <x v="24"/>
    <n v="53"/>
    <s v="Male"/>
    <s v="Delhi"/>
    <s v="Maharashtra"/>
    <d v="2023-03-03T00:00:00"/>
    <d v="2023-03-10T00:00:00"/>
    <x v="2"/>
    <s v="Accessories"/>
    <n v="2.9447852760736195"/>
    <n v="28770"/>
    <n v="0"/>
    <x v="3"/>
    <s v="Sneha"/>
    <x v="1"/>
    <s v="amitmehta@gmail.com"/>
    <s v="8107231402"/>
    <x v="2"/>
    <s v="Average"/>
    <n v="113"/>
    <s v="Delivered"/>
    <n v="84721.472392638039"/>
    <n v="7"/>
    <x v="10"/>
    <x v="0"/>
  </r>
  <r>
    <x v="635"/>
    <x v="35"/>
    <n v="19"/>
    <s v="Female"/>
    <s v="Ahmedabad"/>
    <s v="Gujarat"/>
    <d v="2023-04-20T00:00:00"/>
    <d v="2023-04-28T00:00:00"/>
    <x v="3"/>
    <s v="Electronics"/>
    <n v="3"/>
    <n v="72407"/>
    <n v="5"/>
    <x v="0"/>
    <s v="Sneha"/>
    <x v="3"/>
    <s v="nehamehta@gmail.com"/>
    <s v="7996982491"/>
    <x v="1"/>
    <s v="Average"/>
    <n v="92"/>
    <s v="Delivered"/>
    <n v="206359.94999999998"/>
    <n v="8"/>
    <x v="1"/>
    <x v="0"/>
  </r>
  <r>
    <x v="636"/>
    <x v="35"/>
    <n v="19"/>
    <s v="Male"/>
    <s v="Pune"/>
    <s v="Delhi"/>
    <d v="2024-02-04T00:00:00"/>
    <d v="2024-02-14T00:00:00"/>
    <x v="3"/>
    <s v="Accessories"/>
    <n v="3"/>
    <n v="27640"/>
    <n v="15"/>
    <x v="2"/>
    <s v="Pooja"/>
    <x v="2"/>
    <s v="nehamehta@gmail.com"/>
    <s v="7365834544"/>
    <x v="4"/>
    <s v="Excellent"/>
    <n v="282"/>
    <s v="Cancelled"/>
    <n v="70482"/>
    <n v="10"/>
    <x v="8"/>
    <x v="1"/>
  </r>
  <r>
    <x v="637"/>
    <x v="65"/>
    <n v="60"/>
    <s v="Male"/>
    <s v="Delhi"/>
    <s v="Punjab"/>
    <d v="2024-03-28T00:00:00"/>
    <d v="2024-03-30T00:00:00"/>
    <x v="3"/>
    <s v="Electronics"/>
    <n v="1"/>
    <n v="48382"/>
    <n v="15"/>
    <x v="1"/>
    <s v="Pooja"/>
    <x v="2"/>
    <s v="nehaverma@gmail.com"/>
    <s v="6320640065"/>
    <x v="1"/>
    <s v="Bad"/>
    <n v="288"/>
    <s v="Cancelled"/>
    <n v="41124.699999999997"/>
    <n v="2"/>
    <x v="10"/>
    <x v="1"/>
  </r>
  <r>
    <x v="638"/>
    <x v="73"/>
    <n v="27"/>
    <s v="Female"/>
    <s v="Pune"/>
    <s v="Delhi"/>
    <d v="2024-08-16T00:00:00"/>
    <d v="2024-08-19T00:00:00"/>
    <x v="1"/>
    <s v="Electronics"/>
    <n v="1"/>
    <n v="64454"/>
    <n v="10"/>
    <x v="3"/>
    <s v="Amit"/>
    <x v="1"/>
    <s v="priyaagarwal@gmail.com"/>
    <s v="8103863598"/>
    <x v="0"/>
    <s v="Excellent"/>
    <n v="420"/>
    <s v="Delivered"/>
    <n v="58008.6"/>
    <n v="3"/>
    <x v="3"/>
    <x v="1"/>
  </r>
  <r>
    <x v="639"/>
    <x v="60"/>
    <n v="20"/>
    <s v="Male"/>
    <s v="Chandigarh"/>
    <s v="Maharashtra"/>
    <d v="2023-12-05T00:00:00"/>
    <d v="2023-12-12T00:00:00"/>
    <x v="0"/>
    <s v="Electronics"/>
    <n v="4"/>
    <n v="51342"/>
    <n v="5"/>
    <x v="3"/>
    <s v="Pooja"/>
    <x v="0"/>
    <s v="amitsharma@gmail.com"/>
    <s v="Missing"/>
    <x v="3"/>
    <s v="Good"/>
    <n v="203"/>
    <s v="Returned"/>
    <n v="195099.59999999998"/>
    <n v="7"/>
    <x v="11"/>
    <x v="0"/>
  </r>
  <r>
    <x v="640"/>
    <x v="91"/>
    <n v="34"/>
    <s v="Female"/>
    <s v="Ahmedabad"/>
    <s v="Delhi"/>
    <d v="2023-07-18T00:00:00"/>
    <d v="2023-07-24T00:00:00"/>
    <x v="4"/>
    <s v="Accessories"/>
    <n v="4"/>
    <n v="47771"/>
    <n v="0"/>
    <x v="2"/>
    <s v="Pooja"/>
    <x v="1"/>
    <s v="nehakumar@gmail.com"/>
    <s v="9947239905"/>
    <x v="3"/>
    <s v="Average"/>
    <n v="71"/>
    <s v="Delivered"/>
    <n v="191084"/>
    <n v="6"/>
    <x v="4"/>
    <x v="0"/>
  </r>
  <r>
    <x v="641"/>
    <x v="45"/>
    <n v="36"/>
    <s v="Male"/>
    <s v="Pune"/>
    <s v="Punjab"/>
    <d v="2023-04-27T00:00:00"/>
    <d v="2023-04-30T00:00:00"/>
    <x v="3"/>
    <s v="Accessories"/>
    <n v="5"/>
    <n v="65988"/>
    <n v="15"/>
    <x v="3"/>
    <s v="Pooja"/>
    <x v="3"/>
    <s v="snehakumar@gmail.com"/>
    <s v="8027583193"/>
    <x v="1"/>
    <s v="Bad"/>
    <n v="491"/>
    <s v="Cancelled"/>
    <n v="280449"/>
    <n v="3"/>
    <x v="1"/>
    <x v="0"/>
  </r>
  <r>
    <x v="642"/>
    <x v="51"/>
    <n v="56"/>
    <s v="Female"/>
    <s v="Ludhiana"/>
    <s v="Rajasthan"/>
    <d v="2024-05-18T00:00:00"/>
    <d v="2024-05-20T00:00:00"/>
    <x v="0"/>
    <s v="Accessories"/>
    <n v="3"/>
    <n v="76140"/>
    <n v="15"/>
    <x v="0"/>
    <s v="Rohit"/>
    <x v="0"/>
    <s v="priyaverma@gmail.com"/>
    <s v="9857332311"/>
    <x v="0"/>
    <s v="Average"/>
    <n v="321"/>
    <s v="Delivered"/>
    <n v="194157"/>
    <n v="2"/>
    <x v="6"/>
    <x v="1"/>
  </r>
  <r>
    <x v="643"/>
    <x v="14"/>
    <n v="42"/>
    <s v="Male"/>
    <s v="Chandigarh"/>
    <s v="Rajasthan"/>
    <d v="2024-04-10T00:00:00"/>
    <d v="2024-04-20T00:00:00"/>
    <x v="4"/>
    <s v="Electronics"/>
    <n v="4"/>
    <n v="62350"/>
    <n v="5"/>
    <x v="1"/>
    <s v="Rohit"/>
    <x v="1"/>
    <s v="rohitgupta@gmail.com"/>
    <s v="7266035245"/>
    <x v="1"/>
    <s v="Average"/>
    <n v="362"/>
    <s v="Returned"/>
    <n v="236930"/>
    <n v="10"/>
    <x v="1"/>
    <x v="1"/>
  </r>
  <r>
    <x v="644"/>
    <x v="66"/>
    <n v="50"/>
    <s v="Female"/>
    <s v="Mumbai"/>
    <s v="Delhi"/>
    <d v="2024-03-02T00:00:00"/>
    <d v="2024-03-04T00:00:00"/>
    <x v="4"/>
    <s v="Electronics"/>
    <n v="3"/>
    <n v="65701"/>
    <n v="15"/>
    <x v="1"/>
    <s v="Vikas"/>
    <x v="3"/>
    <s v="nehasingh@gmail.com"/>
    <s v="8797954441"/>
    <x v="1"/>
    <s v="Excellent"/>
    <n v="448"/>
    <s v="Returned"/>
    <n v="167537.54999999999"/>
    <n v="2"/>
    <x v="10"/>
    <x v="1"/>
  </r>
  <r>
    <x v="645"/>
    <x v="66"/>
    <n v="56"/>
    <s v="Male"/>
    <s v="Jaipur"/>
    <s v="Maharashtra"/>
    <d v="2024-09-02T00:00:00"/>
    <d v="2024-09-03T00:00:00"/>
    <x v="2"/>
    <s v="Accessories"/>
    <n v="3"/>
    <n v="49587"/>
    <n v="5"/>
    <x v="1"/>
    <s v="Rohit"/>
    <x v="3"/>
    <s v="nehasingh@gmail.com"/>
    <s v="8892016325"/>
    <x v="3"/>
    <s v="Excellent"/>
    <n v="473"/>
    <s v="Returned"/>
    <n v="141322.94999999998"/>
    <n v="1"/>
    <x v="2"/>
    <x v="1"/>
  </r>
  <r>
    <x v="646"/>
    <x v="64"/>
    <n v="24"/>
    <s v="Female"/>
    <s v="Ahmedabad"/>
    <s v="Rajasthan"/>
    <d v="2024-06-28T00:00:00"/>
    <d v="2024-07-03T00:00:00"/>
    <x v="5"/>
    <s v="Electronics"/>
    <n v="1"/>
    <n v="42109.716287215415"/>
    <n v="10"/>
    <x v="0"/>
    <s v="Rohit"/>
    <x v="3"/>
    <s v="vikasverma@gmail.com"/>
    <s v="9648335920"/>
    <x v="3"/>
    <s v="Excellent"/>
    <n v="340"/>
    <s v="Delivered"/>
    <n v="37898.744658493873"/>
    <n v="5"/>
    <x v="9"/>
    <x v="1"/>
  </r>
  <r>
    <x v="647"/>
    <x v="33"/>
    <n v="48"/>
    <s v="Male"/>
    <s v="Chandigarh"/>
    <s v="Maharashtra"/>
    <d v="2024-05-21T00:00:00"/>
    <d v="2024-05-24T00:00:00"/>
    <x v="0"/>
    <s v="Accessories"/>
    <n v="5"/>
    <n v="29910"/>
    <n v="10"/>
    <x v="2"/>
    <s v="Priya"/>
    <x v="3"/>
    <s v="Missing"/>
    <s v="6480041958"/>
    <x v="3"/>
    <s v="Good"/>
    <n v="68"/>
    <s v="Delivered"/>
    <n v="134595"/>
    <n v="3"/>
    <x v="6"/>
    <x v="1"/>
  </r>
  <r>
    <x v="648"/>
    <x v="80"/>
    <n v="28"/>
    <s v="Female"/>
    <s v="Ludhiana"/>
    <s v="Punjab"/>
    <d v="2023-07-28T00:00:00"/>
    <d v="2023-07-29T00:00:00"/>
    <x v="3"/>
    <s v="Electronics"/>
    <n v="4"/>
    <n v="30965"/>
    <n v="5"/>
    <x v="0"/>
    <s v="Rohit"/>
    <x v="2"/>
    <s v="rahulagarwal@gmail.com"/>
    <s v="7662058801"/>
    <x v="2"/>
    <s v="Excellent"/>
    <n v="235"/>
    <s v="Cancelled"/>
    <n v="117667"/>
    <n v="1"/>
    <x v="4"/>
    <x v="0"/>
  </r>
  <r>
    <x v="649"/>
    <x v="87"/>
    <n v="47"/>
    <s v="Male"/>
    <s v="Amritsar"/>
    <s v="Punjab"/>
    <d v="2023-09-15T00:00:00"/>
    <d v="2023-09-25T00:00:00"/>
    <x v="3"/>
    <s v="Electronics"/>
    <n v="2"/>
    <n v="41924"/>
    <n v="0"/>
    <x v="0"/>
    <s v="Priya"/>
    <x v="0"/>
    <s v="snehamehta@gmail.com"/>
    <s v="7708553632"/>
    <x v="3"/>
    <s v="Average"/>
    <n v="422"/>
    <s v="Returned"/>
    <n v="83848"/>
    <n v="10"/>
    <x v="2"/>
    <x v="0"/>
  </r>
  <r>
    <x v="650"/>
    <x v="8"/>
    <n v="52"/>
    <s v="Male"/>
    <s v="Jaipur"/>
    <s v="Rajasthan"/>
    <d v="2024-07-30T00:00:00"/>
    <d v="2024-07-31T00:00:00"/>
    <x v="1"/>
    <s v="Electronics"/>
    <n v="1"/>
    <n v="44992"/>
    <n v="0"/>
    <x v="1"/>
    <s v="Vikas"/>
    <x v="1"/>
    <s v="priyamehta@gmail.com"/>
    <s v="9361685242"/>
    <x v="1"/>
    <s v="Good"/>
    <n v="324"/>
    <s v="Cancelled"/>
    <n v="44992"/>
    <n v="1"/>
    <x v="4"/>
    <x v="1"/>
  </r>
  <r>
    <x v="651"/>
    <x v="28"/>
    <n v="39"/>
    <s v="Female"/>
    <s v="Delhi"/>
    <s v="Delhi"/>
    <d v="2024-09-09T00:00:00"/>
    <d v="2024-09-19T00:00:00"/>
    <x v="3"/>
    <s v="Accessories"/>
    <n v="4"/>
    <n v="60127"/>
    <n v="0"/>
    <x v="3"/>
    <s v="Sneha"/>
    <x v="1"/>
    <s v="nehayadav@gmail.com"/>
    <s v="7858904912"/>
    <x v="0"/>
    <s v="Bad"/>
    <n v="57"/>
    <s v="Cancelled"/>
    <n v="240508"/>
    <n v="10"/>
    <x v="2"/>
    <x v="1"/>
  </r>
  <r>
    <x v="652"/>
    <x v="54"/>
    <n v="29"/>
    <s v="Male"/>
    <s v="Ahmedabad"/>
    <s v="Maharashtra"/>
    <d v="2024-09-04T00:00:00"/>
    <d v="2024-09-12T00:00:00"/>
    <x v="1"/>
    <s v="Accessories"/>
    <n v="2.9447852760736195"/>
    <n v="41701"/>
    <n v="5"/>
    <x v="3"/>
    <s v="Pooja"/>
    <x v="3"/>
    <s v="Missing"/>
    <s v="6445171774"/>
    <x v="2"/>
    <s v="Excellent"/>
    <n v="333"/>
    <s v="Cancelled"/>
    <n v="116660.4662576687"/>
    <n v="8"/>
    <x v="2"/>
    <x v="1"/>
  </r>
  <r>
    <x v="653"/>
    <x v="53"/>
    <n v="56"/>
    <s v="Male"/>
    <s v="Delhi"/>
    <s v="Maharashtra"/>
    <d v="2023-12-27T00:00:00"/>
    <d v="2024-01-02T00:00:00"/>
    <x v="2"/>
    <s v="Accessories"/>
    <n v="1"/>
    <n v="77308"/>
    <n v="0"/>
    <x v="0"/>
    <s v="Vikas"/>
    <x v="0"/>
    <s v="nehasharma@gmail.com"/>
    <s v="9832365408"/>
    <x v="0"/>
    <s v="Excellent"/>
    <n v="247"/>
    <s v="Cancelled"/>
    <n v="77308"/>
    <n v="6"/>
    <x v="11"/>
    <x v="0"/>
  </r>
  <r>
    <x v="654"/>
    <x v="78"/>
    <n v="24"/>
    <s v="Male"/>
    <s v="Amritsar"/>
    <s v="Rajasthan"/>
    <d v="2024-07-26T00:00:00"/>
    <d v="2024-08-05T00:00:00"/>
    <x v="2"/>
    <s v="Electronics"/>
    <n v="3"/>
    <n v="59053"/>
    <n v="15"/>
    <x v="2"/>
    <s v="Pooja"/>
    <x v="2"/>
    <s v="poojaagarwal@gmail.com"/>
    <s v="9083772055"/>
    <x v="3"/>
    <s v="Bad"/>
    <n v="429"/>
    <s v="Returned"/>
    <n v="150585.15"/>
    <n v="10"/>
    <x v="4"/>
    <x v="1"/>
  </r>
  <r>
    <x v="655"/>
    <x v="24"/>
    <n v="47"/>
    <s v="Female"/>
    <s v="Ahmedabad"/>
    <s v="Rajasthan"/>
    <d v="2024-09-27T00:00:00"/>
    <d v="2024-10-01T00:00:00"/>
    <x v="3"/>
    <s v="Electronics"/>
    <n v="5"/>
    <n v="8738"/>
    <n v="5"/>
    <x v="3"/>
    <s v="Vikas"/>
    <x v="3"/>
    <s v="amitmehta@gmail.com"/>
    <s v="Missing"/>
    <x v="2"/>
    <s v="Average"/>
    <n v="397"/>
    <s v="Cancelled"/>
    <n v="41505.5"/>
    <n v="4"/>
    <x v="2"/>
    <x v="1"/>
  </r>
  <r>
    <x v="656"/>
    <x v="80"/>
    <n v="39"/>
    <s v="Male"/>
    <s v="Amritsar"/>
    <s v="Punjab"/>
    <d v="2024-02-09T00:00:00"/>
    <d v="2024-02-14T00:00:00"/>
    <x v="0"/>
    <s v="Electronics"/>
    <n v="5"/>
    <n v="18021"/>
    <n v="0"/>
    <x v="3"/>
    <s v="Rohit"/>
    <x v="0"/>
    <s v="rahulagarwal@gmail.com"/>
    <s v="9826161980"/>
    <x v="2"/>
    <s v="Bad"/>
    <n v="417"/>
    <s v="Delivered"/>
    <n v="90105"/>
    <n v="5"/>
    <x v="8"/>
    <x v="1"/>
  </r>
  <r>
    <x v="657"/>
    <x v="87"/>
    <n v="36"/>
    <s v="Female"/>
    <s v="Chandigarh"/>
    <s v="Rajasthan"/>
    <d v="2023-05-24T00:00:00"/>
    <d v="2023-05-25T00:00:00"/>
    <x v="0"/>
    <s v="Electronics"/>
    <n v="3"/>
    <n v="57460"/>
    <n v="5"/>
    <x v="0"/>
    <s v="Vikas"/>
    <x v="1"/>
    <s v="snehamehta@gmail.com"/>
    <s v="9398736892"/>
    <x v="1"/>
    <s v="Good"/>
    <n v="338"/>
    <s v="Delivered"/>
    <n v="163761"/>
    <n v="1"/>
    <x v="6"/>
    <x v="0"/>
  </r>
  <r>
    <x v="658"/>
    <x v="27"/>
    <n v="56"/>
    <s v="Male"/>
    <s v="Chandigarh"/>
    <s v="Punjab"/>
    <d v="2023-05-18T00:00:00"/>
    <d v="2023-05-28T00:00:00"/>
    <x v="4"/>
    <s v="Accessories"/>
    <n v="3"/>
    <n v="46821"/>
    <n v="10"/>
    <x v="0"/>
    <s v="Rahul"/>
    <x v="0"/>
    <s v="Missing"/>
    <s v="6004156798"/>
    <x v="0"/>
    <s v="Bad"/>
    <n v="446"/>
    <s v="Delivered"/>
    <n v="126416.7"/>
    <n v="10"/>
    <x v="6"/>
    <x v="0"/>
  </r>
  <r>
    <x v="659"/>
    <x v="26"/>
    <n v="23"/>
    <s v="Female"/>
    <s v="Chandigarh"/>
    <s v="Delhi"/>
    <d v="2023-04-26T00:00:00"/>
    <d v="2023-05-05T00:00:00"/>
    <x v="0"/>
    <s v="Accessories"/>
    <n v="3"/>
    <n v="9413"/>
    <n v="15"/>
    <x v="0"/>
    <s v="Vikas"/>
    <x v="1"/>
    <s v="karanjoshi@gmail.com"/>
    <s v="7009828506"/>
    <x v="0"/>
    <s v="Bad"/>
    <n v="203"/>
    <s v="Returned"/>
    <n v="24003.149999999998"/>
    <n v="9"/>
    <x v="1"/>
    <x v="0"/>
  </r>
  <r>
    <x v="660"/>
    <x v="31"/>
    <n v="50"/>
    <s v="Female"/>
    <s v="Mumbai"/>
    <s v="Delhi"/>
    <d v="2024-10-06T00:00:00"/>
    <d v="2024-10-08T00:00:00"/>
    <x v="3"/>
    <s v="Accessories"/>
    <n v="3"/>
    <n v="11791"/>
    <n v="5"/>
    <x v="2"/>
    <s v="Sneha"/>
    <x v="0"/>
    <s v="nehagupta@gmail.com"/>
    <s v="8957550538"/>
    <x v="0"/>
    <s v="Average"/>
    <n v="59"/>
    <s v="Delivered"/>
    <n v="33604.35"/>
    <n v="2"/>
    <x v="5"/>
    <x v="1"/>
  </r>
  <r>
    <x v="661"/>
    <x v="90"/>
    <n v="55"/>
    <s v="Female"/>
    <s v="Amritsar"/>
    <s v="Delhi"/>
    <d v="2023-03-27T00:00:00"/>
    <d v="2023-03-29T00:00:00"/>
    <x v="1"/>
    <s v="Electronics"/>
    <n v="2.9447852760736195"/>
    <n v="37780"/>
    <n v="0"/>
    <x v="0"/>
    <s v="Priya"/>
    <x v="2"/>
    <s v="vikaspatel@gmail.com"/>
    <s v="7083852054"/>
    <x v="1"/>
    <s v="Average"/>
    <n v="351"/>
    <s v="Cancelled"/>
    <n v="111253.98773006134"/>
    <n v="2"/>
    <x v="10"/>
    <x v="0"/>
  </r>
  <r>
    <x v="662"/>
    <x v="96"/>
    <n v="36"/>
    <s v="Female"/>
    <s v="Ahmedabad"/>
    <s v="Delhi"/>
    <d v="2024-02-03T00:00:00"/>
    <d v="2024-02-06T00:00:00"/>
    <x v="3"/>
    <s v="Electronics"/>
    <n v="1"/>
    <n v="13078"/>
    <n v="10"/>
    <x v="1"/>
    <s v="Rahul"/>
    <x v="1"/>
    <s v="rahulmehta@gmail.com"/>
    <s v="6852759789"/>
    <x v="0"/>
    <s v="Average"/>
    <n v="329"/>
    <s v="Delivered"/>
    <n v="11770.2"/>
    <n v="3"/>
    <x v="8"/>
    <x v="1"/>
  </r>
  <r>
    <x v="663"/>
    <x v="83"/>
    <n v="37"/>
    <s v="Male"/>
    <s v="Ahmedabad"/>
    <s v="Punjab"/>
    <d v="2024-07-14T00:00:00"/>
    <d v="2024-07-16T00:00:00"/>
    <x v="0"/>
    <s v="Electronics"/>
    <n v="4"/>
    <n v="37537"/>
    <n v="0"/>
    <x v="0"/>
    <s v="Amit"/>
    <x v="3"/>
    <s v="Missing"/>
    <s v="8560262994"/>
    <x v="0"/>
    <s v="Bad"/>
    <n v="90"/>
    <s v="Cancelled"/>
    <n v="150148"/>
    <n v="2"/>
    <x v="4"/>
    <x v="1"/>
  </r>
  <r>
    <x v="664"/>
    <x v="85"/>
    <n v="51"/>
    <s v="Male"/>
    <s v="Amritsar"/>
    <s v="Rajasthan"/>
    <d v="2024-03-14T00:00:00"/>
    <d v="2024-03-16T00:00:00"/>
    <x v="1"/>
    <s v="Accessories"/>
    <n v="3"/>
    <n v="12452"/>
    <n v="0"/>
    <x v="1"/>
    <s v="Amit"/>
    <x v="3"/>
    <s v="rahulkumar@gmail.com"/>
    <s v="Missing"/>
    <x v="2"/>
    <s v="Average"/>
    <n v="274"/>
    <s v="Returned"/>
    <n v="37356"/>
    <n v="2"/>
    <x v="10"/>
    <x v="1"/>
  </r>
  <r>
    <x v="665"/>
    <x v="10"/>
    <n v="59"/>
    <s v="Male"/>
    <s v="Amritsar"/>
    <s v="Rajasthan"/>
    <d v="2024-04-19T00:00:00"/>
    <d v="2024-04-26T00:00:00"/>
    <x v="3"/>
    <s v="Accessories"/>
    <n v="5"/>
    <n v="60647"/>
    <n v="15"/>
    <x v="3"/>
    <s v="Priya"/>
    <x v="1"/>
    <s v="anjalimehta@gmail.com"/>
    <s v="7658540638"/>
    <x v="4"/>
    <s v="Bad"/>
    <n v="326"/>
    <s v="Returned"/>
    <n v="257749.75"/>
    <n v="7"/>
    <x v="1"/>
    <x v="1"/>
  </r>
  <r>
    <x v="666"/>
    <x v="89"/>
    <n v="59"/>
    <s v="Female"/>
    <s v="Chandigarh"/>
    <s v="Gujarat"/>
    <d v="2023-10-26T00:00:00"/>
    <d v="2023-11-05T00:00:00"/>
    <x v="4"/>
    <s v="Electronics"/>
    <n v="4"/>
    <n v="42109.716287215415"/>
    <n v="10"/>
    <x v="0"/>
    <s v="Priya"/>
    <x v="0"/>
    <s v="rohitagarwal@gmail.com"/>
    <s v="9764418684"/>
    <x v="0"/>
    <s v="Average"/>
    <n v="93"/>
    <s v="Returned"/>
    <n v="151594.97863397549"/>
    <n v="10"/>
    <x v="5"/>
    <x v="0"/>
  </r>
  <r>
    <x v="667"/>
    <x v="74"/>
    <n v="53"/>
    <s v="Female"/>
    <s v="Amritsar"/>
    <s v="Punjab"/>
    <d v="2023-08-23T00:00:00"/>
    <d v="2023-08-31T00:00:00"/>
    <x v="0"/>
    <s v="Accessories"/>
    <n v="1"/>
    <n v="11160"/>
    <n v="10"/>
    <x v="3"/>
    <s v="Priya"/>
    <x v="1"/>
    <s v="poojaverma@gmail.com"/>
    <s v="7676843373"/>
    <x v="2"/>
    <s v="Bad"/>
    <n v="429"/>
    <s v="Returned"/>
    <n v="10044"/>
    <n v="8"/>
    <x v="3"/>
    <x v="0"/>
  </r>
  <r>
    <x v="668"/>
    <x v="78"/>
    <n v="42"/>
    <s v="Female"/>
    <s v="Jaipur"/>
    <s v="Punjab"/>
    <d v="2023-05-07T00:00:00"/>
    <d v="2023-05-13T00:00:00"/>
    <x v="2"/>
    <s v="Accessories"/>
    <n v="2.9447852760736195"/>
    <n v="39890"/>
    <n v="10"/>
    <x v="3"/>
    <s v="Rohit"/>
    <x v="2"/>
    <s v="poojaagarwal@gmail.com"/>
    <s v="8185180727"/>
    <x v="4"/>
    <s v="Average"/>
    <n v="287"/>
    <s v="Cancelled"/>
    <n v="105720.73619631902"/>
    <n v="6"/>
    <x v="6"/>
    <x v="0"/>
  </r>
  <r>
    <x v="669"/>
    <x v="72"/>
    <n v="43"/>
    <s v="Male"/>
    <s v="Jaipur"/>
    <s v="Gujarat"/>
    <d v="2024-11-24T00:00:00"/>
    <d v="2024-11-30T00:00:00"/>
    <x v="4"/>
    <s v="Accessories"/>
    <n v="3"/>
    <n v="55797"/>
    <n v="15"/>
    <x v="2"/>
    <s v="Vikas"/>
    <x v="3"/>
    <s v="snehasharma@gmail.com"/>
    <s v="9268749723"/>
    <x v="4"/>
    <s v="Excellent"/>
    <n v="164"/>
    <s v="Cancelled"/>
    <n v="142282.35"/>
    <n v="6"/>
    <x v="7"/>
    <x v="1"/>
  </r>
  <r>
    <x v="670"/>
    <x v="25"/>
    <n v="44"/>
    <s v="Female"/>
    <s v="Amritsar"/>
    <s v="Punjab"/>
    <d v="2023-12-19T00:00:00"/>
    <d v="2023-12-22T00:00:00"/>
    <x v="4"/>
    <s v="Electronics"/>
    <n v="2"/>
    <n v="21697"/>
    <n v="15"/>
    <x v="0"/>
    <s v="Rahul"/>
    <x v="1"/>
    <s v="poojasharma@gmail.com"/>
    <s v="9078669363"/>
    <x v="1"/>
    <s v="Bad"/>
    <n v="364"/>
    <s v="Returned"/>
    <n v="36884.9"/>
    <n v="3"/>
    <x v="11"/>
    <x v="0"/>
  </r>
  <r>
    <x v="671"/>
    <x v="44"/>
    <n v="40"/>
    <s v="Male"/>
    <s v="Pune"/>
    <s v="Punjab"/>
    <d v="2023-06-06T00:00:00"/>
    <d v="2023-06-09T00:00:00"/>
    <x v="0"/>
    <s v="Accessories"/>
    <n v="4"/>
    <n v="47420"/>
    <n v="0"/>
    <x v="0"/>
    <s v="Priya"/>
    <x v="2"/>
    <s v="Missing"/>
    <s v="6162201134"/>
    <x v="1"/>
    <s v="Bad"/>
    <n v="479"/>
    <s v="Cancelled"/>
    <n v="189680"/>
    <n v="3"/>
    <x v="9"/>
    <x v="0"/>
  </r>
  <r>
    <x v="672"/>
    <x v="72"/>
    <n v="25"/>
    <s v="Female"/>
    <s v="Mumbai"/>
    <s v="Maharashtra"/>
    <d v="2024-07-11T00:00:00"/>
    <d v="2024-07-17T00:00:00"/>
    <x v="1"/>
    <s v="Electronics"/>
    <n v="3"/>
    <n v="70579"/>
    <n v="15"/>
    <x v="0"/>
    <s v="Rohit"/>
    <x v="3"/>
    <s v="snehasharma@gmail.com"/>
    <s v="6380481982"/>
    <x v="4"/>
    <s v="Good"/>
    <n v="349"/>
    <s v="Delivered"/>
    <n v="179976.44999999998"/>
    <n v="6"/>
    <x v="4"/>
    <x v="1"/>
  </r>
  <r>
    <x v="673"/>
    <x v="75"/>
    <n v="39"/>
    <s v="Male"/>
    <s v="Ahmedabad"/>
    <s v="Maharashtra"/>
    <d v="2023-05-14T00:00:00"/>
    <d v="2023-05-21T00:00:00"/>
    <x v="2"/>
    <s v="Electronics"/>
    <n v="2.9447852760736195"/>
    <n v="22960"/>
    <n v="10"/>
    <x v="1"/>
    <s v="Rahul"/>
    <x v="0"/>
    <s v="Missing"/>
    <s v="6869297728"/>
    <x v="3"/>
    <s v="Average"/>
    <n v="292"/>
    <s v="Returned"/>
    <n v="60851.04294478528"/>
    <n v="7"/>
    <x v="6"/>
    <x v="0"/>
  </r>
  <r>
    <x v="674"/>
    <x v="64"/>
    <n v="36"/>
    <s v="Female"/>
    <s v="Chandigarh"/>
    <s v="Punjab"/>
    <d v="2024-08-26T00:00:00"/>
    <d v="2024-09-05T00:00:00"/>
    <x v="5"/>
    <s v="Electronics"/>
    <n v="2"/>
    <n v="6851"/>
    <n v="5"/>
    <x v="1"/>
    <s v="Sneha"/>
    <x v="3"/>
    <s v="vikasverma@gmail.com"/>
    <s v="6732822090"/>
    <x v="0"/>
    <s v="Excellent"/>
    <n v="332"/>
    <s v="Cancelled"/>
    <n v="13016.9"/>
    <n v="10"/>
    <x v="3"/>
    <x v="1"/>
  </r>
  <r>
    <x v="675"/>
    <x v="5"/>
    <n v="59"/>
    <s v="Female"/>
    <s v="Amritsar"/>
    <s v="Punjab"/>
    <d v="2023-10-27T00:00:00"/>
    <d v="2023-10-31T00:00:00"/>
    <x v="3"/>
    <s v="Electronics"/>
    <n v="4"/>
    <n v="27801"/>
    <n v="10"/>
    <x v="1"/>
    <s v="Amit"/>
    <x v="0"/>
    <s v="Missing"/>
    <s v="9681606677"/>
    <x v="4"/>
    <s v="Excellent"/>
    <n v="156"/>
    <s v="Returned"/>
    <n v="100083.6"/>
    <n v="4"/>
    <x v="5"/>
    <x v="0"/>
  </r>
  <r>
    <x v="676"/>
    <x v="77"/>
    <n v="41"/>
    <s v="Female"/>
    <s v="Pune"/>
    <s v="Maharashtra"/>
    <d v="2024-06-30T00:00:00"/>
    <d v="2024-07-04T00:00:00"/>
    <x v="4"/>
    <s v="Electronics"/>
    <n v="3"/>
    <n v="66282"/>
    <n v="0"/>
    <x v="3"/>
    <s v="Amit"/>
    <x v="1"/>
    <s v="Missing"/>
    <s v="8900296276"/>
    <x v="2"/>
    <s v="Excellent"/>
    <n v="330"/>
    <s v="Returned"/>
    <n v="198846"/>
    <n v="4"/>
    <x v="9"/>
    <x v="1"/>
  </r>
  <r>
    <x v="677"/>
    <x v="68"/>
    <n v="31"/>
    <s v="Female"/>
    <s v="Amritsar"/>
    <s v="Maharashtra"/>
    <d v="2024-04-21T00:00:00"/>
    <d v="2024-04-25T00:00:00"/>
    <x v="0"/>
    <s v="Accessories"/>
    <n v="3"/>
    <n v="28326"/>
    <n v="10"/>
    <x v="1"/>
    <s v="Neha"/>
    <x v="0"/>
    <s v="poojasingh@gmail.com"/>
    <s v="Missing"/>
    <x v="4"/>
    <s v="Average"/>
    <n v="240"/>
    <s v="Delivered"/>
    <n v="76480.2"/>
    <n v="4"/>
    <x v="1"/>
    <x v="1"/>
  </r>
  <r>
    <x v="678"/>
    <x v="89"/>
    <n v="52"/>
    <s v="Male"/>
    <s v="Mumbai"/>
    <s v="Maharashtra"/>
    <d v="2023-04-22T00:00:00"/>
    <d v="2023-04-25T00:00:00"/>
    <x v="0"/>
    <s v="Electronics"/>
    <n v="2"/>
    <n v="46549"/>
    <n v="5"/>
    <x v="3"/>
    <s v="Sneha"/>
    <x v="1"/>
    <s v="rohitagarwal@gmail.com"/>
    <s v="9947770162"/>
    <x v="0"/>
    <s v="Average"/>
    <n v="427"/>
    <s v="Delivered"/>
    <n v="88443.099999999991"/>
    <n v="3"/>
    <x v="1"/>
    <x v="0"/>
  </r>
  <r>
    <x v="679"/>
    <x v="53"/>
    <n v="22"/>
    <s v="Female"/>
    <s v="Ahmedabad"/>
    <s v="Gujarat"/>
    <d v="2024-08-02T00:00:00"/>
    <d v="2024-08-09T00:00:00"/>
    <x v="4"/>
    <s v="Accessories"/>
    <n v="2"/>
    <n v="63325"/>
    <n v="15"/>
    <x v="1"/>
    <s v="Amit"/>
    <x v="2"/>
    <s v="nehasharma@gmail.com"/>
    <s v="7756534476"/>
    <x v="1"/>
    <s v="Excellent"/>
    <n v="385"/>
    <s v="Delivered"/>
    <n v="107652.5"/>
    <n v="7"/>
    <x v="3"/>
    <x v="1"/>
  </r>
  <r>
    <x v="680"/>
    <x v="68"/>
    <n v="55"/>
    <s v="Female"/>
    <s v="Chandigarh"/>
    <s v="Gujarat"/>
    <d v="2023-12-18T00:00:00"/>
    <d v="2023-12-21T00:00:00"/>
    <x v="5"/>
    <s v="Accessories"/>
    <n v="1"/>
    <n v="67801"/>
    <n v="5"/>
    <x v="3"/>
    <s v="Priya"/>
    <x v="2"/>
    <s v="poojasingh@gmail.com"/>
    <s v="9730716286"/>
    <x v="2"/>
    <s v="Excellent"/>
    <n v="461"/>
    <s v="Returned"/>
    <n v="64410.95"/>
    <n v="3"/>
    <x v="11"/>
    <x v="0"/>
  </r>
  <r>
    <x v="681"/>
    <x v="71"/>
    <n v="43"/>
    <s v="Male"/>
    <s v="Chandigarh"/>
    <s v="Rajasthan"/>
    <d v="2024-01-20T00:00:00"/>
    <d v="2024-01-21T00:00:00"/>
    <x v="0"/>
    <s v="Electronics"/>
    <n v="5"/>
    <n v="77370"/>
    <n v="0"/>
    <x v="0"/>
    <s v="Vikas"/>
    <x v="2"/>
    <s v="rohitverma@gmail.com"/>
    <s v="8271646991"/>
    <x v="1"/>
    <s v="Good"/>
    <n v="286"/>
    <s v="Returned"/>
    <n v="386850"/>
    <n v="1"/>
    <x v="0"/>
    <x v="1"/>
  </r>
  <r>
    <x v="682"/>
    <x v="34"/>
    <n v="26"/>
    <s v="Male"/>
    <s v="Chandigarh"/>
    <s v="Rajasthan"/>
    <d v="2024-01-10T00:00:00"/>
    <d v="2024-01-12T00:00:00"/>
    <x v="0"/>
    <s v="Accessories"/>
    <n v="3"/>
    <n v="15493"/>
    <n v="15"/>
    <x v="0"/>
    <s v="Rohit"/>
    <x v="0"/>
    <s v="snehapatel@gmail.com"/>
    <s v="9422332558"/>
    <x v="3"/>
    <s v="Good"/>
    <n v="422"/>
    <s v="Cancelled"/>
    <n v="39507.15"/>
    <n v="2"/>
    <x v="0"/>
    <x v="1"/>
  </r>
  <r>
    <x v="683"/>
    <x v="30"/>
    <n v="48"/>
    <s v="Male"/>
    <s v="Ludhiana"/>
    <s v="Punjab"/>
    <d v="2023-03-17T00:00:00"/>
    <d v="2023-03-25T00:00:00"/>
    <x v="0"/>
    <s v="Electronics"/>
    <n v="2"/>
    <n v="38515"/>
    <n v="0"/>
    <x v="3"/>
    <s v="Sneha"/>
    <x v="2"/>
    <s v="Missing"/>
    <s v="Missing"/>
    <x v="1"/>
    <s v="Excellent"/>
    <n v="77"/>
    <s v="Delivered"/>
    <n v="77030"/>
    <n v="8"/>
    <x v="10"/>
    <x v="0"/>
  </r>
  <r>
    <x v="684"/>
    <x v="95"/>
    <n v="57"/>
    <s v="Female"/>
    <s v="Mumbai"/>
    <s v="Delhi"/>
    <d v="2023-03-24T00:00:00"/>
    <d v="2023-03-29T00:00:00"/>
    <x v="0"/>
    <s v="Electronics"/>
    <n v="5"/>
    <n v="70318"/>
    <n v="5"/>
    <x v="2"/>
    <s v="Amit"/>
    <x v="0"/>
    <s v="Missing"/>
    <s v="6332606504"/>
    <x v="2"/>
    <s v="Average"/>
    <n v="330"/>
    <s v="Returned"/>
    <n v="334010.5"/>
    <n v="5"/>
    <x v="10"/>
    <x v="0"/>
  </r>
  <r>
    <x v="685"/>
    <x v="42"/>
    <n v="23"/>
    <s v="Male"/>
    <s v="Delhi"/>
    <s v="Maharashtra"/>
    <d v="2023-08-20T00:00:00"/>
    <d v="2023-08-25T00:00:00"/>
    <x v="0"/>
    <s v="Electronics"/>
    <n v="2.9447852760736195"/>
    <n v="76584"/>
    <n v="15"/>
    <x v="2"/>
    <s v="Vikas"/>
    <x v="1"/>
    <s v="Missing"/>
    <s v="6068158888"/>
    <x v="0"/>
    <s v="Excellent"/>
    <n v="185"/>
    <s v="Cancelled"/>
    <n v="191694.92024539877"/>
    <n v="5"/>
    <x v="3"/>
    <x v="0"/>
  </r>
  <r>
    <x v="686"/>
    <x v="41"/>
    <n v="46"/>
    <s v="Male"/>
    <s v="Chandigarh"/>
    <s v="Punjab"/>
    <d v="2023-03-26T00:00:00"/>
    <d v="2023-03-27T00:00:00"/>
    <x v="3"/>
    <s v="Accessories"/>
    <n v="1"/>
    <n v="79804"/>
    <n v="15"/>
    <x v="0"/>
    <s v="Priya"/>
    <x v="3"/>
    <s v="priyakumar@gmail.com"/>
    <s v="7892703208"/>
    <x v="0"/>
    <s v="Good"/>
    <n v="416"/>
    <s v="Delivered"/>
    <n v="67833.399999999994"/>
    <n v="1"/>
    <x v="10"/>
    <x v="0"/>
  </r>
  <r>
    <x v="687"/>
    <x v="87"/>
    <n v="29"/>
    <s v="Female"/>
    <s v="Delhi"/>
    <s v="Delhi"/>
    <d v="2024-01-19T00:00:00"/>
    <d v="2024-01-27T00:00:00"/>
    <x v="1"/>
    <s v="Electronics"/>
    <n v="5"/>
    <n v="24450"/>
    <n v="10"/>
    <x v="2"/>
    <s v="Amit"/>
    <x v="2"/>
    <s v="Missing"/>
    <s v="9125057562"/>
    <x v="3"/>
    <s v="Average"/>
    <n v="201"/>
    <s v="Delivered"/>
    <n v="110025"/>
    <n v="8"/>
    <x v="0"/>
    <x v="1"/>
  </r>
  <r>
    <x v="688"/>
    <x v="93"/>
    <n v="48"/>
    <s v="Male"/>
    <s v="Pune"/>
    <s v="Maharashtra"/>
    <d v="2023-12-18T00:00:00"/>
    <d v="2023-12-24T00:00:00"/>
    <x v="1"/>
    <s v="Accessories"/>
    <n v="2"/>
    <n v="67080"/>
    <n v="15"/>
    <x v="2"/>
    <s v="Neha"/>
    <x v="1"/>
    <s v="karangupta@gmail.com"/>
    <s v="Missing"/>
    <x v="2"/>
    <s v="Average"/>
    <n v="119"/>
    <s v="Cancelled"/>
    <n v="114036"/>
    <n v="6"/>
    <x v="11"/>
    <x v="0"/>
  </r>
  <r>
    <x v="689"/>
    <x v="33"/>
    <n v="22"/>
    <s v="Male"/>
    <s v="Chandigarh"/>
    <s v="Rajasthan"/>
    <d v="2023-05-20T00:00:00"/>
    <d v="2023-05-28T00:00:00"/>
    <x v="0"/>
    <s v="Accessories"/>
    <n v="1"/>
    <n v="34162"/>
    <n v="15"/>
    <x v="2"/>
    <s v="Priya"/>
    <x v="1"/>
    <s v="poojapatel@gmail.com"/>
    <s v="7900299439"/>
    <x v="4"/>
    <s v="Good"/>
    <n v="450"/>
    <s v="Cancelled"/>
    <n v="29037.7"/>
    <n v="8"/>
    <x v="6"/>
    <x v="0"/>
  </r>
  <r>
    <x v="690"/>
    <x v="20"/>
    <n v="29"/>
    <s v="Female"/>
    <s v="Jaipur"/>
    <s v="Rajasthan"/>
    <d v="2023-07-02T00:00:00"/>
    <d v="2023-07-10T00:00:00"/>
    <x v="4"/>
    <s v="Electronics"/>
    <n v="5"/>
    <n v="40914"/>
    <n v="15"/>
    <x v="3"/>
    <s v="Pooja"/>
    <x v="3"/>
    <s v="priyasingh@gmail.com"/>
    <s v="Missing"/>
    <x v="1"/>
    <s v="Good"/>
    <n v="246"/>
    <s v="Cancelled"/>
    <n v="173884.5"/>
    <n v="8"/>
    <x v="4"/>
    <x v="0"/>
  </r>
  <r>
    <x v="691"/>
    <x v="91"/>
    <n v="53"/>
    <s v="Male"/>
    <s v="Ludhiana"/>
    <s v="Maharashtra"/>
    <d v="2024-03-04T00:00:00"/>
    <d v="2024-03-08T00:00:00"/>
    <x v="0"/>
    <s v="Electronics"/>
    <n v="3"/>
    <n v="34207"/>
    <n v="5"/>
    <x v="2"/>
    <s v="Anjali"/>
    <x v="3"/>
    <s v="nehakumar@gmail.com"/>
    <s v="7812263214"/>
    <x v="3"/>
    <s v="Average"/>
    <n v="206"/>
    <s v="Cancelled"/>
    <n v="97489.95"/>
    <n v="4"/>
    <x v="10"/>
    <x v="1"/>
  </r>
  <r>
    <x v="692"/>
    <x v="16"/>
    <n v="45"/>
    <s v="Male"/>
    <s v="Amritsar"/>
    <s v="Maharashtra"/>
    <d v="2024-09-23T00:00:00"/>
    <d v="2024-10-01T00:00:00"/>
    <x v="2"/>
    <s v="Electronics"/>
    <n v="1"/>
    <n v="35287"/>
    <n v="15"/>
    <x v="1"/>
    <s v="Rahul"/>
    <x v="0"/>
    <s v="anjaliverma@gmail.com"/>
    <s v="6407103876"/>
    <x v="1"/>
    <s v="Average"/>
    <n v="485"/>
    <s v="Cancelled"/>
    <n v="29993.95"/>
    <n v="8"/>
    <x v="2"/>
    <x v="1"/>
  </r>
  <r>
    <x v="693"/>
    <x v="68"/>
    <n v="53"/>
    <s v="Female"/>
    <s v="Ahmedabad"/>
    <s v="Punjab"/>
    <d v="2024-05-06T00:00:00"/>
    <d v="2024-05-07T00:00:00"/>
    <x v="4"/>
    <s v="Accessories"/>
    <n v="1"/>
    <n v="6722"/>
    <n v="0"/>
    <x v="2"/>
    <s v="Neha"/>
    <x v="3"/>
    <s v="Missing"/>
    <s v="7507590806"/>
    <x v="3"/>
    <s v="Good"/>
    <n v="329"/>
    <s v="Cancelled"/>
    <n v="6722"/>
    <n v="1"/>
    <x v="6"/>
    <x v="1"/>
  </r>
  <r>
    <x v="694"/>
    <x v="36"/>
    <n v="26"/>
    <s v="Female"/>
    <s v="Mumbai"/>
    <s v="Punjab"/>
    <d v="2023-05-28T00:00:00"/>
    <d v="2023-06-01T00:00:00"/>
    <x v="3"/>
    <s v="Electronics"/>
    <n v="5"/>
    <n v="25542"/>
    <n v="10"/>
    <x v="0"/>
    <s v="Karan"/>
    <x v="3"/>
    <s v="Missing"/>
    <s v="9327482482"/>
    <x v="2"/>
    <s v="Average"/>
    <n v="95"/>
    <s v="Returned"/>
    <n v="114939"/>
    <n v="4"/>
    <x v="6"/>
    <x v="0"/>
  </r>
  <r>
    <x v="695"/>
    <x v="7"/>
    <n v="22"/>
    <s v="Male"/>
    <s v="Amritsar"/>
    <s v="Maharashtra"/>
    <d v="2024-11-27T00:00:00"/>
    <d v="2024-11-28T00:00:00"/>
    <x v="2"/>
    <s v="Accessories"/>
    <n v="4"/>
    <n v="42109.716287215415"/>
    <n v="15"/>
    <x v="3"/>
    <s v="Priya"/>
    <x v="0"/>
    <s v="vikasyadav@gmail.com"/>
    <s v="6929701638"/>
    <x v="3"/>
    <s v="Excellent"/>
    <n v="76"/>
    <s v="Cancelled"/>
    <n v="143173.03537653241"/>
    <n v="1"/>
    <x v="7"/>
    <x v="1"/>
  </r>
  <r>
    <x v="696"/>
    <x v="45"/>
    <n v="39"/>
    <s v="Female"/>
    <s v="Chandigarh"/>
    <s v="Maharashtra"/>
    <d v="2023-05-05T00:00:00"/>
    <d v="2023-05-10T00:00:00"/>
    <x v="2"/>
    <s v="Electronics"/>
    <n v="4"/>
    <n v="43357"/>
    <n v="5"/>
    <x v="3"/>
    <s v="Rohit"/>
    <x v="0"/>
    <s v="snehakumar@gmail.com"/>
    <s v="8935607049"/>
    <x v="1"/>
    <s v="Bad"/>
    <n v="99"/>
    <s v="Returned"/>
    <n v="164756.6"/>
    <n v="5"/>
    <x v="6"/>
    <x v="0"/>
  </r>
  <r>
    <x v="697"/>
    <x v="5"/>
    <n v="60"/>
    <s v="Male"/>
    <s v="Ludhiana"/>
    <s v="Rajasthan"/>
    <d v="2023-04-08T00:00:00"/>
    <d v="2023-04-12T00:00:00"/>
    <x v="4"/>
    <s v="Accessories"/>
    <n v="2"/>
    <n v="5196"/>
    <n v="10"/>
    <x v="2"/>
    <s v="Rahul"/>
    <x v="3"/>
    <s v="karanverma@gmail.com"/>
    <s v="9258562812"/>
    <x v="2"/>
    <s v="Excellent"/>
    <n v="384"/>
    <s v="Delivered"/>
    <n v="9352.8000000000011"/>
    <n v="4"/>
    <x v="1"/>
    <x v="0"/>
  </r>
  <r>
    <x v="698"/>
    <x v="39"/>
    <n v="45"/>
    <s v="Female"/>
    <s v="Delhi"/>
    <s v="Punjab"/>
    <d v="2024-08-09T00:00:00"/>
    <d v="2024-08-17T00:00:00"/>
    <x v="4"/>
    <s v="Accessories"/>
    <n v="5"/>
    <n v="15757"/>
    <n v="5"/>
    <x v="3"/>
    <s v="Priya"/>
    <x v="3"/>
    <s v="Missing"/>
    <s v="8862684746"/>
    <x v="0"/>
    <s v="Good"/>
    <n v="211"/>
    <s v="Delivered"/>
    <n v="74845.75"/>
    <n v="8"/>
    <x v="3"/>
    <x v="1"/>
  </r>
  <r>
    <x v="699"/>
    <x v="89"/>
    <n v="31"/>
    <s v="Male"/>
    <s v="Chandigarh"/>
    <s v="Punjab"/>
    <d v="2024-03-18T00:00:00"/>
    <d v="2024-03-23T00:00:00"/>
    <x v="5"/>
    <s v="Electronics"/>
    <n v="5"/>
    <n v="61245"/>
    <n v="15"/>
    <x v="0"/>
    <s v="Karan"/>
    <x v="2"/>
    <s v="rohitagarwal@gmail.com"/>
    <s v="9957804109"/>
    <x v="0"/>
    <s v="Good"/>
    <n v="437"/>
    <s v="Returned"/>
    <n v="260291.25"/>
    <n v="5"/>
    <x v="10"/>
    <x v="1"/>
  </r>
  <r>
    <x v="700"/>
    <x v="93"/>
    <n v="52"/>
    <s v="Male"/>
    <s v="Delhi"/>
    <s v="Rajasthan"/>
    <d v="2023-12-16T00:00:00"/>
    <d v="2023-12-25T00:00:00"/>
    <x v="0"/>
    <s v="Accessories"/>
    <n v="4"/>
    <n v="6202"/>
    <n v="10"/>
    <x v="3"/>
    <s v="Sneha"/>
    <x v="3"/>
    <s v="karangupta@gmail.com"/>
    <s v="6851182091"/>
    <x v="4"/>
    <s v="Average"/>
    <n v="424"/>
    <s v="Cancelled"/>
    <n v="22327.200000000001"/>
    <n v="9"/>
    <x v="11"/>
    <x v="0"/>
  </r>
  <r>
    <x v="701"/>
    <x v="36"/>
    <n v="35"/>
    <s v="Female"/>
    <s v="Mumbai"/>
    <s v="Maharashtra"/>
    <d v="2024-03-31T00:00:00"/>
    <d v="2024-04-04T00:00:00"/>
    <x v="3"/>
    <s v="Accessories"/>
    <n v="4"/>
    <n v="78752"/>
    <n v="5"/>
    <x v="2"/>
    <s v="Anjali"/>
    <x v="1"/>
    <s v="Missing"/>
    <s v="9943639231"/>
    <x v="3"/>
    <s v="Bad"/>
    <n v="485"/>
    <s v="Delivered"/>
    <n v="299257.59999999998"/>
    <n v="4"/>
    <x v="10"/>
    <x v="1"/>
  </r>
  <r>
    <x v="702"/>
    <x v="35"/>
    <n v="34"/>
    <s v="Male"/>
    <s v="Ludhiana"/>
    <s v="Punjab"/>
    <d v="2023-12-11T00:00:00"/>
    <d v="2023-12-14T00:00:00"/>
    <x v="3"/>
    <s v="Electronics"/>
    <n v="1"/>
    <n v="74200"/>
    <n v="15"/>
    <x v="3"/>
    <s v="Priya"/>
    <x v="3"/>
    <s v="nehamehta@gmail.com"/>
    <s v="8178749550"/>
    <x v="1"/>
    <s v="Average"/>
    <n v="170"/>
    <s v="Returned"/>
    <n v="63070"/>
    <n v="3"/>
    <x v="11"/>
    <x v="0"/>
  </r>
  <r>
    <x v="703"/>
    <x v="13"/>
    <n v="41"/>
    <s v="Male"/>
    <s v="Ahmedabad"/>
    <s v="Gujarat"/>
    <d v="2023-09-30T00:00:00"/>
    <d v="2023-10-05T00:00:00"/>
    <x v="5"/>
    <s v="Accessories"/>
    <n v="3"/>
    <n v="42109.716287215415"/>
    <n v="5"/>
    <x v="3"/>
    <s v="Vikas"/>
    <x v="3"/>
    <s v="priyayadav@gmail.com"/>
    <s v="8732291868"/>
    <x v="0"/>
    <s v="Bad"/>
    <n v="282"/>
    <s v="Returned"/>
    <n v="120012.69141856393"/>
    <n v="5"/>
    <x v="2"/>
    <x v="0"/>
  </r>
  <r>
    <x v="704"/>
    <x v="8"/>
    <n v="29"/>
    <s v="Male"/>
    <s v="Mumbai"/>
    <s v="Maharashtra"/>
    <d v="2023-12-23T00:00:00"/>
    <d v="2023-12-25T00:00:00"/>
    <x v="5"/>
    <s v="Electronics"/>
    <n v="5"/>
    <n v="53462"/>
    <n v="10"/>
    <x v="2"/>
    <s v="Priya"/>
    <x v="2"/>
    <s v="priyamehta@gmail.com"/>
    <s v="8006188243"/>
    <x v="2"/>
    <s v="Excellent"/>
    <n v="87"/>
    <s v="Delivered"/>
    <n v="240579"/>
    <n v="2"/>
    <x v="11"/>
    <x v="0"/>
  </r>
  <r>
    <x v="705"/>
    <x v="4"/>
    <n v="48"/>
    <s v="Female"/>
    <s v="Pune"/>
    <s v="Punjab"/>
    <d v="2024-04-30T00:00:00"/>
    <d v="2024-05-03T00:00:00"/>
    <x v="2"/>
    <s v="Electronics"/>
    <n v="5"/>
    <n v="17229"/>
    <n v="5"/>
    <x v="2"/>
    <s v="Vikas"/>
    <x v="2"/>
    <s v="rahulyadav@gmail.com"/>
    <s v="7562749303"/>
    <x v="3"/>
    <s v="Excellent"/>
    <n v="409"/>
    <s v="Returned"/>
    <n v="81837.75"/>
    <n v="3"/>
    <x v="1"/>
    <x v="1"/>
  </r>
  <r>
    <x v="706"/>
    <x v="25"/>
    <n v="40"/>
    <s v="Male"/>
    <s v="Mumbai"/>
    <s v="Rajasthan"/>
    <d v="2023-04-02T00:00:00"/>
    <d v="2023-04-12T00:00:00"/>
    <x v="3"/>
    <s v="Accessories"/>
    <n v="5"/>
    <n v="25454"/>
    <n v="10"/>
    <x v="1"/>
    <s v="Rohit"/>
    <x v="0"/>
    <s v="poojasharma@gmail.com"/>
    <s v="7625723444"/>
    <x v="2"/>
    <s v="Excellent"/>
    <n v="143"/>
    <s v="Cancelled"/>
    <n v="114543"/>
    <n v="10"/>
    <x v="1"/>
    <x v="0"/>
  </r>
  <r>
    <x v="707"/>
    <x v="36"/>
    <n v="31"/>
    <s v="Female"/>
    <s v="Mumbai"/>
    <s v="Punjab"/>
    <d v="2023-08-29T00:00:00"/>
    <d v="2023-09-05T00:00:00"/>
    <x v="4"/>
    <s v="Accessories"/>
    <n v="5"/>
    <n v="23710"/>
    <n v="10"/>
    <x v="1"/>
    <s v="Rohit"/>
    <x v="2"/>
    <s v="rahulsharma@gmail.com"/>
    <s v="Missing"/>
    <x v="4"/>
    <s v="Average"/>
    <n v="431"/>
    <s v="Cancelled"/>
    <n v="106695"/>
    <n v="7"/>
    <x v="3"/>
    <x v="0"/>
  </r>
  <r>
    <x v="708"/>
    <x v="31"/>
    <n v="53"/>
    <s v="Female"/>
    <s v="Ahmedabad"/>
    <s v="Gujarat"/>
    <d v="2023-10-04T00:00:00"/>
    <d v="2023-10-14T00:00:00"/>
    <x v="2"/>
    <s v="Electronics"/>
    <n v="5"/>
    <n v="9019"/>
    <n v="15"/>
    <x v="1"/>
    <s v="Karan"/>
    <x v="1"/>
    <s v="nehagupta@gmail.com"/>
    <s v="8283423645"/>
    <x v="2"/>
    <s v="Excellent"/>
    <n v="153"/>
    <s v="Cancelled"/>
    <n v="38330.75"/>
    <n v="10"/>
    <x v="5"/>
    <x v="0"/>
  </r>
  <r>
    <x v="709"/>
    <x v="57"/>
    <n v="53"/>
    <s v="Male"/>
    <s v="Amritsar"/>
    <s v="Maharashtra"/>
    <d v="2024-04-08T00:00:00"/>
    <d v="2024-04-12T00:00:00"/>
    <x v="3"/>
    <s v="Electronics"/>
    <n v="5"/>
    <n v="8547"/>
    <n v="15"/>
    <x v="3"/>
    <s v="Karan"/>
    <x v="3"/>
    <s v="nehajoshi@gmail.com"/>
    <s v="9929679410"/>
    <x v="2"/>
    <s v="Average"/>
    <n v="416"/>
    <s v="Delivered"/>
    <n v="36324.75"/>
    <n v="4"/>
    <x v="1"/>
    <x v="1"/>
  </r>
  <r>
    <x v="710"/>
    <x v="81"/>
    <n v="37"/>
    <s v="Male"/>
    <s v="Ahmedabad"/>
    <s v="Rajasthan"/>
    <d v="2024-01-14T00:00:00"/>
    <d v="2024-01-17T00:00:00"/>
    <x v="2"/>
    <s v="Electronics"/>
    <n v="3"/>
    <n v="8014"/>
    <n v="10"/>
    <x v="2"/>
    <s v="Vikas"/>
    <x v="0"/>
    <s v="poojajoshi@gmail.com"/>
    <s v="9233493903"/>
    <x v="4"/>
    <s v="Excellent"/>
    <n v="454"/>
    <s v="Cancelled"/>
    <n v="21637.8"/>
    <n v="3"/>
    <x v="0"/>
    <x v="1"/>
  </r>
  <r>
    <x v="711"/>
    <x v="64"/>
    <n v="38"/>
    <s v="Male"/>
    <s v="Jaipur"/>
    <s v="Maharashtra"/>
    <d v="2023-01-24T00:00:00"/>
    <d v="2023-02-03T00:00:00"/>
    <x v="0"/>
    <s v="Accessories"/>
    <n v="4"/>
    <n v="24827"/>
    <n v="5"/>
    <x v="0"/>
    <s v="Sneha"/>
    <x v="3"/>
    <s v="vikasverma@gmail.com"/>
    <s v="7697399801"/>
    <x v="2"/>
    <s v="Good"/>
    <n v="366"/>
    <s v="Returned"/>
    <n v="94342.599999999991"/>
    <n v="10"/>
    <x v="0"/>
    <x v="0"/>
  </r>
  <r>
    <x v="712"/>
    <x v="9"/>
    <n v="57"/>
    <s v="Female"/>
    <s v="Ahmedabad"/>
    <s v="Delhi"/>
    <d v="2024-10-03T00:00:00"/>
    <d v="2024-10-11T00:00:00"/>
    <x v="3"/>
    <s v="Accessories"/>
    <n v="3"/>
    <n v="49002"/>
    <n v="5"/>
    <x v="3"/>
    <s v="Pooja"/>
    <x v="2"/>
    <s v="anjaligupta@gmail.com"/>
    <s v="7003438444"/>
    <x v="1"/>
    <s v="Average"/>
    <n v="474"/>
    <s v="Delivered"/>
    <n v="139655.69999999998"/>
    <n v="8"/>
    <x v="5"/>
    <x v="1"/>
  </r>
  <r>
    <x v="713"/>
    <x v="16"/>
    <n v="59"/>
    <s v="Female"/>
    <s v="Pune"/>
    <s v="Rajasthan"/>
    <d v="2024-09-09T00:00:00"/>
    <d v="2024-09-19T00:00:00"/>
    <x v="2"/>
    <s v="Accessories"/>
    <n v="5"/>
    <n v="53087"/>
    <n v="0"/>
    <x v="3"/>
    <s v="Sneha"/>
    <x v="3"/>
    <s v="Missing"/>
    <s v="6515598250"/>
    <x v="3"/>
    <s v="Excellent"/>
    <n v="442"/>
    <s v="Delivered"/>
    <n v="265435"/>
    <n v="10"/>
    <x v="2"/>
    <x v="1"/>
  </r>
  <r>
    <x v="714"/>
    <x v="34"/>
    <n v="58"/>
    <s v="Male"/>
    <s v="Jaipur"/>
    <s v="Gujarat"/>
    <d v="2023-03-19T00:00:00"/>
    <d v="2023-03-20T00:00:00"/>
    <x v="4"/>
    <s v="Electronics"/>
    <n v="5"/>
    <n v="68127"/>
    <n v="15"/>
    <x v="3"/>
    <s v="Pooja"/>
    <x v="0"/>
    <s v="snehapatel@gmail.com"/>
    <s v="8406759919"/>
    <x v="1"/>
    <s v="Good"/>
    <n v="375"/>
    <s v="Returned"/>
    <n v="289539.75"/>
    <n v="1"/>
    <x v="10"/>
    <x v="0"/>
  </r>
  <r>
    <x v="715"/>
    <x v="20"/>
    <n v="42"/>
    <s v="Female"/>
    <s v="Ludhiana"/>
    <s v="Delhi"/>
    <d v="2024-10-10T00:00:00"/>
    <d v="2024-10-14T00:00:00"/>
    <x v="4"/>
    <s v="Electronics"/>
    <n v="4"/>
    <n v="32789"/>
    <n v="15"/>
    <x v="2"/>
    <s v="Rohit"/>
    <x v="1"/>
    <s v="priyasingh@gmail.com"/>
    <s v="Missing"/>
    <x v="4"/>
    <s v="Good"/>
    <n v="358"/>
    <s v="Cancelled"/>
    <n v="111482.59999999999"/>
    <n v="4"/>
    <x v="5"/>
    <x v="1"/>
  </r>
  <r>
    <x v="716"/>
    <x v="86"/>
    <n v="20"/>
    <s v="Male"/>
    <s v="Amritsar"/>
    <s v="Punjab"/>
    <d v="2024-11-08T00:00:00"/>
    <d v="2024-11-09T00:00:00"/>
    <x v="2"/>
    <s v="Electronics"/>
    <n v="1"/>
    <n v="19477"/>
    <n v="15"/>
    <x v="0"/>
    <s v="Amit"/>
    <x v="0"/>
    <s v="rohitsingh@gmail.com"/>
    <s v="8035406129"/>
    <x v="2"/>
    <s v="Bad"/>
    <n v="349"/>
    <s v="Cancelled"/>
    <n v="16555.45"/>
    <n v="1"/>
    <x v="7"/>
    <x v="1"/>
  </r>
  <r>
    <x v="717"/>
    <x v="26"/>
    <n v="53"/>
    <s v="Female"/>
    <s v="Mumbai"/>
    <s v="Gujarat"/>
    <d v="2023-03-23T00:00:00"/>
    <d v="2023-04-01T00:00:00"/>
    <x v="4"/>
    <s v="Accessories"/>
    <n v="5"/>
    <n v="76786"/>
    <n v="0"/>
    <x v="0"/>
    <s v="Neha"/>
    <x v="1"/>
    <s v="karanjoshi@gmail.com"/>
    <s v="8765013952"/>
    <x v="4"/>
    <s v="Average"/>
    <n v="214"/>
    <s v="Returned"/>
    <n v="383930"/>
    <n v="9"/>
    <x v="10"/>
    <x v="0"/>
  </r>
  <r>
    <x v="718"/>
    <x v="1"/>
    <n v="18"/>
    <s v="Male"/>
    <s v="Amritsar"/>
    <s v="Rajasthan"/>
    <d v="2024-10-17T00:00:00"/>
    <d v="2024-10-24T00:00:00"/>
    <x v="2"/>
    <s v="Electronics"/>
    <n v="2"/>
    <n v="39409"/>
    <n v="10"/>
    <x v="2"/>
    <s v="Sneha"/>
    <x v="2"/>
    <s v="poojagupta@gmail.com"/>
    <s v="9134357549"/>
    <x v="3"/>
    <s v="Bad"/>
    <n v="51"/>
    <s v="Delivered"/>
    <n v="70936.2"/>
    <n v="7"/>
    <x v="5"/>
    <x v="1"/>
  </r>
  <r>
    <x v="719"/>
    <x v="24"/>
    <n v="38"/>
    <s v="Female"/>
    <s v="Jaipur"/>
    <s v="Punjab"/>
    <d v="2024-03-14T00:00:00"/>
    <d v="2024-03-19T00:00:00"/>
    <x v="5"/>
    <s v="Electronics"/>
    <n v="1"/>
    <n v="42109.716287215415"/>
    <n v="10"/>
    <x v="2"/>
    <s v="Priya"/>
    <x v="1"/>
    <s v="amitmehta@gmail.com"/>
    <s v="6314201111"/>
    <x v="4"/>
    <s v="Good"/>
    <n v="303"/>
    <s v="Cancelled"/>
    <n v="37898.744658493873"/>
    <n v="5"/>
    <x v="10"/>
    <x v="1"/>
  </r>
  <r>
    <x v="720"/>
    <x v="59"/>
    <n v="26"/>
    <s v="Female"/>
    <s v="Mumbai"/>
    <s v="Rajasthan"/>
    <d v="2023-12-05T00:00:00"/>
    <d v="2023-12-12T00:00:00"/>
    <x v="0"/>
    <s v="Accessories"/>
    <n v="2.9447852760736195"/>
    <n v="54247"/>
    <n v="0"/>
    <x v="0"/>
    <s v="Karan"/>
    <x v="0"/>
    <s v="amitjoshi@gmail.com"/>
    <s v="8013408718"/>
    <x v="0"/>
    <s v="Average"/>
    <n v="67"/>
    <s v="Delivered"/>
    <n v="159745.76687116563"/>
    <n v="7"/>
    <x v="11"/>
    <x v="0"/>
  </r>
  <r>
    <x v="721"/>
    <x v="70"/>
    <n v="37"/>
    <s v="Male"/>
    <s v="Delhi"/>
    <s v="Gujarat"/>
    <d v="2024-09-14T00:00:00"/>
    <d v="2024-09-15T00:00:00"/>
    <x v="4"/>
    <s v="Accessories"/>
    <n v="2"/>
    <n v="42109.716287215415"/>
    <n v="15"/>
    <x v="2"/>
    <s v="Rohit"/>
    <x v="1"/>
    <s v="amityadav@gmail.com"/>
    <s v="8546468049"/>
    <x v="1"/>
    <s v="Average"/>
    <n v="117"/>
    <s v="Returned"/>
    <n v="71586.517688266205"/>
    <n v="1"/>
    <x v="2"/>
    <x v="1"/>
  </r>
  <r>
    <x v="722"/>
    <x v="81"/>
    <n v="55"/>
    <s v="Male"/>
    <s v="Ahmedabad"/>
    <s v="Gujarat"/>
    <d v="2024-07-17T00:00:00"/>
    <d v="2024-07-27T00:00:00"/>
    <x v="5"/>
    <s v="Electronics"/>
    <n v="4"/>
    <n v="35004"/>
    <n v="5"/>
    <x v="2"/>
    <s v="Karan"/>
    <x v="0"/>
    <s v="poojajoshi@gmail.com"/>
    <s v="7063693929"/>
    <x v="3"/>
    <s v="Average"/>
    <n v="485"/>
    <s v="Cancelled"/>
    <n v="133015.19999999998"/>
    <n v="10"/>
    <x v="4"/>
    <x v="1"/>
  </r>
  <r>
    <x v="723"/>
    <x v="40"/>
    <n v="47"/>
    <s v="Female"/>
    <s v="Mumbai"/>
    <s v="Rajasthan"/>
    <d v="2023-07-31T00:00:00"/>
    <d v="2023-08-03T00:00:00"/>
    <x v="2"/>
    <s v="Electronics"/>
    <n v="2.9447852760736195"/>
    <n v="33055"/>
    <n v="15"/>
    <x v="3"/>
    <s v="Rahul"/>
    <x v="3"/>
    <s v="amitagarwal@gmail.com"/>
    <s v="7071886227"/>
    <x v="1"/>
    <s v="Good"/>
    <n v="469"/>
    <s v="Cancelled"/>
    <n v="82738.895705521456"/>
    <n v="3"/>
    <x v="4"/>
    <x v="0"/>
  </r>
  <r>
    <x v="724"/>
    <x v="18"/>
    <n v="51"/>
    <s v="Male"/>
    <s v="Amritsar"/>
    <s v="Gujarat"/>
    <d v="2024-06-07T00:00:00"/>
    <d v="2024-06-10T00:00:00"/>
    <x v="0"/>
    <s v="Electronics"/>
    <n v="5"/>
    <n v="15673"/>
    <n v="5"/>
    <x v="2"/>
    <s v="Neha"/>
    <x v="2"/>
    <s v="snehaagarwal@gmail.com"/>
    <s v="9632464608"/>
    <x v="2"/>
    <s v="Good"/>
    <n v="335"/>
    <s v="Cancelled"/>
    <n v="74446.75"/>
    <n v="3"/>
    <x v="9"/>
    <x v="1"/>
  </r>
  <r>
    <x v="725"/>
    <x v="53"/>
    <n v="38"/>
    <s v="Female"/>
    <s v="Jaipur"/>
    <s v="Punjab"/>
    <d v="2023-09-19T00:00:00"/>
    <d v="2023-09-21T00:00:00"/>
    <x v="1"/>
    <s v="Accessories"/>
    <n v="4"/>
    <n v="20433"/>
    <n v="0"/>
    <x v="0"/>
    <s v="Rahul"/>
    <x v="1"/>
    <s v="nehasharma@gmail.com"/>
    <s v="9767257080"/>
    <x v="2"/>
    <s v="Average"/>
    <n v="421"/>
    <s v="Cancelled"/>
    <n v="81732"/>
    <n v="2"/>
    <x v="2"/>
    <x v="0"/>
  </r>
  <r>
    <x v="726"/>
    <x v="66"/>
    <n v="36"/>
    <s v="Female"/>
    <s v="Jaipur"/>
    <s v="Rajasthan"/>
    <d v="2023-10-18T00:00:00"/>
    <d v="2023-10-21T00:00:00"/>
    <x v="0"/>
    <s v="Accessories"/>
    <n v="4"/>
    <n v="54540"/>
    <n v="10"/>
    <x v="3"/>
    <s v="Vikas"/>
    <x v="0"/>
    <s v="nehasingh@gmail.com"/>
    <s v="8841866951"/>
    <x v="2"/>
    <s v="Good"/>
    <n v="332"/>
    <s v="Delivered"/>
    <n v="196344"/>
    <n v="3"/>
    <x v="5"/>
    <x v="0"/>
  </r>
  <r>
    <x v="727"/>
    <x v="27"/>
    <n v="48"/>
    <s v="Male"/>
    <s v="Chandigarh"/>
    <s v="Gujarat"/>
    <d v="2023-12-26T00:00:00"/>
    <d v="2023-12-27T00:00:00"/>
    <x v="2"/>
    <s v="Accessories"/>
    <n v="3"/>
    <n v="72148"/>
    <n v="15"/>
    <x v="0"/>
    <s v="Vikas"/>
    <x v="1"/>
    <s v="priyasharma@gmail.com"/>
    <s v="Missing"/>
    <x v="4"/>
    <s v="Good"/>
    <n v="321"/>
    <s v="Returned"/>
    <n v="183977.4"/>
    <n v="1"/>
    <x v="11"/>
    <x v="0"/>
  </r>
  <r>
    <x v="728"/>
    <x v="59"/>
    <n v="60"/>
    <s v="Male"/>
    <s v="Jaipur"/>
    <s v="Delhi"/>
    <d v="2024-08-23T00:00:00"/>
    <d v="2024-08-27T00:00:00"/>
    <x v="2"/>
    <s v="Accessories"/>
    <n v="5"/>
    <n v="42109.716287215415"/>
    <n v="10"/>
    <x v="2"/>
    <s v="Rahul"/>
    <x v="2"/>
    <s v="Missing"/>
    <s v="9200095202"/>
    <x v="1"/>
    <s v="Bad"/>
    <n v="431"/>
    <s v="Returned"/>
    <n v="189493.72329246937"/>
    <n v="4"/>
    <x v="3"/>
    <x v="1"/>
  </r>
  <r>
    <x v="729"/>
    <x v="14"/>
    <n v="42"/>
    <s v="Male"/>
    <s v="Pune"/>
    <s v="Gujarat"/>
    <d v="2023-01-12T00:00:00"/>
    <d v="2023-01-15T00:00:00"/>
    <x v="5"/>
    <s v="Electronics"/>
    <n v="2"/>
    <n v="25155"/>
    <n v="0"/>
    <x v="0"/>
    <s v="Amit"/>
    <x v="0"/>
    <s v="rohitgupta@gmail.com"/>
    <s v="9046617759"/>
    <x v="1"/>
    <s v="Average"/>
    <n v="230"/>
    <s v="Cancelled"/>
    <n v="50310"/>
    <n v="3"/>
    <x v="0"/>
    <x v="0"/>
  </r>
  <r>
    <x v="730"/>
    <x v="38"/>
    <n v="49"/>
    <s v="Female"/>
    <s v="Ahmedabad"/>
    <s v="Rajasthan"/>
    <d v="2023-08-30T00:00:00"/>
    <d v="2023-09-01T00:00:00"/>
    <x v="1"/>
    <s v="Accessories"/>
    <n v="5"/>
    <n v="69524"/>
    <n v="10"/>
    <x v="2"/>
    <s v="Amit"/>
    <x v="1"/>
    <s v="Missing"/>
    <s v="7223798396"/>
    <x v="1"/>
    <s v="Average"/>
    <n v="442"/>
    <s v="Cancelled"/>
    <n v="312858"/>
    <n v="2"/>
    <x v="3"/>
    <x v="0"/>
  </r>
  <r>
    <x v="731"/>
    <x v="1"/>
    <n v="38"/>
    <s v="Male"/>
    <s v="Ahmedabad"/>
    <s v="Punjab"/>
    <d v="2024-05-16T00:00:00"/>
    <d v="2024-05-21T00:00:00"/>
    <x v="2"/>
    <s v="Accessories"/>
    <n v="1"/>
    <n v="22215"/>
    <n v="0"/>
    <x v="0"/>
    <s v="Vikas"/>
    <x v="0"/>
    <s v="poojagupta@gmail.com"/>
    <s v="8027336794"/>
    <x v="0"/>
    <s v="Excellent"/>
    <n v="142"/>
    <s v="Cancelled"/>
    <n v="22215"/>
    <n v="5"/>
    <x v="6"/>
    <x v="1"/>
  </r>
  <r>
    <x v="732"/>
    <x v="45"/>
    <n v="19"/>
    <s v="Male"/>
    <s v="Ahmedabad"/>
    <s v="Rajasthan"/>
    <d v="2023-01-26T00:00:00"/>
    <d v="2023-01-28T00:00:00"/>
    <x v="3"/>
    <s v="Accessories"/>
    <n v="5"/>
    <n v="14505"/>
    <n v="10"/>
    <x v="1"/>
    <s v="Neha"/>
    <x v="3"/>
    <s v="snehakumar@gmail.com"/>
    <s v="9055780078"/>
    <x v="4"/>
    <s v="Excellent"/>
    <n v="477"/>
    <s v="Delivered"/>
    <n v="65272.5"/>
    <n v="2"/>
    <x v="0"/>
    <x v="0"/>
  </r>
  <r>
    <x v="733"/>
    <x v="20"/>
    <n v="48"/>
    <s v="Female"/>
    <s v="Ludhiana"/>
    <s v="Rajasthan"/>
    <d v="2023-11-30T00:00:00"/>
    <d v="2023-12-03T00:00:00"/>
    <x v="4"/>
    <s v="Electronics"/>
    <n v="2"/>
    <n v="47998"/>
    <n v="0"/>
    <x v="3"/>
    <s v="Sneha"/>
    <x v="2"/>
    <s v="Missing"/>
    <s v="9916810452"/>
    <x v="0"/>
    <s v="Excellent"/>
    <n v="238"/>
    <s v="Returned"/>
    <n v="95996"/>
    <n v="3"/>
    <x v="7"/>
    <x v="0"/>
  </r>
  <r>
    <x v="734"/>
    <x v="60"/>
    <n v="30"/>
    <s v="Female"/>
    <s v="Pune"/>
    <s v="Gujarat"/>
    <d v="2024-06-30T00:00:00"/>
    <d v="2024-07-07T00:00:00"/>
    <x v="4"/>
    <s v="Accessories"/>
    <n v="4"/>
    <n v="11681"/>
    <n v="10"/>
    <x v="3"/>
    <s v="Karan"/>
    <x v="0"/>
    <s v="amitsharma@gmail.com"/>
    <s v="8520366747"/>
    <x v="4"/>
    <s v="Excellent"/>
    <n v="491"/>
    <s v="Returned"/>
    <n v="42051.6"/>
    <n v="7"/>
    <x v="9"/>
    <x v="1"/>
  </r>
  <r>
    <x v="735"/>
    <x v="83"/>
    <n v="32"/>
    <s v="Male"/>
    <s v="Mumbai"/>
    <s v="Delhi"/>
    <d v="2023-04-28T00:00:00"/>
    <d v="2023-05-07T00:00:00"/>
    <x v="3"/>
    <s v="Accessories"/>
    <n v="5"/>
    <n v="70337"/>
    <n v="0"/>
    <x v="0"/>
    <s v="Karan"/>
    <x v="0"/>
    <s v="snehayadav@gmail.com"/>
    <s v="7801757241"/>
    <x v="1"/>
    <s v="Average"/>
    <n v="64"/>
    <s v="Delivered"/>
    <n v="351685"/>
    <n v="9"/>
    <x v="1"/>
    <x v="0"/>
  </r>
  <r>
    <x v="736"/>
    <x v="73"/>
    <n v="34"/>
    <s v="Female"/>
    <s v="Pune"/>
    <s v="Rajasthan"/>
    <d v="2024-05-20T00:00:00"/>
    <d v="2024-05-25T00:00:00"/>
    <x v="3"/>
    <s v="Electronics"/>
    <n v="5"/>
    <n v="12645"/>
    <n v="10"/>
    <x v="2"/>
    <s v="Vikas"/>
    <x v="0"/>
    <s v="priyaagarwal@gmail.com"/>
    <s v="9172329351"/>
    <x v="2"/>
    <s v="Excellent"/>
    <n v="335"/>
    <s v="Returned"/>
    <n v="56902.5"/>
    <n v="5"/>
    <x v="6"/>
    <x v="1"/>
  </r>
  <r>
    <x v="737"/>
    <x v="36"/>
    <n v="30"/>
    <s v="Male"/>
    <s v="Ahmedabad"/>
    <s v="Punjab"/>
    <d v="2023-06-01T00:00:00"/>
    <d v="2023-06-07T00:00:00"/>
    <x v="5"/>
    <s v="Accessories"/>
    <n v="2"/>
    <n v="13142"/>
    <n v="5"/>
    <x v="0"/>
    <s v="Pooja"/>
    <x v="3"/>
    <s v="rahulsharma@gmail.com"/>
    <s v="8573348106"/>
    <x v="4"/>
    <s v="Good"/>
    <n v="395"/>
    <s v="Returned"/>
    <n v="24969.8"/>
    <n v="6"/>
    <x v="9"/>
    <x v="0"/>
  </r>
  <r>
    <x v="738"/>
    <x v="97"/>
    <n v="19"/>
    <s v="Male"/>
    <s v="Chandigarh"/>
    <s v="Gujarat"/>
    <d v="2023-04-27T00:00:00"/>
    <d v="2023-04-29T00:00:00"/>
    <x v="0"/>
    <s v="Accessories"/>
    <n v="3"/>
    <n v="23864"/>
    <n v="5"/>
    <x v="0"/>
    <s v="Karan"/>
    <x v="1"/>
    <s v="vikasjoshi@gmail.com"/>
    <s v="9152787964"/>
    <x v="1"/>
    <s v="Bad"/>
    <n v="401"/>
    <s v="Returned"/>
    <n v="68012.399999999994"/>
    <n v="2"/>
    <x v="1"/>
    <x v="0"/>
  </r>
  <r>
    <x v="739"/>
    <x v="46"/>
    <n v="26"/>
    <s v="Female"/>
    <s v="Ahmedabad"/>
    <s v="Punjab"/>
    <d v="2023-08-04T00:00:00"/>
    <d v="2023-08-07T00:00:00"/>
    <x v="2"/>
    <s v="Accessories"/>
    <n v="1"/>
    <n v="9720"/>
    <n v="10"/>
    <x v="2"/>
    <s v="Amit"/>
    <x v="1"/>
    <s v="Missing"/>
    <s v="Missing"/>
    <x v="4"/>
    <s v="Average"/>
    <n v="261"/>
    <s v="Cancelled"/>
    <n v="8748"/>
    <n v="3"/>
    <x v="3"/>
    <x v="0"/>
  </r>
  <r>
    <x v="740"/>
    <x v="91"/>
    <n v="35"/>
    <s v="Female"/>
    <s v="Pune"/>
    <s v="Gujarat"/>
    <d v="2023-07-10T00:00:00"/>
    <d v="2023-07-11T00:00:00"/>
    <x v="0"/>
    <s v="Accessories"/>
    <n v="1"/>
    <n v="65621"/>
    <n v="5"/>
    <x v="0"/>
    <s v="Rohit"/>
    <x v="3"/>
    <s v="nehakumar@gmail.com"/>
    <s v="8466126079"/>
    <x v="0"/>
    <s v="Average"/>
    <n v="431"/>
    <s v="Returned"/>
    <n v="62339.95"/>
    <n v="1"/>
    <x v="4"/>
    <x v="0"/>
  </r>
  <r>
    <x v="741"/>
    <x v="6"/>
    <n v="36"/>
    <s v="Female"/>
    <s v="Ludhiana"/>
    <s v="Gujarat"/>
    <d v="2024-06-29T00:00:00"/>
    <d v="2024-06-30T00:00:00"/>
    <x v="0"/>
    <s v="Electronics"/>
    <n v="1"/>
    <n v="35353"/>
    <n v="10"/>
    <x v="1"/>
    <s v="Rahul"/>
    <x v="3"/>
    <s v="poojayadav@gmail.com"/>
    <s v="8674385174"/>
    <x v="0"/>
    <s v="Bad"/>
    <n v="217"/>
    <s v="Cancelled"/>
    <n v="31817.7"/>
    <n v="1"/>
    <x v="9"/>
    <x v="1"/>
  </r>
  <r>
    <x v="742"/>
    <x v="68"/>
    <n v="27"/>
    <s v="Male"/>
    <s v="Amritsar"/>
    <s v="Maharashtra"/>
    <d v="2024-02-15T00:00:00"/>
    <d v="2024-02-23T00:00:00"/>
    <x v="1"/>
    <s v="Accessories"/>
    <n v="4"/>
    <n v="58056"/>
    <n v="5"/>
    <x v="2"/>
    <s v="Priya"/>
    <x v="2"/>
    <s v="poojasingh@gmail.com"/>
    <s v="9386714709"/>
    <x v="2"/>
    <s v="Good"/>
    <n v="390"/>
    <s v="Returned"/>
    <n v="220612.8"/>
    <n v="8"/>
    <x v="8"/>
    <x v="1"/>
  </r>
  <r>
    <x v="743"/>
    <x v="21"/>
    <n v="52"/>
    <s v="Male"/>
    <s v="Mumbai"/>
    <s v="Rajasthan"/>
    <d v="2023-02-27T00:00:00"/>
    <d v="2023-03-09T00:00:00"/>
    <x v="5"/>
    <s v="Electronics"/>
    <n v="1"/>
    <n v="21483"/>
    <n v="0"/>
    <x v="3"/>
    <s v="Pooja"/>
    <x v="1"/>
    <s v="karansingh@gmail.com"/>
    <s v="8469802826"/>
    <x v="0"/>
    <s v="Bad"/>
    <n v="408"/>
    <s v="Returned"/>
    <n v="21483"/>
    <n v="10"/>
    <x v="8"/>
    <x v="0"/>
  </r>
  <r>
    <x v="744"/>
    <x v="18"/>
    <n v="19"/>
    <s v="Female"/>
    <s v="Jaipur"/>
    <s v="Rajasthan"/>
    <d v="2023-02-12T00:00:00"/>
    <d v="2023-02-22T00:00:00"/>
    <x v="1"/>
    <s v="Accessories"/>
    <n v="1"/>
    <n v="8454"/>
    <n v="10"/>
    <x v="0"/>
    <s v="Karan"/>
    <x v="2"/>
    <s v="snehaagarwal@gmail.com"/>
    <s v="7325004597"/>
    <x v="0"/>
    <s v="Average"/>
    <n v="332"/>
    <s v="Delivered"/>
    <n v="7608.6"/>
    <n v="10"/>
    <x v="8"/>
    <x v="0"/>
  </r>
  <r>
    <x v="745"/>
    <x v="79"/>
    <n v="46"/>
    <s v="Male"/>
    <s v="Jaipur"/>
    <s v="Delhi"/>
    <d v="2023-10-04T00:00:00"/>
    <d v="2023-10-08T00:00:00"/>
    <x v="4"/>
    <s v="Accessories"/>
    <n v="1"/>
    <n v="5589"/>
    <n v="15"/>
    <x v="1"/>
    <s v="Rahul"/>
    <x v="0"/>
    <s v="rahulpatel@gmail.com"/>
    <s v="6135717169"/>
    <x v="4"/>
    <s v="Good"/>
    <n v="422"/>
    <s v="Cancelled"/>
    <n v="4750.6499999999996"/>
    <n v="4"/>
    <x v="5"/>
    <x v="0"/>
  </r>
  <r>
    <x v="746"/>
    <x v="43"/>
    <n v="32"/>
    <s v="Male"/>
    <s v="Amritsar"/>
    <s v="Gujarat"/>
    <d v="2024-04-12T00:00:00"/>
    <d v="2024-04-22T00:00:00"/>
    <x v="5"/>
    <s v="Electronics"/>
    <n v="5"/>
    <n v="47441"/>
    <n v="10"/>
    <x v="3"/>
    <s v="Sneha"/>
    <x v="0"/>
    <s v="amitpatel@gmail.com"/>
    <s v="9872036412"/>
    <x v="2"/>
    <s v="Bad"/>
    <n v="124"/>
    <s v="Returned"/>
    <n v="213484.5"/>
    <n v="10"/>
    <x v="1"/>
    <x v="1"/>
  </r>
  <r>
    <x v="747"/>
    <x v="9"/>
    <n v="58"/>
    <s v="Male"/>
    <s v="Ahmedabad"/>
    <s v="Maharashtra"/>
    <d v="2023-07-29T00:00:00"/>
    <d v="2023-08-01T00:00:00"/>
    <x v="2"/>
    <s v="Accessories"/>
    <n v="5"/>
    <n v="76592"/>
    <n v="0"/>
    <x v="2"/>
    <s v="Karan"/>
    <x v="0"/>
    <s v="anjaligupta@gmail.com"/>
    <s v="9341163183"/>
    <x v="0"/>
    <s v="Good"/>
    <n v="396"/>
    <s v="Delivered"/>
    <n v="382960"/>
    <n v="3"/>
    <x v="4"/>
    <x v="0"/>
  </r>
  <r>
    <x v="748"/>
    <x v="78"/>
    <n v="34"/>
    <s v="Female"/>
    <s v="Amritsar"/>
    <s v="Maharashtra"/>
    <d v="2024-06-14T00:00:00"/>
    <d v="2024-06-17T00:00:00"/>
    <x v="5"/>
    <s v="Accessories"/>
    <n v="4"/>
    <n v="10151"/>
    <n v="5"/>
    <x v="1"/>
    <s v="Vikas"/>
    <x v="0"/>
    <s v="Missing"/>
    <s v="6431202245"/>
    <x v="2"/>
    <s v="Average"/>
    <n v="487"/>
    <s v="Returned"/>
    <n v="38573.799999999996"/>
    <n v="3"/>
    <x v="9"/>
    <x v="1"/>
  </r>
  <r>
    <x v="749"/>
    <x v="25"/>
    <n v="24"/>
    <s v="Male"/>
    <s v="Delhi"/>
    <s v="Punjab"/>
    <d v="2023-05-25T00:00:00"/>
    <d v="2023-05-26T00:00:00"/>
    <x v="2"/>
    <s v="Electronics"/>
    <n v="1"/>
    <n v="9524"/>
    <n v="5"/>
    <x v="3"/>
    <s v="Rahul"/>
    <x v="3"/>
    <s v="Missing"/>
    <s v="7002359664"/>
    <x v="2"/>
    <s v="Excellent"/>
    <n v="276"/>
    <s v="Delivered"/>
    <n v="9047.7999999999993"/>
    <n v="1"/>
    <x v="6"/>
    <x v="0"/>
  </r>
  <r>
    <x v="750"/>
    <x v="26"/>
    <n v="37"/>
    <s v="Female"/>
    <s v="Pune"/>
    <s v="Maharashtra"/>
    <d v="2023-10-04T00:00:00"/>
    <d v="2023-10-08T00:00:00"/>
    <x v="4"/>
    <s v="Accessories"/>
    <n v="3"/>
    <n v="31072"/>
    <n v="0"/>
    <x v="1"/>
    <s v="Priya"/>
    <x v="0"/>
    <s v="karanjoshi@gmail.com"/>
    <s v="8165486934"/>
    <x v="3"/>
    <s v="Bad"/>
    <n v="452"/>
    <s v="Returned"/>
    <n v="93216"/>
    <n v="4"/>
    <x v="5"/>
    <x v="0"/>
  </r>
  <r>
    <x v="751"/>
    <x v="31"/>
    <n v="27"/>
    <s v="Female"/>
    <s v="Ludhiana"/>
    <s v="Delhi"/>
    <d v="2023-07-29T00:00:00"/>
    <d v="2023-08-01T00:00:00"/>
    <x v="1"/>
    <s v="Electronics"/>
    <n v="2"/>
    <n v="18296"/>
    <n v="15"/>
    <x v="0"/>
    <s v="Anjali"/>
    <x v="3"/>
    <s v="nehagupta@gmail.com"/>
    <s v="7233898871"/>
    <x v="1"/>
    <s v="Bad"/>
    <n v="302"/>
    <s v="Cancelled"/>
    <n v="31103.200000000001"/>
    <n v="3"/>
    <x v="4"/>
    <x v="0"/>
  </r>
  <r>
    <x v="752"/>
    <x v="40"/>
    <n v="38"/>
    <s v="Male"/>
    <s v="Ludhiana"/>
    <s v="Rajasthan"/>
    <d v="2024-04-07T00:00:00"/>
    <d v="2024-04-16T00:00:00"/>
    <x v="2"/>
    <s v="Accessories"/>
    <n v="5"/>
    <n v="32142"/>
    <n v="0"/>
    <x v="1"/>
    <s v="Anjali"/>
    <x v="0"/>
    <s v="amitagarwal@gmail.com"/>
    <s v="9580116220"/>
    <x v="4"/>
    <s v="Bad"/>
    <n v="148"/>
    <s v="Delivered"/>
    <n v="160710"/>
    <n v="9"/>
    <x v="1"/>
    <x v="1"/>
  </r>
  <r>
    <x v="753"/>
    <x v="81"/>
    <n v="34"/>
    <s v="Female"/>
    <s v="Ahmedabad"/>
    <s v="Maharashtra"/>
    <d v="2023-02-13T00:00:00"/>
    <d v="2023-02-20T00:00:00"/>
    <x v="0"/>
    <s v="Accessories"/>
    <n v="4"/>
    <n v="41699"/>
    <n v="10"/>
    <x v="2"/>
    <s v="Sneha"/>
    <x v="1"/>
    <s v="poojajoshi@gmail.com"/>
    <s v="6169696102"/>
    <x v="2"/>
    <s v="Bad"/>
    <n v="324"/>
    <s v="Delivered"/>
    <n v="150116.4"/>
    <n v="7"/>
    <x v="8"/>
    <x v="0"/>
  </r>
  <r>
    <x v="754"/>
    <x v="24"/>
    <n v="43"/>
    <s v="Male"/>
    <s v="Amritsar"/>
    <s v="Maharashtra"/>
    <d v="2024-09-06T00:00:00"/>
    <d v="2024-09-07T00:00:00"/>
    <x v="5"/>
    <s v="Accessories"/>
    <n v="4"/>
    <n v="7942"/>
    <n v="0"/>
    <x v="0"/>
    <s v="Pooja"/>
    <x v="1"/>
    <s v="amitmehta@gmail.com"/>
    <s v="6423072318"/>
    <x v="1"/>
    <s v="Bad"/>
    <n v="101"/>
    <s v="Delivered"/>
    <n v="31768"/>
    <n v="1"/>
    <x v="2"/>
    <x v="1"/>
  </r>
  <r>
    <x v="755"/>
    <x v="68"/>
    <n v="25"/>
    <s v="Female"/>
    <s v="Ludhiana"/>
    <s v="Maharashtra"/>
    <d v="2024-10-31T00:00:00"/>
    <d v="2024-11-01T00:00:00"/>
    <x v="3"/>
    <s v="Electronics"/>
    <n v="2.9447852760736195"/>
    <n v="25021"/>
    <n v="10"/>
    <x v="0"/>
    <s v="Neha"/>
    <x v="1"/>
    <s v="poojasingh@gmail.com"/>
    <s v="8656425764"/>
    <x v="2"/>
    <s v="Excellent"/>
    <n v="105"/>
    <s v="Delivered"/>
    <n v="66313.325153374244"/>
    <n v="1"/>
    <x v="5"/>
    <x v="1"/>
  </r>
  <r>
    <x v="756"/>
    <x v="95"/>
    <n v="28"/>
    <s v="Female"/>
    <s v="Ahmedabad"/>
    <s v="Maharashtra"/>
    <d v="2024-05-14T00:00:00"/>
    <d v="2024-05-19T00:00:00"/>
    <x v="2"/>
    <s v="Accessories"/>
    <n v="5"/>
    <n v="58258"/>
    <n v="15"/>
    <x v="0"/>
    <s v="Pooja"/>
    <x v="3"/>
    <s v="Missing"/>
    <s v="7481171847"/>
    <x v="3"/>
    <s v="Good"/>
    <n v="199"/>
    <s v="Cancelled"/>
    <n v="247596.5"/>
    <n v="5"/>
    <x v="6"/>
    <x v="1"/>
  </r>
  <r>
    <x v="757"/>
    <x v="39"/>
    <n v="46"/>
    <s v="Female"/>
    <s v="Jaipur"/>
    <s v="Punjab"/>
    <d v="2023-07-06T00:00:00"/>
    <d v="2023-07-09T00:00:00"/>
    <x v="1"/>
    <s v="Accessories"/>
    <n v="1"/>
    <n v="48654"/>
    <n v="15"/>
    <x v="3"/>
    <s v="Vikas"/>
    <x v="2"/>
    <s v="rahulsingh@gmail.com"/>
    <s v="Missing"/>
    <x v="0"/>
    <s v="Good"/>
    <n v="121"/>
    <s v="Delivered"/>
    <n v="41355.9"/>
    <n v="3"/>
    <x v="4"/>
    <x v="0"/>
  </r>
  <r>
    <x v="758"/>
    <x v="83"/>
    <n v="40"/>
    <s v="Male"/>
    <s v="Ahmedabad"/>
    <s v="Gujarat"/>
    <d v="2023-03-25T00:00:00"/>
    <d v="2023-03-26T00:00:00"/>
    <x v="3"/>
    <s v="Electronics"/>
    <n v="1"/>
    <n v="54398"/>
    <n v="5"/>
    <x v="0"/>
    <s v="Neha"/>
    <x v="2"/>
    <s v="snehayadav@gmail.com"/>
    <s v="7306386005"/>
    <x v="2"/>
    <s v="Excellent"/>
    <n v="244"/>
    <s v="Cancelled"/>
    <n v="51678.1"/>
    <n v="1"/>
    <x v="10"/>
    <x v="0"/>
  </r>
  <r>
    <x v="759"/>
    <x v="27"/>
    <n v="54"/>
    <s v="Male"/>
    <s v="Ahmedabad"/>
    <s v="Delhi"/>
    <d v="2024-02-07T00:00:00"/>
    <d v="2024-02-10T00:00:00"/>
    <x v="5"/>
    <s v="Accessories"/>
    <n v="3"/>
    <n v="16266"/>
    <n v="15"/>
    <x v="3"/>
    <s v="Sneha"/>
    <x v="2"/>
    <s v="priyasharma@gmail.com"/>
    <s v="9458041255"/>
    <x v="4"/>
    <s v="Good"/>
    <n v="160"/>
    <s v="Returned"/>
    <n v="41478.299999999996"/>
    <n v="3"/>
    <x v="8"/>
    <x v="1"/>
  </r>
  <r>
    <x v="760"/>
    <x v="86"/>
    <n v="35"/>
    <s v="Male"/>
    <s v="Amritsar"/>
    <s v="Delhi"/>
    <d v="2023-10-11T00:00:00"/>
    <d v="2023-10-19T00:00:00"/>
    <x v="1"/>
    <s v="Accessories"/>
    <n v="2.9447852760736195"/>
    <n v="7602"/>
    <n v="0"/>
    <x v="0"/>
    <s v="Rohit"/>
    <x v="3"/>
    <s v="rohitsingh@gmail.com"/>
    <s v="7196468996"/>
    <x v="0"/>
    <s v="Excellent"/>
    <n v="314"/>
    <s v="Delivered"/>
    <n v="22386.257668711656"/>
    <n v="8"/>
    <x v="5"/>
    <x v="0"/>
  </r>
  <r>
    <x v="761"/>
    <x v="4"/>
    <n v="47"/>
    <s v="Male"/>
    <s v="Ahmedabad"/>
    <s v="Punjab"/>
    <d v="2024-04-11T00:00:00"/>
    <d v="2024-04-19T00:00:00"/>
    <x v="2"/>
    <s v="Accessories"/>
    <n v="4"/>
    <n v="11228"/>
    <n v="0"/>
    <x v="1"/>
    <s v="Karan"/>
    <x v="1"/>
    <s v="Missing"/>
    <s v="8140570129"/>
    <x v="0"/>
    <s v="Average"/>
    <n v="234"/>
    <s v="Delivered"/>
    <n v="44912"/>
    <n v="8"/>
    <x v="1"/>
    <x v="1"/>
  </r>
  <r>
    <x v="762"/>
    <x v="94"/>
    <n v="48"/>
    <s v="Male"/>
    <s v="Delhi"/>
    <s v="Punjab"/>
    <d v="2024-04-18T00:00:00"/>
    <d v="2024-04-23T00:00:00"/>
    <x v="1"/>
    <s v="Electronics"/>
    <n v="4"/>
    <n v="57001"/>
    <n v="0"/>
    <x v="0"/>
    <s v="Anjali"/>
    <x v="2"/>
    <s v="snehajoshi@gmail.com"/>
    <s v="9364059280"/>
    <x v="4"/>
    <s v="Average"/>
    <n v="491"/>
    <s v="Delivered"/>
    <n v="228004"/>
    <n v="5"/>
    <x v="1"/>
    <x v="1"/>
  </r>
  <r>
    <x v="763"/>
    <x v="36"/>
    <n v="60"/>
    <s v="Female"/>
    <s v="Pune"/>
    <s v="Maharashtra"/>
    <d v="2023-09-23T00:00:00"/>
    <d v="2023-10-01T00:00:00"/>
    <x v="5"/>
    <s v="Accessories"/>
    <n v="2"/>
    <n v="46327"/>
    <n v="5"/>
    <x v="1"/>
    <s v="Rahul"/>
    <x v="1"/>
    <s v="rahulsharma@gmail.com"/>
    <s v="7476271610"/>
    <x v="3"/>
    <s v="Good"/>
    <n v="447"/>
    <s v="Returned"/>
    <n v="88021.3"/>
    <n v="8"/>
    <x v="2"/>
    <x v="0"/>
  </r>
  <r>
    <x v="764"/>
    <x v="67"/>
    <n v="53"/>
    <s v="Female"/>
    <s v="Amritsar"/>
    <s v="Gujarat"/>
    <d v="2023-01-31T00:00:00"/>
    <d v="2023-02-10T00:00:00"/>
    <x v="4"/>
    <s v="Accessories"/>
    <n v="2"/>
    <n v="70036"/>
    <n v="5"/>
    <x v="2"/>
    <s v="Pooja"/>
    <x v="2"/>
    <s v="karanyadav@gmail.com"/>
    <s v="7448481286"/>
    <x v="4"/>
    <s v="Excellent"/>
    <n v="372"/>
    <s v="Returned"/>
    <n v="133068.4"/>
    <n v="10"/>
    <x v="0"/>
    <x v="0"/>
  </r>
  <r>
    <x v="765"/>
    <x v="46"/>
    <n v="23"/>
    <s v="Female"/>
    <s v="Pune"/>
    <s v="Punjab"/>
    <d v="2023-12-14T00:00:00"/>
    <d v="2023-12-17T00:00:00"/>
    <x v="0"/>
    <s v="Electronics"/>
    <n v="2"/>
    <n v="73616"/>
    <n v="5"/>
    <x v="2"/>
    <s v="Sneha"/>
    <x v="2"/>
    <s v="rohityadav@gmail.com"/>
    <s v="6150458833"/>
    <x v="3"/>
    <s v="Bad"/>
    <n v="77"/>
    <s v="Delivered"/>
    <n v="139870.39999999999"/>
    <n v="3"/>
    <x v="11"/>
    <x v="0"/>
  </r>
  <r>
    <x v="766"/>
    <x v="49"/>
    <n v="18"/>
    <s v="Female"/>
    <s v="Ludhiana"/>
    <s v="Gujarat"/>
    <d v="2024-08-23T00:00:00"/>
    <d v="2024-08-26T00:00:00"/>
    <x v="4"/>
    <s v="Electronics"/>
    <n v="3"/>
    <n v="79096"/>
    <n v="15"/>
    <x v="3"/>
    <s v="Pooja"/>
    <x v="0"/>
    <s v="vikaskumar@gmail.com"/>
    <s v="7817690936"/>
    <x v="1"/>
    <s v="Average"/>
    <n v="250"/>
    <s v="Returned"/>
    <n v="201694.8"/>
    <n v="3"/>
    <x v="3"/>
    <x v="1"/>
  </r>
  <r>
    <x v="767"/>
    <x v="60"/>
    <n v="52"/>
    <s v="Female"/>
    <s v="Mumbai"/>
    <s v="Rajasthan"/>
    <d v="2023-12-01T00:00:00"/>
    <d v="2023-12-03T00:00:00"/>
    <x v="4"/>
    <s v="Accessories"/>
    <n v="3"/>
    <n v="71072"/>
    <n v="15"/>
    <x v="2"/>
    <s v="Pooja"/>
    <x v="1"/>
    <s v="amitsharma@gmail.com"/>
    <s v="Missing"/>
    <x v="0"/>
    <s v="Average"/>
    <n v="461"/>
    <s v="Cancelled"/>
    <n v="181233.6"/>
    <n v="2"/>
    <x v="11"/>
    <x v="0"/>
  </r>
  <r>
    <x v="768"/>
    <x v="10"/>
    <n v="52"/>
    <s v="Male"/>
    <s v="Amritsar"/>
    <s v="Maharashtra"/>
    <d v="2023-07-30T00:00:00"/>
    <d v="2023-08-04T00:00:00"/>
    <x v="1"/>
    <s v="Accessories"/>
    <n v="5"/>
    <n v="42594"/>
    <n v="0"/>
    <x v="1"/>
    <s v="Amit"/>
    <x v="1"/>
    <s v="anjalimehta@gmail.com"/>
    <s v="7892645359"/>
    <x v="0"/>
    <s v="Excellent"/>
    <n v="465"/>
    <s v="Returned"/>
    <n v="212970"/>
    <n v="5"/>
    <x v="4"/>
    <x v="0"/>
  </r>
  <r>
    <x v="769"/>
    <x v="37"/>
    <n v="31"/>
    <s v="Male"/>
    <s v="Ludhiana"/>
    <s v="Maharashtra"/>
    <d v="2024-03-13T00:00:00"/>
    <d v="2024-03-20T00:00:00"/>
    <x v="2"/>
    <s v="Accessories"/>
    <n v="5"/>
    <n v="48722"/>
    <n v="15"/>
    <x v="3"/>
    <s v="Karan"/>
    <x v="2"/>
    <s v="rohitjoshi@gmail.com"/>
    <s v="9857124166"/>
    <x v="3"/>
    <s v="Good"/>
    <n v="393"/>
    <s v="Returned"/>
    <n v="207068.5"/>
    <n v="7"/>
    <x v="10"/>
    <x v="1"/>
  </r>
  <r>
    <x v="770"/>
    <x v="26"/>
    <n v="48"/>
    <s v="Female"/>
    <s v="Mumbai"/>
    <s v="Punjab"/>
    <d v="2023-12-26T00:00:00"/>
    <d v="2024-01-03T00:00:00"/>
    <x v="3"/>
    <s v="Accessories"/>
    <n v="4"/>
    <n v="56875"/>
    <n v="0"/>
    <x v="1"/>
    <s v="Pooja"/>
    <x v="1"/>
    <s v="Missing"/>
    <s v="Missing"/>
    <x v="4"/>
    <s v="Excellent"/>
    <n v="279"/>
    <s v="Delivered"/>
    <n v="227500"/>
    <n v="8"/>
    <x v="11"/>
    <x v="0"/>
  </r>
  <r>
    <x v="771"/>
    <x v="8"/>
    <n v="47"/>
    <s v="Female"/>
    <s v="Amritsar"/>
    <s v="Gujarat"/>
    <d v="2024-06-06T00:00:00"/>
    <d v="2024-06-09T00:00:00"/>
    <x v="0"/>
    <s v="Accessories"/>
    <n v="2.9447852760736195"/>
    <n v="12582"/>
    <n v="10"/>
    <x v="0"/>
    <s v="Anjali"/>
    <x v="3"/>
    <s v="priyamehta@gmail.com"/>
    <s v="9984367017"/>
    <x v="3"/>
    <s v="Average"/>
    <n v="55"/>
    <s v="Returned"/>
    <n v="33346.159509202451"/>
    <n v="3"/>
    <x v="9"/>
    <x v="1"/>
  </r>
  <r>
    <x v="772"/>
    <x v="69"/>
    <n v="34"/>
    <s v="Female"/>
    <s v="Amritsar"/>
    <s v="Gujarat"/>
    <d v="2023-10-02T00:00:00"/>
    <d v="2023-10-03T00:00:00"/>
    <x v="0"/>
    <s v="Electronics"/>
    <n v="3"/>
    <n v="6118"/>
    <n v="10"/>
    <x v="2"/>
    <s v="Pooja"/>
    <x v="2"/>
    <s v="karanpatel@gmail.com"/>
    <s v="6514775711"/>
    <x v="0"/>
    <s v="Bad"/>
    <n v="117"/>
    <s v="Delivered"/>
    <n v="16518.600000000002"/>
    <n v="1"/>
    <x v="5"/>
    <x v="0"/>
  </r>
  <r>
    <x v="773"/>
    <x v="16"/>
    <n v="58"/>
    <s v="Female"/>
    <s v="Pune"/>
    <s v="Gujarat"/>
    <d v="2023-07-27T00:00:00"/>
    <d v="2023-07-31T00:00:00"/>
    <x v="5"/>
    <s v="Accessories"/>
    <n v="2"/>
    <n v="19278"/>
    <n v="5"/>
    <x v="0"/>
    <s v="Anjali"/>
    <x v="2"/>
    <s v="Missing"/>
    <s v="6925112413"/>
    <x v="2"/>
    <s v="Excellent"/>
    <n v="163"/>
    <s v="Delivered"/>
    <n v="36628.199999999997"/>
    <n v="4"/>
    <x v="4"/>
    <x v="0"/>
  </r>
  <r>
    <x v="774"/>
    <x v="98"/>
    <n v="38"/>
    <s v="Male"/>
    <s v="Amritsar"/>
    <s v="Maharashtra"/>
    <d v="2024-09-17T00:00:00"/>
    <d v="2024-09-23T00:00:00"/>
    <x v="3"/>
    <s v="Accessories"/>
    <n v="4"/>
    <n v="36898"/>
    <n v="15"/>
    <x v="0"/>
    <s v="Vikas"/>
    <x v="2"/>
    <s v="vikassingh@gmail.com"/>
    <s v="8392077820"/>
    <x v="0"/>
    <s v="Average"/>
    <n v="337"/>
    <s v="Returned"/>
    <n v="125453.2"/>
    <n v="6"/>
    <x v="2"/>
    <x v="1"/>
  </r>
  <r>
    <x v="775"/>
    <x v="25"/>
    <n v="28"/>
    <s v="Female"/>
    <s v="Pune"/>
    <s v="Punjab"/>
    <d v="2024-02-19T00:00:00"/>
    <d v="2024-02-25T00:00:00"/>
    <x v="5"/>
    <s v="Electronics"/>
    <n v="5"/>
    <n v="78775"/>
    <n v="10"/>
    <x v="1"/>
    <s v="Sneha"/>
    <x v="3"/>
    <s v="poojasharma@gmail.com"/>
    <s v="6655811824"/>
    <x v="3"/>
    <s v="Good"/>
    <n v="412"/>
    <s v="Delivered"/>
    <n v="354487.5"/>
    <n v="6"/>
    <x v="8"/>
    <x v="1"/>
  </r>
  <r>
    <x v="776"/>
    <x v="45"/>
    <n v="34"/>
    <s v="Female"/>
    <s v="Amritsar"/>
    <s v="Rajasthan"/>
    <d v="2023-03-04T00:00:00"/>
    <d v="2023-03-13T00:00:00"/>
    <x v="5"/>
    <s v="Accessories"/>
    <n v="1"/>
    <n v="42363"/>
    <n v="10"/>
    <x v="3"/>
    <s v="Amit"/>
    <x v="1"/>
    <s v="Missing"/>
    <s v="8352381352"/>
    <x v="3"/>
    <s v="Good"/>
    <n v="433"/>
    <s v="Cancelled"/>
    <n v="38126.700000000004"/>
    <n v="9"/>
    <x v="10"/>
    <x v="0"/>
  </r>
  <r>
    <x v="777"/>
    <x v="58"/>
    <n v="59"/>
    <s v="Male"/>
    <s v="Ahmedabad"/>
    <s v="Rajasthan"/>
    <d v="2024-08-01T00:00:00"/>
    <d v="2024-08-05T00:00:00"/>
    <x v="1"/>
    <s v="Electronics"/>
    <n v="4"/>
    <n v="32985"/>
    <n v="5"/>
    <x v="2"/>
    <s v="Priya"/>
    <x v="3"/>
    <s v="vikasgupta@gmail.com"/>
    <s v="8925932771"/>
    <x v="0"/>
    <s v="Excellent"/>
    <n v="313"/>
    <s v="Returned"/>
    <n v="125343"/>
    <n v="4"/>
    <x v="3"/>
    <x v="1"/>
  </r>
  <r>
    <x v="778"/>
    <x v="77"/>
    <n v="28"/>
    <s v="Female"/>
    <s v="Pune"/>
    <s v="Gujarat"/>
    <d v="2023-04-20T00:00:00"/>
    <d v="2023-04-28T00:00:00"/>
    <x v="2"/>
    <s v="Accessories"/>
    <n v="4"/>
    <n v="42109.716287215415"/>
    <n v="10"/>
    <x v="0"/>
    <s v="Rahul"/>
    <x v="0"/>
    <s v="rohitkumar@gmail.com"/>
    <s v="8186297894"/>
    <x v="3"/>
    <s v="Bad"/>
    <n v="491"/>
    <s v="Delivered"/>
    <n v="151594.97863397549"/>
    <n v="8"/>
    <x v="1"/>
    <x v="0"/>
  </r>
  <r>
    <x v="779"/>
    <x v="38"/>
    <n v="36"/>
    <s v="Male"/>
    <s v="Mumbai"/>
    <s v="Gujarat"/>
    <d v="2023-08-28T00:00:00"/>
    <d v="2023-09-02T00:00:00"/>
    <x v="5"/>
    <s v="Electronics"/>
    <n v="2"/>
    <n v="60630"/>
    <n v="5"/>
    <x v="3"/>
    <s v="Sneha"/>
    <x v="0"/>
    <s v="karansharma@gmail.com"/>
    <s v="Missing"/>
    <x v="3"/>
    <s v="Average"/>
    <n v="98"/>
    <s v="Returned"/>
    <n v="115197"/>
    <n v="5"/>
    <x v="3"/>
    <x v="0"/>
  </r>
  <r>
    <x v="780"/>
    <x v="99"/>
    <n v="29"/>
    <s v="Male"/>
    <s v="Chandigarh"/>
    <s v="Punjab"/>
    <d v="2024-09-25T00:00:00"/>
    <d v="2024-10-03T00:00:00"/>
    <x v="5"/>
    <s v="Electronics"/>
    <n v="3"/>
    <n v="78872"/>
    <n v="15"/>
    <x v="1"/>
    <s v="Rohit"/>
    <x v="2"/>
    <s v="snehaverma@gmail.com"/>
    <s v="7398132579"/>
    <x v="4"/>
    <s v="Bad"/>
    <n v="150"/>
    <s v="Returned"/>
    <n v="201123.6"/>
    <n v="8"/>
    <x v="2"/>
    <x v="1"/>
  </r>
  <r>
    <x v="781"/>
    <x v="76"/>
    <n v="27"/>
    <s v="Male"/>
    <s v="Ahmedabad"/>
    <s v="Maharashtra"/>
    <d v="2024-05-11T00:00:00"/>
    <d v="2024-05-17T00:00:00"/>
    <x v="5"/>
    <s v="Electronics"/>
    <n v="1"/>
    <n v="57272"/>
    <n v="5"/>
    <x v="1"/>
    <s v="Rohit"/>
    <x v="0"/>
    <s v="rahulverma@gmail.com"/>
    <s v="6377614958"/>
    <x v="4"/>
    <s v="Bad"/>
    <n v="168"/>
    <s v="Returned"/>
    <n v="54408.399999999994"/>
    <n v="6"/>
    <x v="6"/>
    <x v="1"/>
  </r>
  <r>
    <x v="782"/>
    <x v="15"/>
    <n v="56"/>
    <s v="Female"/>
    <s v="Pune"/>
    <s v="Rajasthan"/>
    <d v="2023-04-28T00:00:00"/>
    <d v="2023-05-04T00:00:00"/>
    <x v="1"/>
    <s v="Accessories"/>
    <n v="3"/>
    <n v="71978"/>
    <n v="0"/>
    <x v="3"/>
    <s v="Vikas"/>
    <x v="0"/>
    <s v="priyajoshi@gmail.com"/>
    <s v="6421288310"/>
    <x v="2"/>
    <s v="Excellent"/>
    <n v="87"/>
    <s v="Returned"/>
    <n v="215934"/>
    <n v="6"/>
    <x v="1"/>
    <x v="0"/>
  </r>
  <r>
    <x v="783"/>
    <x v="39"/>
    <n v="50"/>
    <s v="Male"/>
    <s v="Delhi"/>
    <s v="Delhi"/>
    <d v="2024-08-07T00:00:00"/>
    <d v="2024-08-14T00:00:00"/>
    <x v="0"/>
    <s v="Accessories"/>
    <n v="2"/>
    <n v="17876"/>
    <n v="5"/>
    <x v="3"/>
    <s v="Vikas"/>
    <x v="3"/>
    <s v="Missing"/>
    <s v="6538743104"/>
    <x v="2"/>
    <s v="Average"/>
    <n v="288"/>
    <s v="Returned"/>
    <n v="33964.400000000001"/>
    <n v="7"/>
    <x v="3"/>
    <x v="1"/>
  </r>
  <r>
    <x v="784"/>
    <x v="81"/>
    <n v="37"/>
    <s v="Male"/>
    <s v="Amritsar"/>
    <s v="Gujarat"/>
    <d v="2023-05-27T00:00:00"/>
    <d v="2023-05-31T00:00:00"/>
    <x v="3"/>
    <s v="Electronics"/>
    <n v="4"/>
    <n v="67990"/>
    <n v="0"/>
    <x v="0"/>
    <s v="Anjali"/>
    <x v="3"/>
    <s v="poojajoshi@gmail.com"/>
    <s v="9334254940"/>
    <x v="4"/>
    <s v="Good"/>
    <n v="433"/>
    <s v="Cancelled"/>
    <n v="271960"/>
    <n v="4"/>
    <x v="6"/>
    <x v="0"/>
  </r>
  <r>
    <x v="785"/>
    <x v="16"/>
    <n v="25"/>
    <s v="Male"/>
    <s v="Ahmedabad"/>
    <s v="Punjab"/>
    <d v="2023-02-02T00:00:00"/>
    <d v="2023-02-10T00:00:00"/>
    <x v="4"/>
    <s v="Accessories"/>
    <n v="2"/>
    <n v="63963"/>
    <n v="15"/>
    <x v="2"/>
    <s v="Amit"/>
    <x v="2"/>
    <s v="anjaliverma@gmail.com"/>
    <s v="7204757746"/>
    <x v="0"/>
    <s v="Average"/>
    <n v="472"/>
    <s v="Returned"/>
    <n v="108737.09999999999"/>
    <n v="8"/>
    <x v="8"/>
    <x v="0"/>
  </r>
  <r>
    <x v="786"/>
    <x v="19"/>
    <n v="51"/>
    <s v="Female"/>
    <s v="Jaipur"/>
    <s v="Gujarat"/>
    <d v="2024-05-28T00:00:00"/>
    <d v="2024-06-06T00:00:00"/>
    <x v="4"/>
    <s v="Accessories"/>
    <n v="3"/>
    <n v="54860"/>
    <n v="10"/>
    <x v="0"/>
    <s v="Karan"/>
    <x v="0"/>
    <s v="vikasagarwal@gmail.com"/>
    <s v="Missing"/>
    <x v="4"/>
    <s v="Good"/>
    <n v="444"/>
    <s v="Delivered"/>
    <n v="148122"/>
    <n v="9"/>
    <x v="6"/>
    <x v="1"/>
  </r>
  <r>
    <x v="787"/>
    <x v="64"/>
    <n v="31"/>
    <s v="Male"/>
    <s v="Ahmedabad"/>
    <s v="Punjab"/>
    <d v="2024-02-22T00:00:00"/>
    <d v="2024-02-27T00:00:00"/>
    <x v="1"/>
    <s v="Accessories"/>
    <n v="1"/>
    <n v="68831"/>
    <n v="10"/>
    <x v="3"/>
    <s v="Anjali"/>
    <x v="0"/>
    <s v="vikasverma@gmail.com"/>
    <s v="6062119984"/>
    <x v="3"/>
    <s v="Average"/>
    <n v="466"/>
    <s v="Delivered"/>
    <n v="61947.9"/>
    <n v="5"/>
    <x v="8"/>
    <x v="1"/>
  </r>
  <r>
    <x v="788"/>
    <x v="77"/>
    <n v="46"/>
    <s v="Male"/>
    <s v="Chandigarh"/>
    <s v="Rajasthan"/>
    <d v="2023-08-02T00:00:00"/>
    <d v="2023-08-12T00:00:00"/>
    <x v="0"/>
    <s v="Accessories"/>
    <n v="4"/>
    <n v="65743"/>
    <n v="0"/>
    <x v="0"/>
    <s v="Rohit"/>
    <x v="2"/>
    <s v="rohitkumar@gmail.com"/>
    <s v="Missing"/>
    <x v="1"/>
    <s v="Good"/>
    <n v="473"/>
    <s v="Delivered"/>
    <n v="262972"/>
    <n v="10"/>
    <x v="3"/>
    <x v="0"/>
  </r>
  <r>
    <x v="789"/>
    <x v="89"/>
    <n v="47"/>
    <s v="Female"/>
    <s v="Chandigarh"/>
    <s v="Punjab"/>
    <d v="2023-11-22T00:00:00"/>
    <d v="2023-11-30T00:00:00"/>
    <x v="4"/>
    <s v="Accessories"/>
    <n v="3"/>
    <n v="56308"/>
    <n v="5"/>
    <x v="1"/>
    <s v="Rahul"/>
    <x v="1"/>
    <s v="rohitagarwal@gmail.com"/>
    <s v="7200194449"/>
    <x v="0"/>
    <s v="Bad"/>
    <n v="306"/>
    <s v="Returned"/>
    <n v="160477.79999999999"/>
    <n v="8"/>
    <x v="7"/>
    <x v="0"/>
  </r>
  <r>
    <x v="790"/>
    <x v="60"/>
    <n v="60"/>
    <s v="Male"/>
    <s v="Pune"/>
    <s v="Gujarat"/>
    <d v="2023-02-02T00:00:00"/>
    <d v="2023-02-12T00:00:00"/>
    <x v="0"/>
    <s v="Electronics"/>
    <n v="4"/>
    <n v="46676"/>
    <n v="5"/>
    <x v="3"/>
    <s v="Pooja"/>
    <x v="0"/>
    <s v="amitsharma@gmail.com"/>
    <s v="Missing"/>
    <x v="3"/>
    <s v="Average"/>
    <n v="87"/>
    <s v="Cancelled"/>
    <n v="177368.8"/>
    <n v="10"/>
    <x v="8"/>
    <x v="0"/>
  </r>
  <r>
    <x v="791"/>
    <x v="97"/>
    <n v="46"/>
    <s v="Male"/>
    <s v="Chandigarh"/>
    <s v="Maharashtra"/>
    <d v="2023-01-09T00:00:00"/>
    <d v="2023-01-12T00:00:00"/>
    <x v="2"/>
    <s v="Accessories"/>
    <n v="2"/>
    <n v="42109.716287215415"/>
    <n v="0"/>
    <x v="0"/>
    <s v="Rohit"/>
    <x v="1"/>
    <s v="vikasjoshi@gmail.com"/>
    <s v="9759117755"/>
    <x v="1"/>
    <s v="Average"/>
    <n v="233"/>
    <s v="Cancelled"/>
    <n v="84219.43257443083"/>
    <n v="3"/>
    <x v="0"/>
    <x v="0"/>
  </r>
  <r>
    <x v="792"/>
    <x v="9"/>
    <n v="47"/>
    <s v="Female"/>
    <s v="Amritsar"/>
    <s v="Rajasthan"/>
    <d v="2024-08-30T00:00:00"/>
    <d v="2024-09-08T00:00:00"/>
    <x v="0"/>
    <s v="Accessories"/>
    <n v="1"/>
    <n v="29020"/>
    <n v="5"/>
    <x v="2"/>
    <s v="Amit"/>
    <x v="0"/>
    <s v="anjaligupta@gmail.com"/>
    <s v="9753966644"/>
    <x v="1"/>
    <s v="Excellent"/>
    <n v="118"/>
    <s v="Cancelled"/>
    <n v="27569"/>
    <n v="9"/>
    <x v="3"/>
    <x v="1"/>
  </r>
  <r>
    <x v="793"/>
    <x v="13"/>
    <n v="28"/>
    <s v="Female"/>
    <s v="Amritsar"/>
    <s v="Rajasthan"/>
    <d v="2023-08-20T00:00:00"/>
    <d v="2023-08-24T00:00:00"/>
    <x v="4"/>
    <s v="Electronics"/>
    <n v="1"/>
    <n v="34116"/>
    <n v="10"/>
    <x v="0"/>
    <s v="Priya"/>
    <x v="2"/>
    <s v="Missing"/>
    <s v="6242128859"/>
    <x v="2"/>
    <s v="Bad"/>
    <n v="337"/>
    <s v="Cancelled"/>
    <n v="30704.400000000001"/>
    <n v="4"/>
    <x v="3"/>
    <x v="0"/>
  </r>
  <r>
    <x v="794"/>
    <x v="56"/>
    <n v="41"/>
    <s v="Female"/>
    <s v="Ahmedabad"/>
    <s v="Rajasthan"/>
    <d v="2023-04-18T00:00:00"/>
    <d v="2023-04-19T00:00:00"/>
    <x v="0"/>
    <s v="Electronics"/>
    <n v="4"/>
    <n v="70378"/>
    <n v="5"/>
    <x v="1"/>
    <s v="Vikas"/>
    <x v="0"/>
    <s v="anjalisharma@gmail.com"/>
    <s v="7627361654"/>
    <x v="2"/>
    <s v="Bad"/>
    <n v="139"/>
    <s v="Cancelled"/>
    <n v="267436.39999999997"/>
    <n v="1"/>
    <x v="1"/>
    <x v="0"/>
  </r>
  <r>
    <x v="795"/>
    <x v="82"/>
    <n v="43"/>
    <s v="Female"/>
    <s v="Mumbai"/>
    <s v="Punjab"/>
    <d v="2023-10-22T00:00:00"/>
    <d v="2023-11-01T00:00:00"/>
    <x v="4"/>
    <s v="Accessories"/>
    <n v="3"/>
    <n v="52865"/>
    <n v="5"/>
    <x v="3"/>
    <s v="Rohit"/>
    <x v="0"/>
    <s v="amitgupta@gmail.com"/>
    <s v="6431701664"/>
    <x v="2"/>
    <s v="Bad"/>
    <n v="399"/>
    <s v="Delivered"/>
    <n v="150665.25"/>
    <n v="10"/>
    <x v="5"/>
    <x v="0"/>
  </r>
  <r>
    <x v="796"/>
    <x v="63"/>
    <n v="35"/>
    <s v="Male"/>
    <s v="Ludhiana"/>
    <s v="Punjab"/>
    <d v="2023-02-19T00:00:00"/>
    <d v="2023-02-24T00:00:00"/>
    <x v="3"/>
    <s v="Accessories"/>
    <n v="3"/>
    <n v="54664"/>
    <n v="15"/>
    <x v="3"/>
    <s v="Rohit"/>
    <x v="0"/>
    <s v="priyagupta@gmail.com"/>
    <s v="7614312264"/>
    <x v="3"/>
    <s v="Excellent"/>
    <n v="394"/>
    <s v="Cancelled"/>
    <n v="139393.19999999998"/>
    <n v="5"/>
    <x v="8"/>
    <x v="0"/>
  </r>
  <r>
    <x v="797"/>
    <x v="82"/>
    <n v="23"/>
    <s v="Male"/>
    <s v="Delhi"/>
    <s v="Delhi"/>
    <d v="2023-05-03T00:00:00"/>
    <d v="2023-05-04T00:00:00"/>
    <x v="4"/>
    <s v="Accessories"/>
    <n v="1"/>
    <n v="58085"/>
    <n v="5"/>
    <x v="3"/>
    <s v="Anjali"/>
    <x v="1"/>
    <s v="Missing"/>
    <s v="9470953602"/>
    <x v="4"/>
    <s v="Excellent"/>
    <n v="452"/>
    <s v="Delivered"/>
    <n v="55180.75"/>
    <n v="1"/>
    <x v="6"/>
    <x v="0"/>
  </r>
  <r>
    <x v="798"/>
    <x v="37"/>
    <n v="46"/>
    <s v="Male"/>
    <s v="Chandigarh"/>
    <s v="Rajasthan"/>
    <d v="2024-11-29T00:00:00"/>
    <d v="2024-12-02T00:00:00"/>
    <x v="2"/>
    <s v="Accessories"/>
    <n v="1"/>
    <n v="76703"/>
    <n v="15"/>
    <x v="0"/>
    <s v="Vikas"/>
    <x v="1"/>
    <s v="rohitjoshi@gmail.com"/>
    <s v="7130818205"/>
    <x v="0"/>
    <s v="Good"/>
    <n v="218"/>
    <s v="Cancelled"/>
    <n v="65197.549999999996"/>
    <n v="3"/>
    <x v="7"/>
    <x v="1"/>
  </r>
  <r>
    <x v="799"/>
    <x v="91"/>
    <n v="50"/>
    <s v="Female"/>
    <s v="Amritsar"/>
    <s v="Gujarat"/>
    <d v="2024-11-14T00:00:00"/>
    <d v="2024-11-20T00:00:00"/>
    <x v="1"/>
    <s v="Electronics"/>
    <n v="2"/>
    <n v="72219"/>
    <n v="0"/>
    <x v="1"/>
    <s v="Vikas"/>
    <x v="1"/>
    <s v="nehakumar@gmail.com"/>
    <s v="8596717579"/>
    <x v="3"/>
    <s v="Average"/>
    <n v="266"/>
    <s v="Returned"/>
    <n v="144438"/>
    <n v="6"/>
    <x v="7"/>
    <x v="1"/>
  </r>
  <r>
    <x v="800"/>
    <x v="44"/>
    <n v="54"/>
    <s v="Male"/>
    <s v="Pune"/>
    <s v="Maharashtra"/>
    <d v="2023-11-19T00:00:00"/>
    <d v="2023-11-20T00:00:00"/>
    <x v="4"/>
    <s v="Electronics"/>
    <n v="4"/>
    <n v="37830"/>
    <n v="0"/>
    <x v="1"/>
    <s v="Priya"/>
    <x v="1"/>
    <s v="karanmehta@gmail.com"/>
    <s v="8546916435"/>
    <x v="2"/>
    <s v="Average"/>
    <n v="273"/>
    <s v="Delivered"/>
    <n v="151320"/>
    <n v="1"/>
    <x v="7"/>
    <x v="0"/>
  </r>
  <r>
    <x v="801"/>
    <x v="57"/>
    <n v="28"/>
    <s v="Male"/>
    <s v="Amritsar"/>
    <s v="Maharashtra"/>
    <d v="2024-05-06T00:00:00"/>
    <d v="2024-05-09T00:00:00"/>
    <x v="4"/>
    <s v="Electronics"/>
    <n v="3"/>
    <n v="7817"/>
    <n v="5"/>
    <x v="0"/>
    <s v="Neha"/>
    <x v="1"/>
    <s v="nehajoshi@gmail.com"/>
    <s v="6282584795"/>
    <x v="1"/>
    <s v="Bad"/>
    <n v="490"/>
    <s v="Cancelled"/>
    <n v="22278.45"/>
    <n v="3"/>
    <x v="6"/>
    <x v="1"/>
  </r>
  <r>
    <x v="802"/>
    <x v="64"/>
    <n v="32"/>
    <s v="Male"/>
    <s v="Pune"/>
    <s v="Gujarat"/>
    <d v="2024-11-04T00:00:00"/>
    <d v="2024-11-08T00:00:00"/>
    <x v="5"/>
    <s v="Accessories"/>
    <n v="1"/>
    <n v="47083"/>
    <n v="5"/>
    <x v="1"/>
    <s v="Sneha"/>
    <x v="2"/>
    <s v="vikasverma@gmail.com"/>
    <s v="Missing"/>
    <x v="3"/>
    <s v="Average"/>
    <n v="323"/>
    <s v="Delivered"/>
    <n v="44728.85"/>
    <n v="4"/>
    <x v="7"/>
    <x v="1"/>
  </r>
  <r>
    <x v="803"/>
    <x v="20"/>
    <n v="59"/>
    <s v="Male"/>
    <s v="Pune"/>
    <s v="Delhi"/>
    <d v="2023-11-20T00:00:00"/>
    <d v="2023-11-23T00:00:00"/>
    <x v="2"/>
    <s v="Accessories"/>
    <n v="5"/>
    <n v="19431"/>
    <n v="0"/>
    <x v="2"/>
    <s v="Pooja"/>
    <x v="2"/>
    <s v="priyasingh@gmail.com"/>
    <s v="7294276017"/>
    <x v="2"/>
    <s v="Average"/>
    <n v="174"/>
    <s v="Cancelled"/>
    <n v="97155"/>
    <n v="3"/>
    <x v="7"/>
    <x v="0"/>
  </r>
  <r>
    <x v="804"/>
    <x v="79"/>
    <n v="57"/>
    <s v="Male"/>
    <s v="Amritsar"/>
    <s v="Punjab"/>
    <d v="2024-02-26T00:00:00"/>
    <d v="2024-02-27T00:00:00"/>
    <x v="4"/>
    <s v="Accessories"/>
    <n v="5"/>
    <n v="14978"/>
    <n v="15"/>
    <x v="3"/>
    <s v="Karan"/>
    <x v="0"/>
    <s v="rahulpatel@gmail.com"/>
    <s v="6685572592"/>
    <x v="1"/>
    <s v="Excellent"/>
    <n v="98"/>
    <s v="Delivered"/>
    <n v="63656.5"/>
    <n v="1"/>
    <x v="8"/>
    <x v="1"/>
  </r>
  <r>
    <x v="805"/>
    <x v="55"/>
    <n v="59"/>
    <s v="Male"/>
    <s v="Jaipur"/>
    <s v="Delhi"/>
    <d v="2024-05-29T00:00:00"/>
    <d v="2024-06-08T00:00:00"/>
    <x v="1"/>
    <s v="Accessories"/>
    <n v="1"/>
    <n v="51307"/>
    <n v="5"/>
    <x v="1"/>
    <s v="Pooja"/>
    <x v="1"/>
    <s v="amitverma@gmail.com"/>
    <s v="7676368898"/>
    <x v="2"/>
    <s v="Bad"/>
    <n v="398"/>
    <s v="Cancelled"/>
    <n v="48741.649999999994"/>
    <n v="10"/>
    <x v="6"/>
    <x v="1"/>
  </r>
  <r>
    <x v="806"/>
    <x v="18"/>
    <n v="23"/>
    <s v="Male"/>
    <s v="Ahmedabad"/>
    <s v="Maharashtra"/>
    <d v="2023-08-28T00:00:00"/>
    <d v="2023-09-03T00:00:00"/>
    <x v="0"/>
    <s v="Electronics"/>
    <n v="2.9447852760736195"/>
    <n v="37319"/>
    <n v="10"/>
    <x v="1"/>
    <s v="Anjali"/>
    <x v="0"/>
    <s v="snehaagarwal@gmail.com"/>
    <s v="8257853838"/>
    <x v="2"/>
    <s v="Average"/>
    <n v="471"/>
    <s v="Returned"/>
    <n v="98906.797546012269"/>
    <n v="6"/>
    <x v="3"/>
    <x v="0"/>
  </r>
  <r>
    <x v="807"/>
    <x v="92"/>
    <n v="18"/>
    <s v="Female"/>
    <s v="Amritsar"/>
    <s v="Rajasthan"/>
    <d v="2024-07-16T00:00:00"/>
    <d v="2024-07-25T00:00:00"/>
    <x v="1"/>
    <s v="Accessories"/>
    <n v="2"/>
    <n v="57384"/>
    <n v="5"/>
    <x v="0"/>
    <s v="Rohit"/>
    <x v="1"/>
    <s v="anjaliyadav@gmail.com"/>
    <s v="9568998263"/>
    <x v="0"/>
    <s v="Average"/>
    <n v="81"/>
    <s v="Cancelled"/>
    <n v="109029.59999999999"/>
    <n v="9"/>
    <x v="4"/>
    <x v="1"/>
  </r>
  <r>
    <x v="808"/>
    <x v="57"/>
    <n v="50"/>
    <s v="Female"/>
    <s v="Amritsar"/>
    <s v="Punjab"/>
    <d v="2023-11-25T00:00:00"/>
    <d v="2023-12-01T00:00:00"/>
    <x v="3"/>
    <s v="Electronics"/>
    <n v="2"/>
    <n v="71445"/>
    <n v="10"/>
    <x v="3"/>
    <s v="Rohit"/>
    <x v="3"/>
    <s v="nehajoshi@gmail.com"/>
    <s v="9634562025"/>
    <x v="3"/>
    <s v="Good"/>
    <n v="116"/>
    <s v="Returned"/>
    <n v="128601"/>
    <n v="6"/>
    <x v="7"/>
    <x v="0"/>
  </r>
  <r>
    <x v="809"/>
    <x v="45"/>
    <n v="45"/>
    <s v="Male"/>
    <s v="Pune"/>
    <s v="Maharashtra"/>
    <d v="2023-08-19T00:00:00"/>
    <d v="2023-08-29T00:00:00"/>
    <x v="1"/>
    <s v="Accessories"/>
    <n v="2"/>
    <n v="70157"/>
    <n v="10"/>
    <x v="2"/>
    <s v="Sneha"/>
    <x v="0"/>
    <s v="snehakumar@gmail.com"/>
    <s v="6103855213"/>
    <x v="1"/>
    <s v="Average"/>
    <n v="386"/>
    <s v="Cancelled"/>
    <n v="126282.6"/>
    <n v="10"/>
    <x v="3"/>
    <x v="0"/>
  </r>
  <r>
    <x v="810"/>
    <x v="49"/>
    <n v="51"/>
    <s v="Female"/>
    <s v="Amritsar"/>
    <s v="Rajasthan"/>
    <d v="2023-06-15T00:00:00"/>
    <d v="2023-06-18T00:00:00"/>
    <x v="4"/>
    <s v="Electronics"/>
    <n v="3"/>
    <n v="67680"/>
    <n v="10"/>
    <x v="2"/>
    <s v="Anjali"/>
    <x v="1"/>
    <s v="vikaskumar@gmail.com"/>
    <s v="9705889834"/>
    <x v="1"/>
    <s v="Average"/>
    <n v="305"/>
    <s v="Cancelled"/>
    <n v="182736"/>
    <n v="3"/>
    <x v="9"/>
    <x v="0"/>
  </r>
  <r>
    <x v="811"/>
    <x v="10"/>
    <n v="52"/>
    <s v="Female"/>
    <s v="Amritsar"/>
    <s v="Delhi"/>
    <d v="2024-10-04T00:00:00"/>
    <d v="2024-10-11T00:00:00"/>
    <x v="5"/>
    <s v="Electronics"/>
    <n v="5"/>
    <n v="40339"/>
    <n v="10"/>
    <x v="0"/>
    <s v="Sneha"/>
    <x v="1"/>
    <s v="anjalimehta@gmail.com"/>
    <s v="8537529799"/>
    <x v="0"/>
    <s v="Bad"/>
    <n v="125"/>
    <s v="Delivered"/>
    <n v="181525.5"/>
    <n v="7"/>
    <x v="5"/>
    <x v="1"/>
  </r>
  <r>
    <x v="812"/>
    <x v="47"/>
    <n v="47"/>
    <s v="Male"/>
    <s v="Mumbai"/>
    <s v="Punjab"/>
    <d v="2023-01-12T00:00:00"/>
    <d v="2023-01-19T00:00:00"/>
    <x v="4"/>
    <s v="Electronics"/>
    <n v="5"/>
    <n v="71406"/>
    <n v="10"/>
    <x v="1"/>
    <s v="Sneha"/>
    <x v="3"/>
    <s v="nehaagarwal@gmail.com"/>
    <s v="Missing"/>
    <x v="4"/>
    <s v="Bad"/>
    <n v="80"/>
    <s v="Returned"/>
    <n v="321327"/>
    <n v="7"/>
    <x v="0"/>
    <x v="0"/>
  </r>
  <r>
    <x v="813"/>
    <x v="56"/>
    <n v="53"/>
    <s v="Female"/>
    <s v="Ahmedabad"/>
    <s v="Gujarat"/>
    <d v="2024-01-17T00:00:00"/>
    <d v="2024-01-19T00:00:00"/>
    <x v="3"/>
    <s v="Electronics"/>
    <n v="3"/>
    <n v="35576"/>
    <n v="5"/>
    <x v="3"/>
    <s v="Karan"/>
    <x v="1"/>
    <s v="anjalisharma@gmail.com"/>
    <s v="7598228149"/>
    <x v="1"/>
    <s v="Excellent"/>
    <n v="417"/>
    <s v="Returned"/>
    <n v="101391.59999999999"/>
    <n v="2"/>
    <x v="0"/>
    <x v="1"/>
  </r>
  <r>
    <x v="814"/>
    <x v="11"/>
    <n v="40"/>
    <s v="Female"/>
    <s v="Chandigarh"/>
    <s v="Maharashtra"/>
    <d v="2023-09-20T00:00:00"/>
    <d v="2023-09-23T00:00:00"/>
    <x v="3"/>
    <s v="Accessories"/>
    <n v="5"/>
    <n v="58498"/>
    <n v="0"/>
    <x v="3"/>
    <s v="Amit"/>
    <x v="2"/>
    <s v="Missing"/>
    <s v="6812935220"/>
    <x v="1"/>
    <s v="Bad"/>
    <n v="132"/>
    <s v="Delivered"/>
    <n v="292490"/>
    <n v="3"/>
    <x v="2"/>
    <x v="0"/>
  </r>
  <r>
    <x v="815"/>
    <x v="63"/>
    <n v="33"/>
    <s v="Male"/>
    <s v="Pune"/>
    <s v="Delhi"/>
    <d v="2023-10-06T00:00:00"/>
    <d v="2023-10-13T00:00:00"/>
    <x v="4"/>
    <s v="Electronics"/>
    <n v="3"/>
    <n v="30839"/>
    <n v="0"/>
    <x v="2"/>
    <s v="Sneha"/>
    <x v="0"/>
    <s v="priyagupta@gmail.com"/>
    <s v="9138660915"/>
    <x v="1"/>
    <s v="Excellent"/>
    <n v="88"/>
    <s v="Returned"/>
    <n v="92517"/>
    <n v="7"/>
    <x v="5"/>
    <x v="0"/>
  </r>
  <r>
    <x v="816"/>
    <x v="13"/>
    <n v="60"/>
    <s v="Female"/>
    <s v="Jaipur"/>
    <s v="Rajasthan"/>
    <d v="2024-01-04T00:00:00"/>
    <d v="2024-01-14T00:00:00"/>
    <x v="1"/>
    <s v="Electronics"/>
    <n v="3"/>
    <n v="28698"/>
    <n v="15"/>
    <x v="0"/>
    <s v="Pooja"/>
    <x v="2"/>
    <s v="priyayadav@gmail.com"/>
    <s v="6121626504"/>
    <x v="3"/>
    <s v="Average"/>
    <n v="233"/>
    <s v="Returned"/>
    <n v="73179.899999999994"/>
    <n v="10"/>
    <x v="0"/>
    <x v="1"/>
  </r>
  <r>
    <x v="817"/>
    <x v="27"/>
    <n v="44"/>
    <s v="Female"/>
    <s v="Amritsar"/>
    <s v="Punjab"/>
    <d v="2023-07-31T00:00:00"/>
    <d v="2023-08-05T00:00:00"/>
    <x v="1"/>
    <s v="Electronics"/>
    <n v="4"/>
    <n v="9115"/>
    <n v="0"/>
    <x v="0"/>
    <s v="Vikas"/>
    <x v="2"/>
    <s v="priyasharma@gmail.com"/>
    <s v="6699606672"/>
    <x v="2"/>
    <s v="Excellent"/>
    <n v="492"/>
    <s v="Returned"/>
    <n v="36460"/>
    <n v="5"/>
    <x v="4"/>
    <x v="0"/>
  </r>
  <r>
    <x v="818"/>
    <x v="4"/>
    <n v="24"/>
    <s v="Male"/>
    <s v="Mumbai"/>
    <s v="Maharashtra"/>
    <d v="2024-10-15T00:00:00"/>
    <d v="2024-10-18T00:00:00"/>
    <x v="1"/>
    <s v="Accessories"/>
    <n v="2"/>
    <n v="29037"/>
    <n v="10"/>
    <x v="1"/>
    <s v="Vikas"/>
    <x v="0"/>
    <s v="rahulyadav@gmail.com"/>
    <s v="Missing"/>
    <x v="4"/>
    <s v="Excellent"/>
    <n v="105"/>
    <s v="Cancelled"/>
    <n v="52266.6"/>
    <n v="3"/>
    <x v="5"/>
    <x v="1"/>
  </r>
  <r>
    <x v="819"/>
    <x v="95"/>
    <n v="59"/>
    <s v="Male"/>
    <s v="Amritsar"/>
    <s v="Gujarat"/>
    <d v="2023-08-07T00:00:00"/>
    <d v="2023-08-12T00:00:00"/>
    <x v="0"/>
    <s v="Accessories"/>
    <n v="3"/>
    <n v="29923"/>
    <n v="15"/>
    <x v="2"/>
    <s v="Anjali"/>
    <x v="2"/>
    <s v="snehagupta@gmail.com"/>
    <s v="8376152612"/>
    <x v="2"/>
    <s v="Good"/>
    <n v="200"/>
    <s v="Delivered"/>
    <n v="76303.649999999994"/>
    <n v="5"/>
    <x v="3"/>
    <x v="0"/>
  </r>
  <r>
    <x v="820"/>
    <x v="54"/>
    <n v="49"/>
    <s v="Female"/>
    <s v="Jaipur"/>
    <s v="Rajasthan"/>
    <d v="2023-10-28T00:00:00"/>
    <d v="2023-10-29T00:00:00"/>
    <x v="5"/>
    <s v="Electronics"/>
    <n v="2"/>
    <n v="47908"/>
    <n v="0"/>
    <x v="0"/>
    <s v="Anjali"/>
    <x v="2"/>
    <s v="karankumar@gmail.com"/>
    <s v="9896751967"/>
    <x v="1"/>
    <s v="Average"/>
    <n v="246"/>
    <s v="Delivered"/>
    <n v="95816"/>
    <n v="1"/>
    <x v="5"/>
    <x v="0"/>
  </r>
  <r>
    <x v="821"/>
    <x v="74"/>
    <n v="24"/>
    <s v="Female"/>
    <s v="Mumbai"/>
    <s v="Maharashtra"/>
    <d v="2024-03-27T00:00:00"/>
    <d v="2024-04-06T00:00:00"/>
    <x v="3"/>
    <s v="Electronics"/>
    <n v="2"/>
    <n v="42109.716287215415"/>
    <n v="0"/>
    <x v="2"/>
    <s v="Vikas"/>
    <x v="1"/>
    <s v="poojaverma@gmail.com"/>
    <s v="6479363883"/>
    <x v="2"/>
    <s v="Average"/>
    <n v="370"/>
    <s v="Delivered"/>
    <n v="84219.43257443083"/>
    <n v="10"/>
    <x v="10"/>
    <x v="1"/>
  </r>
  <r>
    <x v="822"/>
    <x v="89"/>
    <n v="24"/>
    <s v="Male"/>
    <s v="Ludhiana"/>
    <s v="Gujarat"/>
    <d v="2024-07-12T00:00:00"/>
    <d v="2024-07-17T00:00:00"/>
    <x v="5"/>
    <s v="Electronics"/>
    <n v="2.9447852760736195"/>
    <n v="25984"/>
    <n v="0"/>
    <x v="3"/>
    <s v="Rohit"/>
    <x v="3"/>
    <s v="rohitagarwal@gmail.com"/>
    <s v="6177814073"/>
    <x v="1"/>
    <s v="Average"/>
    <n v="213"/>
    <s v="Returned"/>
    <n v="76517.300613496933"/>
    <n v="5"/>
    <x v="4"/>
    <x v="1"/>
  </r>
  <r>
    <x v="823"/>
    <x v="1"/>
    <n v="43"/>
    <s v="Female"/>
    <s v="Chandigarh"/>
    <s v="Rajasthan"/>
    <d v="2023-04-15T00:00:00"/>
    <d v="2023-04-17T00:00:00"/>
    <x v="3"/>
    <s v="Accessories"/>
    <n v="1"/>
    <n v="65810"/>
    <n v="0"/>
    <x v="3"/>
    <s v="Sneha"/>
    <x v="1"/>
    <s v="poojagupta@gmail.com"/>
    <s v="9496627006"/>
    <x v="3"/>
    <s v="Average"/>
    <n v="241"/>
    <s v="Cancelled"/>
    <n v="65810"/>
    <n v="2"/>
    <x v="1"/>
    <x v="0"/>
  </r>
  <r>
    <x v="824"/>
    <x v="70"/>
    <n v="45"/>
    <s v="Female"/>
    <s v="Amritsar"/>
    <s v="Gujarat"/>
    <d v="2024-11-16T00:00:00"/>
    <d v="2024-11-23T00:00:00"/>
    <x v="0"/>
    <s v="Electronics"/>
    <n v="5"/>
    <n v="74544"/>
    <n v="15"/>
    <x v="1"/>
    <s v="Neha"/>
    <x v="0"/>
    <s v="amityadav@gmail.com"/>
    <s v="Missing"/>
    <x v="1"/>
    <s v="Excellent"/>
    <n v="290"/>
    <s v="Cancelled"/>
    <n v="316812"/>
    <n v="7"/>
    <x v="7"/>
    <x v="1"/>
  </r>
  <r>
    <x v="825"/>
    <x v="78"/>
    <n v="40"/>
    <s v="Female"/>
    <s v="Jaipur"/>
    <s v="Delhi"/>
    <d v="2023-05-09T00:00:00"/>
    <d v="2023-05-19T00:00:00"/>
    <x v="3"/>
    <s v="Accessories"/>
    <n v="4"/>
    <n v="38457"/>
    <n v="5"/>
    <x v="2"/>
    <s v="Rahul"/>
    <x v="0"/>
    <s v="Missing"/>
    <s v="7515747979"/>
    <x v="4"/>
    <s v="Average"/>
    <n v="418"/>
    <s v="Returned"/>
    <n v="146136.6"/>
    <n v="10"/>
    <x v="6"/>
    <x v="0"/>
  </r>
  <r>
    <x v="826"/>
    <x v="25"/>
    <n v="46"/>
    <s v="Female"/>
    <s v="Ludhiana"/>
    <s v="Rajasthan"/>
    <d v="2023-04-26T00:00:00"/>
    <d v="2023-05-02T00:00:00"/>
    <x v="4"/>
    <s v="Accessories"/>
    <n v="3"/>
    <n v="20163"/>
    <n v="15"/>
    <x v="1"/>
    <s v="Anjali"/>
    <x v="1"/>
    <s v="poojasharma@gmail.com"/>
    <s v="8538438043"/>
    <x v="1"/>
    <s v="Average"/>
    <n v="436"/>
    <s v="Delivered"/>
    <n v="51415.65"/>
    <n v="6"/>
    <x v="1"/>
    <x v="0"/>
  </r>
  <r>
    <x v="827"/>
    <x v="89"/>
    <n v="41"/>
    <s v="Female"/>
    <s v="Delhi"/>
    <s v="Rajasthan"/>
    <d v="2024-05-30T00:00:00"/>
    <d v="2024-05-31T00:00:00"/>
    <x v="0"/>
    <s v="Accessories"/>
    <n v="1"/>
    <n v="40134"/>
    <n v="5"/>
    <x v="2"/>
    <s v="Karan"/>
    <x v="1"/>
    <s v="rohitagarwal@gmail.com"/>
    <s v="7718154624"/>
    <x v="2"/>
    <s v="Excellent"/>
    <n v="335"/>
    <s v="Returned"/>
    <n v="38127.299999999996"/>
    <n v="1"/>
    <x v="6"/>
    <x v="1"/>
  </r>
  <r>
    <x v="828"/>
    <x v="13"/>
    <n v="40"/>
    <s v="Male"/>
    <s v="Pune"/>
    <s v="Gujarat"/>
    <d v="2023-11-29T00:00:00"/>
    <d v="2023-12-04T00:00:00"/>
    <x v="0"/>
    <s v="Accessories"/>
    <n v="2"/>
    <n v="38584"/>
    <n v="0"/>
    <x v="2"/>
    <s v="Pooja"/>
    <x v="0"/>
    <s v="priyayadav@gmail.com"/>
    <s v="9834183974"/>
    <x v="2"/>
    <s v="Bad"/>
    <n v="187"/>
    <s v="Cancelled"/>
    <n v="77168"/>
    <n v="5"/>
    <x v="7"/>
    <x v="0"/>
  </r>
  <r>
    <x v="829"/>
    <x v="79"/>
    <n v="40"/>
    <s v="Female"/>
    <s v="Chandigarh"/>
    <s v="Delhi"/>
    <d v="2023-07-10T00:00:00"/>
    <d v="2023-07-16T00:00:00"/>
    <x v="1"/>
    <s v="Electronics"/>
    <n v="5"/>
    <n v="54533"/>
    <n v="0"/>
    <x v="1"/>
    <s v="Vikas"/>
    <x v="2"/>
    <s v="rahulpatel@gmail.com"/>
    <s v="Missing"/>
    <x v="2"/>
    <s v="Bad"/>
    <n v="240"/>
    <s v="Delivered"/>
    <n v="272665"/>
    <n v="6"/>
    <x v="4"/>
    <x v="0"/>
  </r>
  <r>
    <x v="830"/>
    <x v="95"/>
    <n v="52"/>
    <s v="Male"/>
    <s v="Amritsar"/>
    <s v="Gujarat"/>
    <d v="2024-05-28T00:00:00"/>
    <d v="2024-06-02T00:00:00"/>
    <x v="5"/>
    <s v="Electronics"/>
    <n v="5"/>
    <n v="74917"/>
    <n v="5"/>
    <x v="0"/>
    <s v="Pooja"/>
    <x v="1"/>
    <s v="snehagupta@gmail.com"/>
    <s v="9339317271"/>
    <x v="3"/>
    <s v="Average"/>
    <n v="312"/>
    <s v="Delivered"/>
    <n v="355855.75"/>
    <n v="5"/>
    <x v="6"/>
    <x v="1"/>
  </r>
  <r>
    <x v="831"/>
    <x v="52"/>
    <n v="57"/>
    <s v="Male"/>
    <s v="Ahmedabad"/>
    <s v="Punjab"/>
    <d v="2024-03-20T00:00:00"/>
    <d v="2024-03-25T00:00:00"/>
    <x v="1"/>
    <s v="Electronics"/>
    <n v="3"/>
    <n v="66617"/>
    <n v="10"/>
    <x v="3"/>
    <s v="Priya"/>
    <x v="1"/>
    <s v="rohitsharma@gmail.com"/>
    <s v="9206960022"/>
    <x v="3"/>
    <s v="Bad"/>
    <n v="365"/>
    <s v="Returned"/>
    <n v="179865.9"/>
    <n v="5"/>
    <x v="10"/>
    <x v="1"/>
  </r>
  <r>
    <x v="832"/>
    <x v="9"/>
    <n v="57"/>
    <s v="Female"/>
    <s v="Ludhiana"/>
    <s v="Gujarat"/>
    <d v="2024-05-12T00:00:00"/>
    <d v="2024-05-15T00:00:00"/>
    <x v="0"/>
    <s v="Electronics"/>
    <n v="1"/>
    <n v="78036"/>
    <n v="15"/>
    <x v="1"/>
    <s v="Sneha"/>
    <x v="0"/>
    <s v="anjaligupta@gmail.com"/>
    <s v="9513178736"/>
    <x v="0"/>
    <s v="Good"/>
    <n v="214"/>
    <s v="Delivered"/>
    <n v="66330.599999999991"/>
    <n v="3"/>
    <x v="6"/>
    <x v="1"/>
  </r>
  <r>
    <x v="833"/>
    <x v="88"/>
    <n v="53"/>
    <s v="Female"/>
    <s v="Chandigarh"/>
    <s v="Rajasthan"/>
    <d v="2023-12-16T00:00:00"/>
    <d v="2023-12-18T00:00:00"/>
    <x v="4"/>
    <s v="Accessories"/>
    <n v="2"/>
    <n v="64597"/>
    <n v="15"/>
    <x v="0"/>
    <s v="Neha"/>
    <x v="1"/>
    <s v="vikasmehta@gmail.com"/>
    <s v="7561862189"/>
    <x v="4"/>
    <s v="Bad"/>
    <n v="480"/>
    <s v="Returned"/>
    <n v="109814.9"/>
    <n v="2"/>
    <x v="11"/>
    <x v="0"/>
  </r>
  <r>
    <x v="834"/>
    <x v="80"/>
    <n v="56"/>
    <s v="Male"/>
    <s v="Ludhiana"/>
    <s v="Punjab"/>
    <d v="2023-01-28T00:00:00"/>
    <d v="2023-02-04T00:00:00"/>
    <x v="0"/>
    <s v="Electronics"/>
    <n v="4"/>
    <n v="21376"/>
    <n v="5"/>
    <x v="0"/>
    <s v="Priya"/>
    <x v="0"/>
    <s v="Missing"/>
    <s v="7288238539"/>
    <x v="1"/>
    <s v="Good"/>
    <n v="161"/>
    <s v="Returned"/>
    <n v="81228.800000000003"/>
    <n v="7"/>
    <x v="0"/>
    <x v="0"/>
  </r>
  <r>
    <x v="835"/>
    <x v="23"/>
    <n v="42"/>
    <s v="Male"/>
    <s v="Amritsar"/>
    <s v="Delhi"/>
    <d v="2023-12-26T00:00:00"/>
    <d v="2023-12-31T00:00:00"/>
    <x v="5"/>
    <s v="Electronics"/>
    <n v="2"/>
    <n v="36110"/>
    <n v="0"/>
    <x v="2"/>
    <s v="Neha"/>
    <x v="2"/>
    <s v="karanagarwal@gmail.com"/>
    <s v="7483401093"/>
    <x v="3"/>
    <s v="Average"/>
    <n v="382"/>
    <s v="Delivered"/>
    <n v="72220"/>
    <n v="5"/>
    <x v="11"/>
    <x v="0"/>
  </r>
  <r>
    <x v="836"/>
    <x v="26"/>
    <n v="51"/>
    <s v="Female"/>
    <s v="Pune"/>
    <s v="Delhi"/>
    <d v="2024-09-22T00:00:00"/>
    <d v="2024-10-01T00:00:00"/>
    <x v="3"/>
    <s v="Accessories"/>
    <n v="4"/>
    <n v="29407"/>
    <n v="15"/>
    <x v="0"/>
    <s v="Amit"/>
    <x v="2"/>
    <s v="karanjoshi@gmail.com"/>
    <s v="7839583368"/>
    <x v="0"/>
    <s v="Excellent"/>
    <n v="396"/>
    <s v="Cancelled"/>
    <n v="99983.8"/>
    <n v="9"/>
    <x v="2"/>
    <x v="1"/>
  </r>
  <r>
    <x v="837"/>
    <x v="35"/>
    <n v="52"/>
    <s v="Female"/>
    <s v="Pune"/>
    <s v="Maharashtra"/>
    <d v="2023-11-27T00:00:00"/>
    <d v="2023-12-03T00:00:00"/>
    <x v="3"/>
    <s v="Electronics"/>
    <n v="2"/>
    <n v="33750"/>
    <n v="15"/>
    <x v="2"/>
    <s v="Neha"/>
    <x v="1"/>
    <s v="nehamehta@gmail.com"/>
    <s v="9868007116"/>
    <x v="1"/>
    <s v="Average"/>
    <n v="413"/>
    <s v="Cancelled"/>
    <n v="57375"/>
    <n v="6"/>
    <x v="7"/>
    <x v="0"/>
  </r>
  <r>
    <x v="838"/>
    <x v="50"/>
    <n v="34"/>
    <s v="Male"/>
    <s v="Ahmedabad"/>
    <s v="Rajasthan"/>
    <d v="2024-05-12T00:00:00"/>
    <d v="2024-05-15T00:00:00"/>
    <x v="1"/>
    <s v="Electronics"/>
    <n v="3"/>
    <n v="60340"/>
    <n v="15"/>
    <x v="1"/>
    <s v="Neha"/>
    <x v="2"/>
    <s v="amitkumar@gmail.com"/>
    <s v="9106251865"/>
    <x v="3"/>
    <s v="Excellent"/>
    <n v="374"/>
    <s v="Returned"/>
    <n v="153867"/>
    <n v="3"/>
    <x v="6"/>
    <x v="1"/>
  </r>
  <r>
    <x v="839"/>
    <x v="25"/>
    <n v="20"/>
    <s v="Male"/>
    <s v="Ahmedabad"/>
    <s v="Rajasthan"/>
    <d v="2024-10-29T00:00:00"/>
    <d v="2024-11-02T00:00:00"/>
    <x v="2"/>
    <s v="Electronics"/>
    <n v="2.9447852760736195"/>
    <n v="41799"/>
    <n v="10"/>
    <x v="0"/>
    <s v="Priya"/>
    <x v="0"/>
    <s v="poojasharma@gmail.com"/>
    <s v="6270014172"/>
    <x v="4"/>
    <s v="Good"/>
    <n v="345"/>
    <s v="Delivered"/>
    <n v="110780.17177914109"/>
    <n v="4"/>
    <x v="5"/>
    <x v="1"/>
  </r>
  <r>
    <x v="840"/>
    <x v="70"/>
    <n v="22"/>
    <s v="Male"/>
    <s v="Ahmedabad"/>
    <s v="Delhi"/>
    <d v="2024-09-14T00:00:00"/>
    <d v="2024-09-22T00:00:00"/>
    <x v="1"/>
    <s v="Accessories"/>
    <n v="1"/>
    <n v="48309"/>
    <n v="10"/>
    <x v="0"/>
    <s v="Pooja"/>
    <x v="3"/>
    <s v="amityadav@gmail.com"/>
    <s v="7140095800"/>
    <x v="0"/>
    <s v="Good"/>
    <n v="422"/>
    <s v="Cancelled"/>
    <n v="43478.1"/>
    <n v="8"/>
    <x v="2"/>
    <x v="1"/>
  </r>
  <r>
    <x v="841"/>
    <x v="17"/>
    <n v="28"/>
    <s v="Male"/>
    <s v="Delhi"/>
    <s v="Delhi"/>
    <d v="2024-08-11T00:00:00"/>
    <d v="2024-08-17T00:00:00"/>
    <x v="5"/>
    <s v="Accessories"/>
    <n v="3"/>
    <n v="6391"/>
    <n v="5"/>
    <x v="1"/>
    <s v="Rahul"/>
    <x v="1"/>
    <s v="rohitpatel@gmail.com"/>
    <s v="6497196233"/>
    <x v="1"/>
    <s v="Excellent"/>
    <n v="219"/>
    <s v="Delivered"/>
    <n v="18214.349999999999"/>
    <n v="6"/>
    <x v="3"/>
    <x v="1"/>
  </r>
  <r>
    <x v="842"/>
    <x v="65"/>
    <n v="59"/>
    <s v="Female"/>
    <s v="Amritsar"/>
    <s v="Maharashtra"/>
    <d v="2024-07-31T00:00:00"/>
    <d v="2024-08-07T00:00:00"/>
    <x v="2"/>
    <s v="Electronics"/>
    <n v="3"/>
    <n v="10255"/>
    <n v="5"/>
    <x v="0"/>
    <s v="Vikas"/>
    <x v="1"/>
    <s v="nehaverma@gmail.com"/>
    <s v="6689058757"/>
    <x v="4"/>
    <s v="Excellent"/>
    <n v="480"/>
    <s v="Cancelled"/>
    <n v="29226.75"/>
    <n v="7"/>
    <x v="4"/>
    <x v="1"/>
  </r>
  <r>
    <x v="843"/>
    <x v="79"/>
    <n v="54"/>
    <s v="Female"/>
    <s v="Amritsar"/>
    <s v="Maharashtra"/>
    <d v="2024-05-01T00:00:00"/>
    <d v="2024-05-06T00:00:00"/>
    <x v="5"/>
    <s v="Electronics"/>
    <n v="2.9447852760736195"/>
    <n v="62022"/>
    <n v="15"/>
    <x v="1"/>
    <s v="Karan"/>
    <x v="2"/>
    <s v="rahulpatel@gmail.com"/>
    <s v="6005248175"/>
    <x v="0"/>
    <s v="Good"/>
    <n v="380"/>
    <s v="Cancelled"/>
    <n v="155245.25153374232"/>
    <n v="5"/>
    <x v="6"/>
    <x v="1"/>
  </r>
  <r>
    <x v="844"/>
    <x v="38"/>
    <n v="32"/>
    <s v="Male"/>
    <s v="Chandigarh"/>
    <s v="Maharashtra"/>
    <d v="2023-07-12T00:00:00"/>
    <d v="2023-07-13T00:00:00"/>
    <x v="0"/>
    <s v="Accessories"/>
    <n v="5"/>
    <n v="77688"/>
    <n v="0"/>
    <x v="2"/>
    <s v="Rohit"/>
    <x v="3"/>
    <s v="karansharma@gmail.com"/>
    <s v="8900131548"/>
    <x v="0"/>
    <s v="Bad"/>
    <n v="211"/>
    <s v="Returned"/>
    <n v="388440"/>
    <n v="1"/>
    <x v="4"/>
    <x v="0"/>
  </r>
  <r>
    <x v="845"/>
    <x v="16"/>
    <n v="58"/>
    <s v="Male"/>
    <s v="Mumbai"/>
    <s v="Punjab"/>
    <d v="2023-05-17T00:00:00"/>
    <d v="2023-05-26T00:00:00"/>
    <x v="4"/>
    <s v="Electronics"/>
    <n v="2"/>
    <n v="5532"/>
    <n v="0"/>
    <x v="1"/>
    <s v="Neha"/>
    <x v="2"/>
    <s v="anjaliverma@gmail.com"/>
    <s v="8936002548"/>
    <x v="1"/>
    <s v="Average"/>
    <n v="430"/>
    <s v="Delivered"/>
    <n v="11064"/>
    <n v="9"/>
    <x v="6"/>
    <x v="0"/>
  </r>
  <r>
    <x v="846"/>
    <x v="72"/>
    <n v="24"/>
    <s v="Male"/>
    <s v="Pune"/>
    <s v="Punjab"/>
    <d v="2023-04-15T00:00:00"/>
    <d v="2023-04-22T00:00:00"/>
    <x v="2"/>
    <s v="Electronics"/>
    <n v="2"/>
    <n v="8237"/>
    <n v="0"/>
    <x v="2"/>
    <s v="Sneha"/>
    <x v="2"/>
    <s v="snehasharma@gmail.com"/>
    <s v="9072877991"/>
    <x v="4"/>
    <s v="Good"/>
    <n v="105"/>
    <s v="Returned"/>
    <n v="16474"/>
    <n v="7"/>
    <x v="1"/>
    <x v="0"/>
  </r>
  <r>
    <x v="847"/>
    <x v="52"/>
    <n v="34"/>
    <s v="Male"/>
    <s v="Amritsar"/>
    <s v="Delhi"/>
    <d v="2023-10-23T00:00:00"/>
    <d v="2023-10-27T00:00:00"/>
    <x v="1"/>
    <s v="Electronics"/>
    <n v="4"/>
    <n v="54377"/>
    <n v="5"/>
    <x v="3"/>
    <s v="Rahul"/>
    <x v="3"/>
    <s v="rohitsharma@gmail.com"/>
    <s v="6953550964"/>
    <x v="4"/>
    <s v="Good"/>
    <n v="316"/>
    <s v="Delivered"/>
    <n v="206632.59999999998"/>
    <n v="4"/>
    <x v="5"/>
    <x v="0"/>
  </r>
  <r>
    <x v="848"/>
    <x v="56"/>
    <n v="57"/>
    <s v="Male"/>
    <s v="Jaipur"/>
    <s v="Gujarat"/>
    <d v="2023-03-09T00:00:00"/>
    <d v="2023-03-17T00:00:00"/>
    <x v="4"/>
    <s v="Accessories"/>
    <n v="2"/>
    <n v="13564"/>
    <n v="0"/>
    <x v="2"/>
    <s v="Karan"/>
    <x v="0"/>
    <s v="Missing"/>
    <s v="9408691670"/>
    <x v="3"/>
    <s v="Good"/>
    <n v="284"/>
    <s v="Cancelled"/>
    <n v="27128"/>
    <n v="8"/>
    <x v="10"/>
    <x v="0"/>
  </r>
  <r>
    <x v="849"/>
    <x v="11"/>
    <n v="54"/>
    <s v="Male"/>
    <s v="Ahmedabad"/>
    <s v="Maharashtra"/>
    <d v="2023-02-16T00:00:00"/>
    <d v="2023-02-23T00:00:00"/>
    <x v="1"/>
    <s v="Electronics"/>
    <n v="3"/>
    <n v="34921"/>
    <n v="5"/>
    <x v="0"/>
    <s v="Neha"/>
    <x v="3"/>
    <s v="anjaliagarwal@gmail.com"/>
    <s v="8815341158"/>
    <x v="4"/>
    <s v="Good"/>
    <n v="243"/>
    <s v="Delivered"/>
    <n v="99524.849999999991"/>
    <n v="7"/>
    <x v="8"/>
    <x v="0"/>
  </r>
  <r>
    <x v="850"/>
    <x v="18"/>
    <n v="57"/>
    <s v="Male"/>
    <s v="Mumbai"/>
    <s v="Punjab"/>
    <d v="2024-08-18T00:00:00"/>
    <d v="2024-08-26T00:00:00"/>
    <x v="2"/>
    <s v="Accessories"/>
    <n v="5"/>
    <n v="12459"/>
    <n v="10"/>
    <x v="3"/>
    <s v="Sneha"/>
    <x v="0"/>
    <s v="snehaagarwal@gmail.com"/>
    <s v="8201351457"/>
    <x v="0"/>
    <s v="Average"/>
    <n v="448"/>
    <s v="Delivered"/>
    <n v="56065.5"/>
    <n v="8"/>
    <x v="3"/>
    <x v="1"/>
  </r>
  <r>
    <x v="851"/>
    <x v="82"/>
    <n v="38"/>
    <s v="Male"/>
    <s v="Chandigarh"/>
    <s v="Punjab"/>
    <d v="2024-03-02T00:00:00"/>
    <d v="2024-03-06T00:00:00"/>
    <x v="3"/>
    <s v="Electronics"/>
    <n v="1"/>
    <n v="77121"/>
    <n v="15"/>
    <x v="2"/>
    <s v="Rohit"/>
    <x v="3"/>
    <s v="amitgupta@gmail.com"/>
    <s v="6200243973"/>
    <x v="1"/>
    <s v="Excellent"/>
    <n v="173"/>
    <s v="Delivered"/>
    <n v="65552.849999999991"/>
    <n v="4"/>
    <x v="10"/>
    <x v="1"/>
  </r>
  <r>
    <x v="852"/>
    <x v="6"/>
    <n v="52"/>
    <s v="Male"/>
    <s v="Delhi"/>
    <s v="Gujarat"/>
    <d v="2024-08-04T00:00:00"/>
    <d v="2024-08-08T00:00:00"/>
    <x v="0"/>
    <s v="Electronics"/>
    <n v="1"/>
    <n v="37078"/>
    <n v="5"/>
    <x v="2"/>
    <s v="Vikas"/>
    <x v="2"/>
    <s v="poojayadav@gmail.com"/>
    <s v="7723246895"/>
    <x v="2"/>
    <s v="Good"/>
    <n v="260"/>
    <s v="Returned"/>
    <n v="35224.1"/>
    <n v="4"/>
    <x v="3"/>
    <x v="1"/>
  </r>
  <r>
    <x v="853"/>
    <x v="3"/>
    <n v="36"/>
    <s v="Male"/>
    <s v="Jaipur"/>
    <s v="Punjab"/>
    <d v="2023-06-26T00:00:00"/>
    <d v="2023-07-03T00:00:00"/>
    <x v="5"/>
    <s v="Accessories"/>
    <n v="5"/>
    <n v="30882"/>
    <n v="0"/>
    <x v="3"/>
    <s v="Amit"/>
    <x v="1"/>
    <s v="anjalipatel@gmail.com"/>
    <s v="6524350726"/>
    <x v="2"/>
    <s v="Bad"/>
    <n v="489"/>
    <s v="Returned"/>
    <n v="154410"/>
    <n v="7"/>
    <x v="9"/>
    <x v="0"/>
  </r>
  <r>
    <x v="854"/>
    <x v="34"/>
    <n v="60"/>
    <s v="Female"/>
    <s v="Ahmedabad"/>
    <s v="Maharashtra"/>
    <d v="2024-03-19T00:00:00"/>
    <d v="2024-03-22T00:00:00"/>
    <x v="1"/>
    <s v="Accessories"/>
    <n v="1"/>
    <n v="14326"/>
    <n v="0"/>
    <x v="1"/>
    <s v="Karan"/>
    <x v="2"/>
    <s v="snehapatel@gmail.com"/>
    <s v="6634770307"/>
    <x v="2"/>
    <s v="Excellent"/>
    <n v="488"/>
    <s v="Delivered"/>
    <n v="14326"/>
    <n v="3"/>
    <x v="10"/>
    <x v="1"/>
  </r>
  <r>
    <x v="855"/>
    <x v="19"/>
    <n v="50"/>
    <s v="Female"/>
    <s v="Chandigarh"/>
    <s v="Maharashtra"/>
    <d v="2024-07-06T00:00:00"/>
    <d v="2024-07-08T00:00:00"/>
    <x v="5"/>
    <s v="Accessories"/>
    <n v="3"/>
    <n v="14560"/>
    <n v="15"/>
    <x v="3"/>
    <s v="Vikas"/>
    <x v="3"/>
    <s v="Missing"/>
    <s v="6572582035"/>
    <x v="0"/>
    <s v="Average"/>
    <n v="301"/>
    <s v="Delivered"/>
    <n v="37128"/>
    <n v="2"/>
    <x v="4"/>
    <x v="1"/>
  </r>
  <r>
    <x v="856"/>
    <x v="25"/>
    <n v="18"/>
    <s v="Male"/>
    <s v="Pune"/>
    <s v="Delhi"/>
    <d v="2023-08-16T00:00:00"/>
    <d v="2023-08-25T00:00:00"/>
    <x v="1"/>
    <s v="Electronics"/>
    <n v="2"/>
    <n v="19072"/>
    <n v="5"/>
    <x v="1"/>
    <s v="Rahul"/>
    <x v="2"/>
    <s v="poojasharma@gmail.com"/>
    <s v="7397277204"/>
    <x v="1"/>
    <s v="Average"/>
    <n v="233"/>
    <s v="Delivered"/>
    <n v="36236.799999999996"/>
    <n v="9"/>
    <x v="3"/>
    <x v="0"/>
  </r>
  <r>
    <x v="857"/>
    <x v="94"/>
    <n v="30"/>
    <s v="Female"/>
    <s v="Mumbai"/>
    <s v="Rajasthan"/>
    <d v="2023-02-12T00:00:00"/>
    <d v="2023-02-16T00:00:00"/>
    <x v="2"/>
    <s v="Accessories"/>
    <n v="1"/>
    <n v="49483"/>
    <n v="5"/>
    <x v="3"/>
    <s v="Pooja"/>
    <x v="1"/>
    <s v="snehajoshi@gmail.com"/>
    <s v="7836423690"/>
    <x v="4"/>
    <s v="Excellent"/>
    <n v="400"/>
    <s v="Cancelled"/>
    <n v="47008.85"/>
    <n v="4"/>
    <x v="8"/>
    <x v="0"/>
  </r>
  <r>
    <x v="858"/>
    <x v="16"/>
    <n v="45"/>
    <s v="Female"/>
    <s v="Jaipur"/>
    <s v="Punjab"/>
    <d v="2023-07-29T00:00:00"/>
    <d v="2023-07-30T00:00:00"/>
    <x v="3"/>
    <s v="Electronics"/>
    <n v="2"/>
    <n v="27109"/>
    <n v="10"/>
    <x v="1"/>
    <s v="Sneha"/>
    <x v="3"/>
    <s v="anjaliverma@gmail.com"/>
    <s v="8918058484"/>
    <x v="1"/>
    <s v="Excellent"/>
    <n v="450"/>
    <s v="Returned"/>
    <n v="48796.200000000004"/>
    <n v="1"/>
    <x v="4"/>
    <x v="0"/>
  </r>
  <r>
    <x v="859"/>
    <x v="32"/>
    <n v="55"/>
    <s v="Male"/>
    <s v="Delhi"/>
    <s v="Rajasthan"/>
    <d v="2023-02-05T00:00:00"/>
    <d v="2023-02-10T00:00:00"/>
    <x v="5"/>
    <s v="Electronics"/>
    <n v="3"/>
    <n v="53582"/>
    <n v="15"/>
    <x v="1"/>
    <s v="Neha"/>
    <x v="2"/>
    <s v="rahuljoshi@gmail.com"/>
    <s v="6981678038"/>
    <x v="2"/>
    <s v="Excellent"/>
    <n v="429"/>
    <s v="Delivered"/>
    <n v="136634.1"/>
    <n v="5"/>
    <x v="8"/>
    <x v="0"/>
  </r>
  <r>
    <x v="860"/>
    <x v="20"/>
    <n v="23"/>
    <s v="Male"/>
    <s v="Ludhiana"/>
    <s v="Punjab"/>
    <d v="2024-09-10T00:00:00"/>
    <d v="2024-09-15T00:00:00"/>
    <x v="3"/>
    <s v="Accessories"/>
    <n v="4"/>
    <n v="5374"/>
    <n v="10"/>
    <x v="3"/>
    <s v="Sneha"/>
    <x v="3"/>
    <s v="priyasingh@gmail.com"/>
    <s v="7387006077"/>
    <x v="2"/>
    <s v="Excellent"/>
    <n v="315"/>
    <s v="Returned"/>
    <n v="19346.400000000001"/>
    <n v="5"/>
    <x v="2"/>
    <x v="1"/>
  </r>
  <r>
    <x v="861"/>
    <x v="78"/>
    <n v="41"/>
    <s v="Female"/>
    <s v="Pune"/>
    <s v="Punjab"/>
    <d v="2023-06-12T00:00:00"/>
    <d v="2023-06-14T00:00:00"/>
    <x v="5"/>
    <s v="Electronics"/>
    <n v="2"/>
    <n v="60238"/>
    <n v="15"/>
    <x v="2"/>
    <s v="Priya"/>
    <x v="0"/>
    <s v="poojaagarwal@gmail.com"/>
    <s v="6273701925"/>
    <x v="3"/>
    <s v="Bad"/>
    <n v="405"/>
    <s v="Delivered"/>
    <n v="102404.59999999999"/>
    <n v="2"/>
    <x v="9"/>
    <x v="0"/>
  </r>
  <r>
    <x v="862"/>
    <x v="61"/>
    <n v="50"/>
    <s v="Male"/>
    <s v="Chandigarh"/>
    <s v="Delhi"/>
    <d v="2024-09-22T00:00:00"/>
    <d v="2024-09-24T00:00:00"/>
    <x v="2"/>
    <s v="Accessories"/>
    <n v="4"/>
    <n v="54974"/>
    <n v="10"/>
    <x v="3"/>
    <s v="Rohit"/>
    <x v="1"/>
    <s v="anjalikumar@gmail.com"/>
    <s v="9584360421"/>
    <x v="0"/>
    <s v="Average"/>
    <n v="263"/>
    <s v="Cancelled"/>
    <n v="197906.4"/>
    <n v="2"/>
    <x v="2"/>
    <x v="1"/>
  </r>
  <r>
    <x v="863"/>
    <x v="33"/>
    <n v="27"/>
    <s v="Female"/>
    <s v="Amritsar"/>
    <s v="Rajasthan"/>
    <d v="2023-08-10T00:00:00"/>
    <d v="2023-08-17T00:00:00"/>
    <x v="4"/>
    <s v="Accessories"/>
    <n v="1"/>
    <n v="28618"/>
    <n v="10"/>
    <x v="0"/>
    <s v="Neha"/>
    <x v="3"/>
    <s v="poojapatel@gmail.com"/>
    <s v="6520814564"/>
    <x v="0"/>
    <s v="Bad"/>
    <n v="209"/>
    <s v="Cancelled"/>
    <n v="25756.2"/>
    <n v="7"/>
    <x v="3"/>
    <x v="0"/>
  </r>
  <r>
    <x v="864"/>
    <x v="82"/>
    <n v="57"/>
    <s v="Female"/>
    <s v="Amritsar"/>
    <s v="Rajasthan"/>
    <d v="2024-06-15T00:00:00"/>
    <d v="2024-06-21T00:00:00"/>
    <x v="4"/>
    <s v="Accessories"/>
    <n v="2"/>
    <n v="12564"/>
    <n v="10"/>
    <x v="1"/>
    <s v="Priya"/>
    <x v="3"/>
    <s v="amitgupta@gmail.com"/>
    <s v="Missing"/>
    <x v="3"/>
    <s v="Excellent"/>
    <n v="88"/>
    <s v="Delivered"/>
    <n v="22615.200000000001"/>
    <n v="6"/>
    <x v="9"/>
    <x v="1"/>
  </r>
  <r>
    <x v="865"/>
    <x v="10"/>
    <n v="20"/>
    <s v="Female"/>
    <s v="Amritsar"/>
    <s v="Rajasthan"/>
    <d v="2023-12-12T00:00:00"/>
    <d v="2023-12-21T00:00:00"/>
    <x v="2"/>
    <s v="Accessories"/>
    <n v="3"/>
    <n v="35631"/>
    <n v="5"/>
    <x v="0"/>
    <s v="Amit"/>
    <x v="3"/>
    <s v="anjalimehta@gmail.com"/>
    <s v="7951217012"/>
    <x v="0"/>
    <s v="Average"/>
    <n v="395"/>
    <s v="Cancelled"/>
    <n v="101548.34999999999"/>
    <n v="9"/>
    <x v="11"/>
    <x v="0"/>
  </r>
  <r>
    <x v="866"/>
    <x v="77"/>
    <n v="38"/>
    <s v="Female"/>
    <s v="Ahmedabad"/>
    <s v="Rajasthan"/>
    <d v="2024-06-16T00:00:00"/>
    <d v="2024-06-23T00:00:00"/>
    <x v="5"/>
    <s v="Electronics"/>
    <n v="3"/>
    <n v="42109.716287215415"/>
    <n v="10"/>
    <x v="0"/>
    <s v="Vikas"/>
    <x v="0"/>
    <s v="rohitkumar@gmail.com"/>
    <s v="9756439001"/>
    <x v="2"/>
    <s v="Bad"/>
    <n v="464"/>
    <s v="Delivered"/>
    <n v="113696.23397548162"/>
    <n v="7"/>
    <x v="9"/>
    <x v="1"/>
  </r>
  <r>
    <x v="867"/>
    <x v="34"/>
    <n v="21"/>
    <s v="Male"/>
    <s v="Ahmedabad"/>
    <s v="Maharashtra"/>
    <d v="2024-01-17T00:00:00"/>
    <d v="2024-01-22T00:00:00"/>
    <x v="5"/>
    <s v="Electronics"/>
    <n v="5"/>
    <n v="41370"/>
    <n v="10"/>
    <x v="1"/>
    <s v="Neha"/>
    <x v="0"/>
    <s v="snehapatel@gmail.com"/>
    <s v="8525070491"/>
    <x v="4"/>
    <s v="Good"/>
    <n v="260"/>
    <s v="Delivered"/>
    <n v="186165"/>
    <n v="5"/>
    <x v="0"/>
    <x v="1"/>
  </r>
  <r>
    <x v="868"/>
    <x v="30"/>
    <n v="19"/>
    <s v="Male"/>
    <s v="Pune"/>
    <s v="Maharashtra"/>
    <d v="2024-11-04T00:00:00"/>
    <d v="2024-11-13T00:00:00"/>
    <x v="0"/>
    <s v="Electronics"/>
    <n v="1"/>
    <n v="73070"/>
    <n v="15"/>
    <x v="0"/>
    <s v="Rohit"/>
    <x v="1"/>
    <s v="Missing"/>
    <s v="6807760745"/>
    <x v="1"/>
    <s v="Average"/>
    <n v="321"/>
    <s v="Cancelled"/>
    <n v="62109.5"/>
    <n v="9"/>
    <x v="7"/>
    <x v="1"/>
  </r>
  <r>
    <x v="869"/>
    <x v="38"/>
    <n v="46"/>
    <s v="Female"/>
    <s v="Ludhiana"/>
    <s v="Punjab"/>
    <d v="2023-12-27T00:00:00"/>
    <d v="2024-01-02T00:00:00"/>
    <x v="3"/>
    <s v="Electronics"/>
    <n v="2"/>
    <n v="43268"/>
    <n v="0"/>
    <x v="0"/>
    <s v="Priya"/>
    <x v="1"/>
    <s v="karansharma@gmail.com"/>
    <s v="7241797924"/>
    <x v="4"/>
    <s v="Good"/>
    <n v="96"/>
    <s v="Returned"/>
    <n v="86536"/>
    <n v="6"/>
    <x v="11"/>
    <x v="0"/>
  </r>
  <r>
    <x v="870"/>
    <x v="82"/>
    <n v="34"/>
    <s v="Female"/>
    <s v="Chandigarh"/>
    <s v="Gujarat"/>
    <d v="2024-01-18T00:00:00"/>
    <d v="2024-01-28T00:00:00"/>
    <x v="4"/>
    <s v="Electronics"/>
    <n v="2.9447852760736195"/>
    <n v="33796"/>
    <n v="15"/>
    <x v="3"/>
    <s v="Rahul"/>
    <x v="1"/>
    <s v="amitgupta@gmail.com"/>
    <s v="6345737449"/>
    <x v="2"/>
    <s v="Excellent"/>
    <n v="147"/>
    <s v="Delivered"/>
    <n v="84593.668711656443"/>
    <n v="10"/>
    <x v="0"/>
    <x v="1"/>
  </r>
  <r>
    <x v="871"/>
    <x v="64"/>
    <n v="25"/>
    <s v="Male"/>
    <s v="Ahmedabad"/>
    <s v="Maharashtra"/>
    <d v="2024-11-18T00:00:00"/>
    <d v="2024-11-22T00:00:00"/>
    <x v="0"/>
    <s v="Electronics"/>
    <n v="1"/>
    <n v="71001"/>
    <n v="15"/>
    <x v="1"/>
    <s v="Karan"/>
    <x v="2"/>
    <s v="vikasverma@gmail.com"/>
    <s v="7265629835"/>
    <x v="1"/>
    <s v="Excellent"/>
    <n v="288"/>
    <s v="Delivered"/>
    <n v="60350.85"/>
    <n v="4"/>
    <x v="7"/>
    <x v="1"/>
  </r>
  <r>
    <x v="872"/>
    <x v="32"/>
    <n v="26"/>
    <s v="Male"/>
    <s v="Ahmedabad"/>
    <s v="Rajasthan"/>
    <d v="2023-05-19T00:00:00"/>
    <d v="2023-05-28T00:00:00"/>
    <x v="4"/>
    <s v="Accessories"/>
    <n v="2"/>
    <n v="13441"/>
    <n v="5"/>
    <x v="2"/>
    <s v="Amit"/>
    <x v="2"/>
    <s v="rahuljoshi@gmail.com"/>
    <s v="9556697412"/>
    <x v="0"/>
    <s v="Excellent"/>
    <n v="298"/>
    <s v="Delivered"/>
    <n v="25537.899999999998"/>
    <n v="9"/>
    <x v="6"/>
    <x v="0"/>
  </r>
  <r>
    <x v="873"/>
    <x v="43"/>
    <n v="44"/>
    <s v="Male"/>
    <s v="Mumbai"/>
    <s v="Maharashtra"/>
    <d v="2024-04-29T00:00:00"/>
    <d v="2024-04-30T00:00:00"/>
    <x v="0"/>
    <s v="Accessories"/>
    <n v="2"/>
    <n v="34977"/>
    <n v="0"/>
    <x v="3"/>
    <s v="Rohit"/>
    <x v="1"/>
    <s v="amitpatel@gmail.com"/>
    <s v="9683743103"/>
    <x v="1"/>
    <s v="Good"/>
    <n v="317"/>
    <s v="Returned"/>
    <n v="69954"/>
    <n v="1"/>
    <x v="1"/>
    <x v="1"/>
  </r>
  <r>
    <x v="874"/>
    <x v="98"/>
    <n v="48"/>
    <s v="Female"/>
    <s v="Ludhiana"/>
    <s v="Delhi"/>
    <d v="2024-08-15T00:00:00"/>
    <d v="2024-08-16T00:00:00"/>
    <x v="0"/>
    <s v="Accessories"/>
    <n v="5"/>
    <n v="14644"/>
    <n v="0"/>
    <x v="0"/>
    <s v="Neha"/>
    <x v="3"/>
    <s v="vikassingh@gmail.com"/>
    <s v="8236841321"/>
    <x v="3"/>
    <s v="Good"/>
    <n v="228"/>
    <s v="Cancelled"/>
    <n v="73220"/>
    <n v="1"/>
    <x v="3"/>
    <x v="1"/>
  </r>
  <r>
    <x v="875"/>
    <x v="71"/>
    <n v="39"/>
    <s v="Male"/>
    <s v="Ludhiana"/>
    <s v="Gujarat"/>
    <d v="2024-03-06T00:00:00"/>
    <d v="2024-03-10T00:00:00"/>
    <x v="2"/>
    <s v="Accessories"/>
    <n v="5"/>
    <n v="38058"/>
    <n v="0"/>
    <x v="2"/>
    <s v="Vikas"/>
    <x v="0"/>
    <s v="Missing"/>
    <s v="7095916073"/>
    <x v="0"/>
    <s v="Average"/>
    <n v="213"/>
    <s v="Delivered"/>
    <n v="190290"/>
    <n v="4"/>
    <x v="10"/>
    <x v="1"/>
  </r>
  <r>
    <x v="876"/>
    <x v="76"/>
    <n v="57"/>
    <s v="Male"/>
    <s v="Chandigarh"/>
    <s v="Punjab"/>
    <d v="2024-02-24T00:00:00"/>
    <d v="2024-03-05T00:00:00"/>
    <x v="0"/>
    <s v="Accessories"/>
    <n v="5"/>
    <n v="36343"/>
    <n v="15"/>
    <x v="2"/>
    <s v="Sneha"/>
    <x v="3"/>
    <s v="rahulverma@gmail.com"/>
    <s v="7590068416"/>
    <x v="3"/>
    <s v="Good"/>
    <n v="453"/>
    <s v="Delivered"/>
    <n v="154457.75"/>
    <n v="10"/>
    <x v="8"/>
    <x v="1"/>
  </r>
  <r>
    <x v="877"/>
    <x v="41"/>
    <n v="19"/>
    <s v="Female"/>
    <s v="Delhi"/>
    <s v="Punjab"/>
    <d v="2023-08-28T00:00:00"/>
    <d v="2023-08-31T00:00:00"/>
    <x v="4"/>
    <s v="Electronics"/>
    <n v="4"/>
    <n v="59000"/>
    <n v="10"/>
    <x v="2"/>
    <s v="Sneha"/>
    <x v="2"/>
    <s v="priyakumar@gmail.com"/>
    <s v="7467178121"/>
    <x v="2"/>
    <s v="Average"/>
    <n v="60"/>
    <s v="Returned"/>
    <n v="212400"/>
    <n v="3"/>
    <x v="3"/>
    <x v="0"/>
  </r>
  <r>
    <x v="878"/>
    <x v="84"/>
    <n v="42"/>
    <s v="Male"/>
    <s v="Delhi"/>
    <s v="Rajasthan"/>
    <d v="2023-10-31T00:00:00"/>
    <d v="2023-11-02T00:00:00"/>
    <x v="5"/>
    <s v="Accessories"/>
    <n v="3"/>
    <n v="69110"/>
    <n v="5"/>
    <x v="2"/>
    <s v="Karan"/>
    <x v="3"/>
    <s v="priyapatel@gmail.com"/>
    <s v="6338754216"/>
    <x v="3"/>
    <s v="Good"/>
    <n v="445"/>
    <s v="Returned"/>
    <n v="196963.5"/>
    <n v="2"/>
    <x v="5"/>
    <x v="0"/>
  </r>
  <r>
    <x v="879"/>
    <x v="11"/>
    <n v="54"/>
    <s v="Male"/>
    <s v="Amritsar"/>
    <s v="Rajasthan"/>
    <d v="2024-01-11T00:00:00"/>
    <d v="2024-01-18T00:00:00"/>
    <x v="3"/>
    <s v="Electronics"/>
    <n v="2.9447852760736195"/>
    <n v="45252"/>
    <n v="10"/>
    <x v="0"/>
    <s v="Rahul"/>
    <x v="2"/>
    <s v="anjaliagarwal@gmail.com"/>
    <s v="7106766475"/>
    <x v="4"/>
    <s v="Excellent"/>
    <n v="202"/>
    <s v="Returned"/>
    <n v="119931.68098159508"/>
    <n v="7"/>
    <x v="0"/>
    <x v="1"/>
  </r>
  <r>
    <x v="880"/>
    <x v="5"/>
    <n v="57"/>
    <s v="Female"/>
    <s v="Amritsar"/>
    <s v="Gujarat"/>
    <d v="2023-01-12T00:00:00"/>
    <d v="2023-01-21T00:00:00"/>
    <x v="5"/>
    <s v="Electronics"/>
    <n v="2"/>
    <n v="69590"/>
    <n v="0"/>
    <x v="2"/>
    <s v="Vikas"/>
    <x v="2"/>
    <s v="karanverma@gmail.com"/>
    <s v="Missing"/>
    <x v="0"/>
    <s v="Good"/>
    <n v="402"/>
    <s v="Cancelled"/>
    <n v="139180"/>
    <n v="9"/>
    <x v="0"/>
    <x v="0"/>
  </r>
  <r>
    <x v="881"/>
    <x v="34"/>
    <n v="37"/>
    <s v="Male"/>
    <s v="Ludhiana"/>
    <s v="Delhi"/>
    <d v="2024-09-15T00:00:00"/>
    <d v="2024-09-17T00:00:00"/>
    <x v="2"/>
    <s v="Accessories"/>
    <n v="1"/>
    <n v="52665"/>
    <n v="0"/>
    <x v="2"/>
    <s v="Neha"/>
    <x v="3"/>
    <s v="snehapatel@gmail.com"/>
    <s v="9788856518"/>
    <x v="3"/>
    <s v="Excellent"/>
    <n v="473"/>
    <s v="Cancelled"/>
    <n v="52665"/>
    <n v="2"/>
    <x v="2"/>
    <x v="1"/>
  </r>
  <r>
    <x v="882"/>
    <x v="81"/>
    <n v="48"/>
    <s v="Male"/>
    <s v="Mumbai"/>
    <s v="Punjab"/>
    <d v="2023-07-03T00:00:00"/>
    <d v="2023-07-07T00:00:00"/>
    <x v="0"/>
    <s v="Electronics"/>
    <n v="3"/>
    <n v="33739"/>
    <n v="15"/>
    <x v="2"/>
    <s v="Priya"/>
    <x v="0"/>
    <s v="poojajoshi@gmail.com"/>
    <s v="6766632737"/>
    <x v="1"/>
    <s v="Good"/>
    <n v="463"/>
    <s v="Cancelled"/>
    <n v="86034.45"/>
    <n v="4"/>
    <x v="4"/>
    <x v="0"/>
  </r>
  <r>
    <x v="883"/>
    <x v="55"/>
    <n v="33"/>
    <s v="Female"/>
    <s v="Amritsar"/>
    <s v="Maharashtra"/>
    <d v="2023-05-26T00:00:00"/>
    <d v="2023-06-03T00:00:00"/>
    <x v="5"/>
    <s v="Electronics"/>
    <n v="1"/>
    <n v="65301"/>
    <n v="15"/>
    <x v="1"/>
    <s v="Pooja"/>
    <x v="1"/>
    <s v="amitverma@gmail.com"/>
    <s v="Missing"/>
    <x v="1"/>
    <s v="Bad"/>
    <n v="112"/>
    <s v="Delivered"/>
    <n v="55505.85"/>
    <n v="8"/>
    <x v="6"/>
    <x v="0"/>
  </r>
  <r>
    <x v="884"/>
    <x v="93"/>
    <n v="40"/>
    <s v="Male"/>
    <s v="Delhi"/>
    <s v="Punjab"/>
    <d v="2023-08-27T00:00:00"/>
    <d v="2023-08-31T00:00:00"/>
    <x v="4"/>
    <s v="Electronics"/>
    <n v="3"/>
    <n v="67260"/>
    <n v="5"/>
    <x v="1"/>
    <s v="Karan"/>
    <x v="2"/>
    <s v="karangupta@gmail.com"/>
    <s v="8715402189"/>
    <x v="0"/>
    <s v="Excellent"/>
    <n v="71"/>
    <s v="Cancelled"/>
    <n v="191691"/>
    <n v="4"/>
    <x v="3"/>
    <x v="0"/>
  </r>
  <r>
    <x v="885"/>
    <x v="59"/>
    <n v="40"/>
    <s v="Female"/>
    <s v="Pune"/>
    <s v="Punjab"/>
    <d v="2023-05-04T00:00:00"/>
    <d v="2023-05-12T00:00:00"/>
    <x v="4"/>
    <s v="Electronics"/>
    <n v="5"/>
    <n v="28086"/>
    <n v="0"/>
    <x v="1"/>
    <s v="Anjali"/>
    <x v="0"/>
    <s v="amitjoshi@gmail.com"/>
    <s v="Missing"/>
    <x v="4"/>
    <s v="Good"/>
    <n v="216"/>
    <s v="Returned"/>
    <n v="140430"/>
    <n v="8"/>
    <x v="6"/>
    <x v="0"/>
  </r>
  <r>
    <x v="886"/>
    <x v="6"/>
    <n v="52"/>
    <s v="Female"/>
    <s v="Chandigarh"/>
    <s v="Gujarat"/>
    <d v="2024-09-24T00:00:00"/>
    <d v="2024-09-25T00:00:00"/>
    <x v="0"/>
    <s v="Electronics"/>
    <n v="1"/>
    <n v="55737"/>
    <n v="0"/>
    <x v="2"/>
    <s v="Rahul"/>
    <x v="1"/>
    <s v="Missing"/>
    <s v="7251100371"/>
    <x v="0"/>
    <s v="Good"/>
    <n v="205"/>
    <s v="Returned"/>
    <n v="55737"/>
    <n v="1"/>
    <x v="2"/>
    <x v="1"/>
  </r>
  <r>
    <x v="887"/>
    <x v="16"/>
    <n v="20"/>
    <s v="Female"/>
    <s v="Mumbai"/>
    <s v="Gujarat"/>
    <d v="2024-06-24T00:00:00"/>
    <d v="2024-06-28T00:00:00"/>
    <x v="5"/>
    <s v="Accessories"/>
    <n v="4"/>
    <n v="56896"/>
    <n v="0"/>
    <x v="3"/>
    <s v="Rohit"/>
    <x v="2"/>
    <s v="anjaliverma@gmail.com"/>
    <s v="6538944865"/>
    <x v="2"/>
    <s v="Average"/>
    <n v="55"/>
    <s v="Cancelled"/>
    <n v="227584"/>
    <n v="4"/>
    <x v="9"/>
    <x v="1"/>
  </r>
  <r>
    <x v="888"/>
    <x v="93"/>
    <n v="48"/>
    <s v="Female"/>
    <s v="Mumbai"/>
    <s v="Maharashtra"/>
    <d v="2023-04-18T00:00:00"/>
    <d v="2023-04-28T00:00:00"/>
    <x v="2"/>
    <s v="Electronics"/>
    <n v="1"/>
    <n v="58686"/>
    <n v="5"/>
    <x v="1"/>
    <s v="Rahul"/>
    <x v="1"/>
    <s v="Missing"/>
    <s v="9228613966"/>
    <x v="4"/>
    <s v="Good"/>
    <n v="330"/>
    <s v="Cancelled"/>
    <n v="55751.7"/>
    <n v="10"/>
    <x v="1"/>
    <x v="0"/>
  </r>
  <r>
    <x v="889"/>
    <x v="94"/>
    <n v="46"/>
    <s v="Male"/>
    <s v="Ludhiana"/>
    <s v="Delhi"/>
    <d v="2023-11-02T00:00:00"/>
    <d v="2023-11-03T00:00:00"/>
    <x v="2"/>
    <s v="Electronics"/>
    <n v="1"/>
    <n v="42109.716287215415"/>
    <n v="10"/>
    <x v="1"/>
    <s v="Sneha"/>
    <x v="3"/>
    <s v="snehajoshi@gmail.com"/>
    <s v="9175500669"/>
    <x v="3"/>
    <s v="Good"/>
    <n v="199"/>
    <s v="Returned"/>
    <n v="37898.744658493873"/>
    <n v="1"/>
    <x v="7"/>
    <x v="0"/>
  </r>
  <r>
    <x v="890"/>
    <x v="73"/>
    <n v="34"/>
    <s v="Male"/>
    <s v="Amritsar"/>
    <s v="Punjab"/>
    <d v="2023-07-28T00:00:00"/>
    <d v="2023-08-07T00:00:00"/>
    <x v="4"/>
    <s v="Electronics"/>
    <n v="1"/>
    <n v="77611"/>
    <n v="10"/>
    <x v="1"/>
    <s v="Anjali"/>
    <x v="0"/>
    <s v="priyaagarwal@gmail.com"/>
    <s v="7688794563"/>
    <x v="1"/>
    <s v="Average"/>
    <n v="345"/>
    <s v="Delivered"/>
    <n v="69849.900000000009"/>
    <n v="10"/>
    <x v="4"/>
    <x v="0"/>
  </r>
  <r>
    <x v="891"/>
    <x v="97"/>
    <n v="28"/>
    <s v="Male"/>
    <s v="Mumbai"/>
    <s v="Rajasthan"/>
    <d v="2023-12-25T00:00:00"/>
    <d v="2024-01-02T00:00:00"/>
    <x v="4"/>
    <s v="Accessories"/>
    <n v="1"/>
    <n v="62670"/>
    <n v="5"/>
    <x v="3"/>
    <s v="Anjali"/>
    <x v="2"/>
    <s v="vikasjoshi@gmail.com"/>
    <s v="9923422961"/>
    <x v="2"/>
    <s v="Excellent"/>
    <n v="460"/>
    <s v="Delivered"/>
    <n v="59536.5"/>
    <n v="8"/>
    <x v="11"/>
    <x v="0"/>
  </r>
  <r>
    <x v="892"/>
    <x v="47"/>
    <n v="26"/>
    <s v="Female"/>
    <s v="Delhi"/>
    <s v="Rajasthan"/>
    <d v="2024-02-17T00:00:00"/>
    <d v="2024-02-24T00:00:00"/>
    <x v="4"/>
    <s v="Accessories"/>
    <n v="2.9447852760736195"/>
    <n v="58794"/>
    <n v="10"/>
    <x v="0"/>
    <s v="Karan"/>
    <x v="1"/>
    <s v="nehaagarwal@gmail.com"/>
    <s v="8367903089"/>
    <x v="4"/>
    <s v="Excellent"/>
    <n v="387"/>
    <s v="Cancelled"/>
    <n v="155822.13496932515"/>
    <n v="7"/>
    <x v="8"/>
    <x v="1"/>
  </r>
  <r>
    <x v="893"/>
    <x v="69"/>
    <n v="21"/>
    <s v="Male"/>
    <s v="Pune"/>
    <s v="Punjab"/>
    <d v="2024-07-08T00:00:00"/>
    <d v="2024-07-10T00:00:00"/>
    <x v="4"/>
    <s v="Electronics"/>
    <n v="1"/>
    <n v="16129"/>
    <n v="5"/>
    <x v="3"/>
    <s v="Priya"/>
    <x v="1"/>
    <s v="Missing"/>
    <s v="6847284952"/>
    <x v="3"/>
    <s v="Average"/>
    <n v="251"/>
    <s v="Delivered"/>
    <n v="15322.55"/>
    <n v="2"/>
    <x v="4"/>
    <x v="1"/>
  </r>
  <r>
    <x v="894"/>
    <x v="5"/>
    <n v="31"/>
    <s v="Female"/>
    <s v="Ahmedabad"/>
    <s v="Maharashtra"/>
    <d v="2023-09-06T00:00:00"/>
    <d v="2023-09-12T00:00:00"/>
    <x v="4"/>
    <s v="Electronics"/>
    <n v="4"/>
    <n v="61040"/>
    <n v="15"/>
    <x v="3"/>
    <s v="Sneha"/>
    <x v="2"/>
    <s v="karanverma@gmail.com"/>
    <s v="7460905668"/>
    <x v="4"/>
    <s v="Excellent"/>
    <n v="279"/>
    <s v="Cancelled"/>
    <n v="207536"/>
    <n v="6"/>
    <x v="2"/>
    <x v="0"/>
  </r>
  <r>
    <x v="895"/>
    <x v="76"/>
    <n v="60"/>
    <s v="Male"/>
    <s v="Ludhiana"/>
    <s v="Gujarat"/>
    <d v="2024-09-17T00:00:00"/>
    <d v="2024-09-19T00:00:00"/>
    <x v="5"/>
    <s v="Accessories"/>
    <n v="3"/>
    <n v="9029"/>
    <n v="15"/>
    <x v="0"/>
    <s v="Rahul"/>
    <x v="2"/>
    <s v="rahulverma@gmail.com"/>
    <s v="7588717483"/>
    <x v="4"/>
    <s v="Bad"/>
    <n v="221"/>
    <s v="Returned"/>
    <n v="23023.95"/>
    <n v="2"/>
    <x v="2"/>
    <x v="1"/>
  </r>
  <r>
    <x v="896"/>
    <x v="46"/>
    <n v="49"/>
    <s v="Female"/>
    <s v="Amritsar"/>
    <s v="Gujarat"/>
    <d v="2024-04-20T00:00:00"/>
    <d v="2024-04-25T00:00:00"/>
    <x v="4"/>
    <s v="Accessories"/>
    <n v="3"/>
    <n v="43393"/>
    <n v="10"/>
    <x v="2"/>
    <s v="Amit"/>
    <x v="1"/>
    <s v="rohityadav@gmail.com"/>
    <s v="7112648306"/>
    <x v="4"/>
    <s v="Bad"/>
    <n v="418"/>
    <s v="Returned"/>
    <n v="117161.1"/>
    <n v="5"/>
    <x v="1"/>
    <x v="1"/>
  </r>
  <r>
    <x v="897"/>
    <x v="40"/>
    <n v="25"/>
    <s v="Female"/>
    <s v="Mumbai"/>
    <s v="Delhi"/>
    <d v="2024-03-08T00:00:00"/>
    <d v="2024-03-18T00:00:00"/>
    <x v="0"/>
    <s v="Electronics"/>
    <n v="1"/>
    <n v="13329"/>
    <n v="15"/>
    <x v="0"/>
    <s v="Pooja"/>
    <x v="2"/>
    <s v="amitagarwal@gmail.com"/>
    <s v="9761400970"/>
    <x v="2"/>
    <s v="Good"/>
    <n v="162"/>
    <s v="Returned"/>
    <n v="11329.65"/>
    <n v="10"/>
    <x v="10"/>
    <x v="1"/>
  </r>
  <r>
    <x v="898"/>
    <x v="57"/>
    <n v="41"/>
    <s v="Female"/>
    <s v="Pune"/>
    <s v="Punjab"/>
    <d v="2024-06-02T00:00:00"/>
    <d v="2024-06-08T00:00:00"/>
    <x v="0"/>
    <s v="Electronics"/>
    <n v="2"/>
    <n v="42109.716287215415"/>
    <n v="15"/>
    <x v="2"/>
    <s v="Karan"/>
    <x v="1"/>
    <s v="nehajoshi@gmail.com"/>
    <s v="7337189174"/>
    <x v="4"/>
    <s v="Excellent"/>
    <n v="317"/>
    <s v="Returned"/>
    <n v="71586.517688266205"/>
    <n v="6"/>
    <x v="9"/>
    <x v="1"/>
  </r>
  <r>
    <x v="899"/>
    <x v="93"/>
    <n v="24"/>
    <s v="Male"/>
    <s v="Chandigarh"/>
    <s v="Rajasthan"/>
    <d v="2024-02-27T00:00:00"/>
    <d v="2024-02-28T00:00:00"/>
    <x v="0"/>
    <s v="Accessories"/>
    <n v="2"/>
    <n v="49064"/>
    <n v="5"/>
    <x v="1"/>
    <s v="Neha"/>
    <x v="1"/>
    <s v="karangupta@gmail.com"/>
    <s v="9074235572"/>
    <x v="1"/>
    <s v="Good"/>
    <n v="377"/>
    <s v="Cancelled"/>
    <n v="93221.599999999991"/>
    <n v="1"/>
    <x v="8"/>
    <x v="1"/>
  </r>
  <r>
    <x v="900"/>
    <x v="99"/>
    <n v="40"/>
    <s v="Female"/>
    <s v="Mumbai"/>
    <s v="Gujarat"/>
    <d v="2024-05-20T00:00:00"/>
    <d v="2024-05-25T00:00:00"/>
    <x v="4"/>
    <s v="Accessories"/>
    <n v="4"/>
    <n v="47320"/>
    <n v="5"/>
    <x v="1"/>
    <s v="Anjali"/>
    <x v="1"/>
    <s v="snehaverma@gmail.com"/>
    <s v="7301933265"/>
    <x v="1"/>
    <s v="Bad"/>
    <n v="354"/>
    <s v="Delivered"/>
    <n v="179816"/>
    <n v="5"/>
    <x v="6"/>
    <x v="1"/>
  </r>
  <r>
    <x v="901"/>
    <x v="65"/>
    <n v="25"/>
    <s v="Female"/>
    <s v="Mumbai"/>
    <s v="Punjab"/>
    <d v="2024-06-30T00:00:00"/>
    <d v="2024-07-09T00:00:00"/>
    <x v="4"/>
    <s v="Electronics"/>
    <n v="5"/>
    <n v="43620"/>
    <n v="10"/>
    <x v="1"/>
    <s v="Pooja"/>
    <x v="3"/>
    <s v="nehaverma@gmail.com"/>
    <s v="8481922148"/>
    <x v="0"/>
    <s v="Average"/>
    <n v="384"/>
    <s v="Delivered"/>
    <n v="196290"/>
    <n v="9"/>
    <x v="9"/>
    <x v="1"/>
  </r>
  <r>
    <x v="902"/>
    <x v="79"/>
    <n v="46"/>
    <s v="Male"/>
    <s v="Jaipur"/>
    <s v="Gujarat"/>
    <d v="2024-07-12T00:00:00"/>
    <d v="2024-07-15T00:00:00"/>
    <x v="3"/>
    <s v="Accessories"/>
    <n v="2.9447852760736195"/>
    <n v="29449"/>
    <n v="0"/>
    <x v="3"/>
    <s v="Priya"/>
    <x v="3"/>
    <s v="rahulpatel@gmail.com"/>
    <s v="6623178776"/>
    <x v="3"/>
    <s v="Average"/>
    <n v="255"/>
    <s v="Cancelled"/>
    <n v="86720.981595092017"/>
    <n v="3"/>
    <x v="4"/>
    <x v="1"/>
  </r>
  <r>
    <x v="903"/>
    <x v="57"/>
    <n v="25"/>
    <s v="Female"/>
    <s v="Pune"/>
    <s v="Gujarat"/>
    <d v="2024-03-01T00:00:00"/>
    <d v="2024-03-06T00:00:00"/>
    <x v="5"/>
    <s v="Accessories"/>
    <n v="1"/>
    <n v="11068"/>
    <n v="5"/>
    <x v="0"/>
    <s v="Priya"/>
    <x v="2"/>
    <s v="Missing"/>
    <s v="Missing"/>
    <x v="0"/>
    <s v="Good"/>
    <n v="231"/>
    <s v="Cancelled"/>
    <n v="10514.6"/>
    <n v="5"/>
    <x v="10"/>
    <x v="1"/>
  </r>
  <r>
    <x v="904"/>
    <x v="24"/>
    <n v="30"/>
    <s v="Male"/>
    <s v="Pune"/>
    <s v="Rajasthan"/>
    <d v="2023-08-12T00:00:00"/>
    <d v="2023-08-14T00:00:00"/>
    <x v="5"/>
    <s v="Accessories"/>
    <n v="2"/>
    <n v="66957"/>
    <n v="10"/>
    <x v="3"/>
    <s v="Priya"/>
    <x v="1"/>
    <s v="amitmehta@gmail.com"/>
    <s v="7160059569"/>
    <x v="1"/>
    <s v="Average"/>
    <n v="367"/>
    <s v="Returned"/>
    <n v="120522.6"/>
    <n v="2"/>
    <x v="3"/>
    <x v="0"/>
  </r>
  <r>
    <x v="905"/>
    <x v="44"/>
    <n v="60"/>
    <s v="Female"/>
    <s v="Pune"/>
    <s v="Gujarat"/>
    <d v="2024-11-26T00:00:00"/>
    <d v="2024-11-27T00:00:00"/>
    <x v="5"/>
    <s v="Electronics"/>
    <n v="1"/>
    <n v="23424"/>
    <n v="10"/>
    <x v="0"/>
    <s v="Neha"/>
    <x v="0"/>
    <s v="Missing"/>
    <s v="8971004702"/>
    <x v="0"/>
    <s v="Excellent"/>
    <n v="152"/>
    <s v="Cancelled"/>
    <n v="21081.600000000002"/>
    <n v="1"/>
    <x v="7"/>
    <x v="1"/>
  </r>
  <r>
    <x v="906"/>
    <x v="63"/>
    <n v="53"/>
    <s v="Female"/>
    <s v="Chandigarh"/>
    <s v="Punjab"/>
    <d v="2023-09-24T00:00:00"/>
    <d v="2023-09-30T00:00:00"/>
    <x v="2"/>
    <s v="Accessories"/>
    <n v="5"/>
    <n v="73915"/>
    <n v="5"/>
    <x v="2"/>
    <s v="Rohit"/>
    <x v="3"/>
    <s v="priyagupta@gmail.com"/>
    <s v="7761539625"/>
    <x v="2"/>
    <s v="Good"/>
    <n v="443"/>
    <s v="Returned"/>
    <n v="351096.25"/>
    <n v="6"/>
    <x v="2"/>
    <x v="0"/>
  </r>
  <r>
    <x v="907"/>
    <x v="44"/>
    <n v="28"/>
    <s v="Male"/>
    <s v="Amritsar"/>
    <s v="Rajasthan"/>
    <d v="2024-11-26T00:00:00"/>
    <d v="2024-11-28T00:00:00"/>
    <x v="5"/>
    <s v="Electronics"/>
    <n v="3"/>
    <n v="42109.716287215415"/>
    <n v="10"/>
    <x v="3"/>
    <s v="Karan"/>
    <x v="2"/>
    <s v="karanmehta@gmail.com"/>
    <s v="7932629637"/>
    <x v="3"/>
    <s v="Good"/>
    <n v="95"/>
    <s v="Cancelled"/>
    <n v="113696.23397548162"/>
    <n v="2"/>
    <x v="7"/>
    <x v="1"/>
  </r>
  <r>
    <x v="908"/>
    <x v="87"/>
    <n v="21"/>
    <s v="Female"/>
    <s v="Jaipur"/>
    <s v="Delhi"/>
    <d v="2023-11-01T00:00:00"/>
    <d v="2023-11-07T00:00:00"/>
    <x v="2"/>
    <s v="Accessories"/>
    <n v="5"/>
    <n v="18680"/>
    <n v="0"/>
    <x v="1"/>
    <s v="Vikas"/>
    <x v="3"/>
    <s v="snehamehta@gmail.com"/>
    <s v="8459348210"/>
    <x v="3"/>
    <s v="Average"/>
    <n v="319"/>
    <s v="Delivered"/>
    <n v="93400"/>
    <n v="6"/>
    <x v="7"/>
    <x v="0"/>
  </r>
  <r>
    <x v="909"/>
    <x v="83"/>
    <n v="39"/>
    <s v="Female"/>
    <s v="Mumbai"/>
    <s v="Delhi"/>
    <d v="2024-04-17T00:00:00"/>
    <d v="2024-04-21T00:00:00"/>
    <x v="0"/>
    <s v="Accessories"/>
    <n v="2"/>
    <n v="45059"/>
    <n v="0"/>
    <x v="2"/>
    <s v="Vikas"/>
    <x v="1"/>
    <s v="snehayadav@gmail.com"/>
    <s v="8196641917"/>
    <x v="3"/>
    <s v="Bad"/>
    <n v="333"/>
    <s v="Cancelled"/>
    <n v="90118"/>
    <n v="4"/>
    <x v="1"/>
    <x v="1"/>
  </r>
  <r>
    <x v="910"/>
    <x v="57"/>
    <n v="38"/>
    <s v="Female"/>
    <s v="Delhi"/>
    <s v="Punjab"/>
    <d v="2023-09-01T00:00:00"/>
    <d v="2023-09-04T00:00:00"/>
    <x v="4"/>
    <s v="Accessories"/>
    <n v="5"/>
    <n v="77981"/>
    <n v="15"/>
    <x v="0"/>
    <s v="Vikas"/>
    <x v="2"/>
    <s v="nehajoshi@gmail.com"/>
    <s v="7365082671"/>
    <x v="4"/>
    <s v="Excellent"/>
    <n v="498"/>
    <s v="Delivered"/>
    <n v="331419.25"/>
    <n v="3"/>
    <x v="2"/>
    <x v="0"/>
  </r>
  <r>
    <x v="911"/>
    <x v="74"/>
    <n v="19"/>
    <s v="Female"/>
    <s v="Delhi"/>
    <s v="Punjab"/>
    <d v="2024-09-16T00:00:00"/>
    <d v="2024-09-22T00:00:00"/>
    <x v="2"/>
    <s v="Accessories"/>
    <n v="2"/>
    <n v="18217"/>
    <n v="0"/>
    <x v="1"/>
    <s v="Priya"/>
    <x v="3"/>
    <s v="poojaverma@gmail.com"/>
    <s v="9322583376"/>
    <x v="3"/>
    <s v="Good"/>
    <n v="438"/>
    <s v="Returned"/>
    <n v="36434"/>
    <n v="6"/>
    <x v="2"/>
    <x v="1"/>
  </r>
  <r>
    <x v="912"/>
    <x v="51"/>
    <n v="48"/>
    <s v="Female"/>
    <s v="Ahmedabad"/>
    <s v="Maharashtra"/>
    <d v="2023-09-23T00:00:00"/>
    <d v="2023-10-03T00:00:00"/>
    <x v="4"/>
    <s v="Electronics"/>
    <n v="4"/>
    <n v="66623"/>
    <n v="5"/>
    <x v="0"/>
    <s v="Vikas"/>
    <x v="3"/>
    <s v="priyaverma@gmail.com"/>
    <s v="7980628315"/>
    <x v="2"/>
    <s v="Excellent"/>
    <n v="317"/>
    <s v="Delivered"/>
    <n v="253167.4"/>
    <n v="10"/>
    <x v="2"/>
    <x v="0"/>
  </r>
  <r>
    <x v="913"/>
    <x v="30"/>
    <n v="37"/>
    <s v="Male"/>
    <s v="Jaipur"/>
    <s v="Delhi"/>
    <d v="2024-03-28T00:00:00"/>
    <d v="2024-04-03T00:00:00"/>
    <x v="2"/>
    <s v="Accessories"/>
    <n v="2.9447852760736195"/>
    <n v="28557"/>
    <n v="15"/>
    <x v="1"/>
    <s v="Amit"/>
    <x v="3"/>
    <s v="amitsingh@gmail.com"/>
    <s v="8803495473"/>
    <x v="2"/>
    <s v="Average"/>
    <n v="314"/>
    <s v="Returned"/>
    <n v="71480.098159509202"/>
    <n v="6"/>
    <x v="10"/>
    <x v="1"/>
  </r>
  <r>
    <x v="914"/>
    <x v="98"/>
    <n v="32"/>
    <s v="Male"/>
    <s v="Delhi"/>
    <s v="Rajasthan"/>
    <d v="2024-04-13T00:00:00"/>
    <d v="2024-04-20T00:00:00"/>
    <x v="4"/>
    <s v="Accessories"/>
    <n v="3"/>
    <n v="39778"/>
    <n v="10"/>
    <x v="3"/>
    <s v="Rohit"/>
    <x v="0"/>
    <s v="vikassingh@gmail.com"/>
    <s v="7140578169"/>
    <x v="3"/>
    <s v="Bad"/>
    <n v="375"/>
    <s v="Returned"/>
    <n v="107400.6"/>
    <n v="7"/>
    <x v="1"/>
    <x v="1"/>
  </r>
  <r>
    <x v="915"/>
    <x v="6"/>
    <n v="53"/>
    <s v="Female"/>
    <s v="Jaipur"/>
    <s v="Delhi"/>
    <d v="2024-02-06T00:00:00"/>
    <d v="2024-02-14T00:00:00"/>
    <x v="0"/>
    <s v="Accessories"/>
    <n v="2"/>
    <n v="42109.716287215415"/>
    <n v="10"/>
    <x v="0"/>
    <s v="Rohit"/>
    <x v="3"/>
    <s v="poojayadav@gmail.com"/>
    <s v="9582934460"/>
    <x v="4"/>
    <s v="Average"/>
    <n v="247"/>
    <s v="Cancelled"/>
    <n v="75797.489316987747"/>
    <n v="8"/>
    <x v="8"/>
    <x v="1"/>
  </r>
  <r>
    <x v="916"/>
    <x v="4"/>
    <n v="34"/>
    <s v="Male"/>
    <s v="Ludhiana"/>
    <s v="Gujarat"/>
    <d v="2024-04-02T00:00:00"/>
    <d v="2024-04-04T00:00:00"/>
    <x v="2"/>
    <s v="Accessories"/>
    <n v="3"/>
    <n v="28650"/>
    <n v="0"/>
    <x v="3"/>
    <s v="Pooja"/>
    <x v="3"/>
    <s v="rahulyadav@gmail.com"/>
    <s v="9131140379"/>
    <x v="2"/>
    <s v="Average"/>
    <n v="405"/>
    <s v="Returned"/>
    <n v="85950"/>
    <n v="2"/>
    <x v="1"/>
    <x v="1"/>
  </r>
  <r>
    <x v="917"/>
    <x v="23"/>
    <n v="56"/>
    <s v="Male"/>
    <s v="Pune"/>
    <s v="Punjab"/>
    <d v="2024-09-06T00:00:00"/>
    <d v="2024-09-13T00:00:00"/>
    <x v="1"/>
    <s v="Electronics"/>
    <n v="5"/>
    <n v="60197"/>
    <n v="15"/>
    <x v="1"/>
    <s v="Neha"/>
    <x v="1"/>
    <s v="karanagarwal@gmail.com"/>
    <s v="7625658350"/>
    <x v="1"/>
    <s v="Excellent"/>
    <n v="169"/>
    <s v="Delivered"/>
    <n v="255837.25"/>
    <n v="7"/>
    <x v="2"/>
    <x v="1"/>
  </r>
  <r>
    <x v="918"/>
    <x v="30"/>
    <n v="54"/>
    <s v="Female"/>
    <s v="Ludhiana"/>
    <s v="Punjab"/>
    <d v="2023-09-18T00:00:00"/>
    <d v="2023-09-22T00:00:00"/>
    <x v="4"/>
    <s v="Accessories"/>
    <n v="2"/>
    <n v="10656"/>
    <n v="15"/>
    <x v="2"/>
    <s v="Neha"/>
    <x v="1"/>
    <s v="amitsingh@gmail.com"/>
    <s v="6681519106"/>
    <x v="4"/>
    <s v="Average"/>
    <n v="179"/>
    <s v="Returned"/>
    <n v="18115.2"/>
    <n v="4"/>
    <x v="2"/>
    <x v="0"/>
  </r>
  <r>
    <x v="919"/>
    <x v="44"/>
    <n v="21"/>
    <s v="Female"/>
    <s v="Mumbai"/>
    <s v="Punjab"/>
    <d v="2023-07-22T00:00:00"/>
    <d v="2023-07-25T00:00:00"/>
    <x v="3"/>
    <s v="Accessories"/>
    <n v="1"/>
    <n v="42109.716287215415"/>
    <n v="10"/>
    <x v="1"/>
    <s v="Sneha"/>
    <x v="2"/>
    <s v="karanmehta@gmail.com"/>
    <s v="6992145122"/>
    <x v="0"/>
    <s v="Excellent"/>
    <n v="166"/>
    <s v="Returned"/>
    <n v="37898.744658493873"/>
    <n v="3"/>
    <x v="4"/>
    <x v="0"/>
  </r>
  <r>
    <x v="920"/>
    <x v="89"/>
    <n v="35"/>
    <s v="Male"/>
    <s v="Pune"/>
    <s v="Rajasthan"/>
    <d v="2024-01-08T00:00:00"/>
    <d v="2024-01-14T00:00:00"/>
    <x v="0"/>
    <s v="Accessories"/>
    <n v="3"/>
    <n v="52447"/>
    <n v="5"/>
    <x v="2"/>
    <s v="Rohit"/>
    <x v="3"/>
    <s v="rohitagarwal@gmail.com"/>
    <s v="7241050822"/>
    <x v="2"/>
    <s v="Good"/>
    <n v="394"/>
    <s v="Delivered"/>
    <n v="149473.94999999998"/>
    <n v="6"/>
    <x v="0"/>
    <x v="1"/>
  </r>
  <r>
    <x v="921"/>
    <x v="55"/>
    <n v="48"/>
    <s v="Male"/>
    <s v="Delhi"/>
    <s v="Gujarat"/>
    <d v="2023-08-02T00:00:00"/>
    <d v="2023-08-11T00:00:00"/>
    <x v="5"/>
    <s v="Accessories"/>
    <n v="3"/>
    <n v="72987"/>
    <n v="0"/>
    <x v="3"/>
    <s v="Amit"/>
    <x v="1"/>
    <s v="amitverma@gmail.com"/>
    <s v="9556254034"/>
    <x v="2"/>
    <s v="Good"/>
    <n v="449"/>
    <s v="Returned"/>
    <n v="218961"/>
    <n v="9"/>
    <x v="3"/>
    <x v="0"/>
  </r>
  <r>
    <x v="922"/>
    <x v="47"/>
    <n v="46"/>
    <s v="Female"/>
    <s v="Ludhiana"/>
    <s v="Gujarat"/>
    <d v="2023-01-09T00:00:00"/>
    <d v="2023-01-18T00:00:00"/>
    <x v="2"/>
    <s v="Electronics"/>
    <n v="5"/>
    <n v="55304"/>
    <n v="0"/>
    <x v="1"/>
    <s v="Karan"/>
    <x v="2"/>
    <s v="nehaagarwal@gmail.com"/>
    <s v="8479632733"/>
    <x v="0"/>
    <s v="Bad"/>
    <n v="472"/>
    <s v="Returned"/>
    <n v="276520"/>
    <n v="9"/>
    <x v="0"/>
    <x v="0"/>
  </r>
  <r>
    <x v="923"/>
    <x v="39"/>
    <n v="26"/>
    <s v="Male"/>
    <s v="Delhi"/>
    <s v="Punjab"/>
    <d v="2024-09-27T00:00:00"/>
    <d v="2024-10-01T00:00:00"/>
    <x v="2"/>
    <s v="Accessories"/>
    <n v="4"/>
    <n v="21277"/>
    <n v="5"/>
    <x v="0"/>
    <s v="Sneha"/>
    <x v="3"/>
    <s v="rahulsingh@gmail.com"/>
    <s v="9394947690"/>
    <x v="3"/>
    <s v="Average"/>
    <n v="285"/>
    <s v="Delivered"/>
    <n v="80852.599999999991"/>
    <n v="4"/>
    <x v="2"/>
    <x v="1"/>
  </r>
  <r>
    <x v="924"/>
    <x v="46"/>
    <n v="22"/>
    <s v="Male"/>
    <s v="Jaipur"/>
    <s v="Delhi"/>
    <d v="2023-11-10T00:00:00"/>
    <d v="2023-11-20T00:00:00"/>
    <x v="1"/>
    <s v="Accessories"/>
    <n v="5"/>
    <n v="54425"/>
    <n v="5"/>
    <x v="1"/>
    <s v="Neha"/>
    <x v="3"/>
    <s v="rohityadav@gmail.com"/>
    <s v="9405355292"/>
    <x v="2"/>
    <s v="Bad"/>
    <n v="475"/>
    <s v="Cancelled"/>
    <n v="258518.75"/>
    <n v="10"/>
    <x v="7"/>
    <x v="0"/>
  </r>
  <r>
    <x v="925"/>
    <x v="57"/>
    <n v="52"/>
    <s v="Male"/>
    <s v="Delhi"/>
    <s v="Delhi"/>
    <d v="2024-08-16T00:00:00"/>
    <d v="2024-08-18T00:00:00"/>
    <x v="1"/>
    <s v="Electronics"/>
    <n v="3"/>
    <n v="71916"/>
    <n v="5"/>
    <x v="0"/>
    <s v="Rohit"/>
    <x v="3"/>
    <s v="nehajoshi@gmail.com"/>
    <s v="8040078802"/>
    <x v="1"/>
    <s v="Excellent"/>
    <n v="377"/>
    <s v="Delivered"/>
    <n v="204960.59999999998"/>
    <n v="2"/>
    <x v="3"/>
    <x v="1"/>
  </r>
  <r>
    <x v="926"/>
    <x v="93"/>
    <n v="44"/>
    <s v="Female"/>
    <s v="Amritsar"/>
    <s v="Maharashtra"/>
    <d v="2024-07-18T00:00:00"/>
    <d v="2024-07-26T00:00:00"/>
    <x v="1"/>
    <s v="Accessories"/>
    <n v="5"/>
    <n v="39971"/>
    <n v="15"/>
    <x v="2"/>
    <s v="Rohit"/>
    <x v="1"/>
    <s v="Missing"/>
    <s v="7430764041"/>
    <x v="3"/>
    <s v="Good"/>
    <n v="324"/>
    <s v="Cancelled"/>
    <n v="169876.75"/>
    <n v="8"/>
    <x v="4"/>
    <x v="1"/>
  </r>
  <r>
    <x v="927"/>
    <x v="8"/>
    <n v="46"/>
    <s v="Female"/>
    <s v="Ludhiana"/>
    <s v="Punjab"/>
    <d v="2024-03-10T00:00:00"/>
    <d v="2024-03-11T00:00:00"/>
    <x v="5"/>
    <s v="Electronics"/>
    <n v="5"/>
    <n v="74461"/>
    <n v="0"/>
    <x v="0"/>
    <s v="Karan"/>
    <x v="0"/>
    <s v="priyamehta@gmail.com"/>
    <s v="8797955855"/>
    <x v="2"/>
    <s v="Good"/>
    <n v="449"/>
    <s v="Cancelled"/>
    <n v="372305"/>
    <n v="1"/>
    <x v="10"/>
    <x v="1"/>
  </r>
  <r>
    <x v="928"/>
    <x v="60"/>
    <n v="49"/>
    <s v="Female"/>
    <s v="Pune"/>
    <s v="Delhi"/>
    <d v="2024-07-28T00:00:00"/>
    <d v="2024-07-29T00:00:00"/>
    <x v="1"/>
    <s v="Accessories"/>
    <n v="3"/>
    <n v="77472"/>
    <n v="0"/>
    <x v="0"/>
    <s v="Neha"/>
    <x v="3"/>
    <s v="amitsharma@gmail.com"/>
    <s v="Missing"/>
    <x v="1"/>
    <s v="Good"/>
    <n v="167"/>
    <s v="Returned"/>
    <n v="232416"/>
    <n v="1"/>
    <x v="4"/>
    <x v="1"/>
  </r>
  <r>
    <x v="929"/>
    <x v="64"/>
    <n v="18"/>
    <s v="Female"/>
    <s v="Pune"/>
    <s v="Maharashtra"/>
    <d v="2024-02-29T00:00:00"/>
    <d v="2024-03-04T00:00:00"/>
    <x v="1"/>
    <s v="Electronics"/>
    <n v="2"/>
    <n v="44384"/>
    <n v="10"/>
    <x v="2"/>
    <s v="Amit"/>
    <x v="0"/>
    <s v="vikasverma@gmail.com"/>
    <s v="8564028481"/>
    <x v="0"/>
    <s v="Average"/>
    <n v="173"/>
    <s v="Delivered"/>
    <n v="79891.199999999997"/>
    <n v="4"/>
    <x v="8"/>
    <x v="1"/>
  </r>
  <r>
    <x v="930"/>
    <x v="28"/>
    <n v="32"/>
    <s v="Male"/>
    <s v="Mumbai"/>
    <s v="Maharashtra"/>
    <d v="2024-03-15T00:00:00"/>
    <d v="2024-03-23T00:00:00"/>
    <x v="3"/>
    <s v="Electronics"/>
    <n v="3"/>
    <n v="35262"/>
    <n v="10"/>
    <x v="1"/>
    <s v="Sneha"/>
    <x v="2"/>
    <s v="nehayadav@gmail.com"/>
    <s v="7549918586"/>
    <x v="2"/>
    <s v="Excellent"/>
    <n v="159"/>
    <s v="Returned"/>
    <n v="95207.400000000009"/>
    <n v="8"/>
    <x v="10"/>
    <x v="1"/>
  </r>
  <r>
    <x v="931"/>
    <x v="9"/>
    <n v="45"/>
    <s v="Male"/>
    <s v="Pune"/>
    <s v="Punjab"/>
    <d v="2024-08-25T00:00:00"/>
    <d v="2024-09-03T00:00:00"/>
    <x v="5"/>
    <s v="Electronics"/>
    <n v="3"/>
    <n v="42109.716287215415"/>
    <n v="5"/>
    <x v="2"/>
    <s v="Priya"/>
    <x v="2"/>
    <s v="anjaligupta@gmail.com"/>
    <s v="9811689399"/>
    <x v="0"/>
    <s v="Excellent"/>
    <n v="344"/>
    <s v="Delivered"/>
    <n v="120012.69141856393"/>
    <n v="9"/>
    <x v="3"/>
    <x v="1"/>
  </r>
  <r>
    <x v="932"/>
    <x v="40"/>
    <n v="59"/>
    <s v="Female"/>
    <s v="Jaipur"/>
    <s v="Rajasthan"/>
    <d v="2023-10-20T00:00:00"/>
    <d v="2023-10-24T00:00:00"/>
    <x v="2"/>
    <s v="Electronics"/>
    <n v="5"/>
    <n v="24368"/>
    <n v="10"/>
    <x v="2"/>
    <s v="Sneha"/>
    <x v="3"/>
    <s v="Missing"/>
    <s v="8720991710"/>
    <x v="4"/>
    <s v="Average"/>
    <n v="158"/>
    <s v="Delivered"/>
    <n v="109656"/>
    <n v="4"/>
    <x v="5"/>
    <x v="0"/>
  </r>
  <r>
    <x v="933"/>
    <x v="83"/>
    <n v="45"/>
    <s v="Male"/>
    <s v="Ludhiana"/>
    <s v="Delhi"/>
    <d v="2023-06-19T00:00:00"/>
    <d v="2023-06-23T00:00:00"/>
    <x v="0"/>
    <s v="Accessories"/>
    <n v="3"/>
    <n v="28938"/>
    <n v="15"/>
    <x v="1"/>
    <s v="Priya"/>
    <x v="3"/>
    <s v="snehayadav@gmail.com"/>
    <s v="8156318402"/>
    <x v="2"/>
    <s v="Bad"/>
    <n v="125"/>
    <s v="Returned"/>
    <n v="73791.899999999994"/>
    <n v="4"/>
    <x v="9"/>
    <x v="0"/>
  </r>
  <r>
    <x v="934"/>
    <x v="63"/>
    <n v="21"/>
    <s v="Male"/>
    <s v="Pune"/>
    <s v="Maharashtra"/>
    <d v="2024-07-02T00:00:00"/>
    <d v="2024-07-09T00:00:00"/>
    <x v="1"/>
    <s v="Electronics"/>
    <n v="3"/>
    <n v="52811"/>
    <n v="0"/>
    <x v="1"/>
    <s v="Priya"/>
    <x v="2"/>
    <s v="Missing"/>
    <s v="8016453790"/>
    <x v="3"/>
    <s v="Average"/>
    <n v="261"/>
    <s v="Delivered"/>
    <n v="158433"/>
    <n v="7"/>
    <x v="4"/>
    <x v="1"/>
  </r>
  <r>
    <x v="935"/>
    <x v="10"/>
    <n v="52"/>
    <s v="Female"/>
    <s v="Delhi"/>
    <s v="Gujarat"/>
    <d v="2024-01-29T00:00:00"/>
    <d v="2024-02-02T00:00:00"/>
    <x v="3"/>
    <s v="Accessories"/>
    <n v="1"/>
    <n v="78656"/>
    <n v="0"/>
    <x v="1"/>
    <s v="Amit"/>
    <x v="3"/>
    <s v="anjalimehta@gmail.com"/>
    <s v="9394913382"/>
    <x v="0"/>
    <s v="Excellent"/>
    <n v="476"/>
    <s v="Delivered"/>
    <n v="78656"/>
    <n v="4"/>
    <x v="0"/>
    <x v="1"/>
  </r>
  <r>
    <x v="936"/>
    <x v="20"/>
    <n v="41"/>
    <s v="Male"/>
    <s v="Ahmedabad"/>
    <s v="Maharashtra"/>
    <d v="2023-12-17T00:00:00"/>
    <d v="2023-12-22T00:00:00"/>
    <x v="4"/>
    <s v="Electronics"/>
    <n v="3"/>
    <n v="72352"/>
    <n v="5"/>
    <x v="0"/>
    <s v="Vikas"/>
    <x v="3"/>
    <s v="Missing"/>
    <s v="8665553837"/>
    <x v="2"/>
    <s v="Good"/>
    <n v="477"/>
    <s v="Delivered"/>
    <n v="206203.19999999998"/>
    <n v="5"/>
    <x v="11"/>
    <x v="0"/>
  </r>
  <r>
    <x v="937"/>
    <x v="1"/>
    <n v="54"/>
    <s v="Female"/>
    <s v="Delhi"/>
    <s v="Maharashtra"/>
    <d v="2023-08-05T00:00:00"/>
    <d v="2023-08-07T00:00:00"/>
    <x v="4"/>
    <s v="Electronics"/>
    <n v="4"/>
    <n v="48220"/>
    <n v="15"/>
    <x v="2"/>
    <s v="Amit"/>
    <x v="1"/>
    <s v="Missing"/>
    <s v="6391875749"/>
    <x v="0"/>
    <s v="Bad"/>
    <n v="59"/>
    <s v="Cancelled"/>
    <n v="163948"/>
    <n v="2"/>
    <x v="3"/>
    <x v="0"/>
  </r>
  <r>
    <x v="938"/>
    <x v="63"/>
    <n v="29"/>
    <s v="Female"/>
    <s v="Jaipur"/>
    <s v="Maharashtra"/>
    <d v="2023-11-29T00:00:00"/>
    <d v="2023-12-04T00:00:00"/>
    <x v="3"/>
    <s v="Accessories"/>
    <n v="3"/>
    <n v="74785"/>
    <n v="10"/>
    <x v="2"/>
    <s v="Amit"/>
    <x v="1"/>
    <s v="priyagupta@gmail.com"/>
    <s v="9999247742"/>
    <x v="3"/>
    <s v="Good"/>
    <n v="456"/>
    <s v="Returned"/>
    <n v="201919.5"/>
    <n v="5"/>
    <x v="7"/>
    <x v="0"/>
  </r>
  <r>
    <x v="939"/>
    <x v="7"/>
    <n v="28"/>
    <s v="Female"/>
    <s v="Pune"/>
    <s v="Delhi"/>
    <d v="2024-05-13T00:00:00"/>
    <d v="2024-05-22T00:00:00"/>
    <x v="4"/>
    <s v="Electronics"/>
    <n v="5"/>
    <n v="49356"/>
    <n v="10"/>
    <x v="0"/>
    <s v="Karan"/>
    <x v="0"/>
    <s v="Missing"/>
    <s v="7881707822"/>
    <x v="2"/>
    <s v="Average"/>
    <n v="357"/>
    <s v="Cancelled"/>
    <n v="222102"/>
    <n v="9"/>
    <x v="6"/>
    <x v="1"/>
  </r>
  <r>
    <x v="940"/>
    <x v="35"/>
    <n v="37"/>
    <s v="Female"/>
    <s v="Amritsar"/>
    <s v="Punjab"/>
    <d v="2023-01-21T00:00:00"/>
    <d v="2023-01-29T00:00:00"/>
    <x v="5"/>
    <s v="Electronics"/>
    <n v="4"/>
    <n v="15997"/>
    <n v="15"/>
    <x v="3"/>
    <s v="Rohit"/>
    <x v="0"/>
    <s v="nehamehta@gmail.com"/>
    <s v="8475656314"/>
    <x v="1"/>
    <s v="Bad"/>
    <n v="416"/>
    <s v="Returned"/>
    <n v="54389.799999999996"/>
    <n v="8"/>
    <x v="0"/>
    <x v="0"/>
  </r>
  <r>
    <x v="941"/>
    <x v="26"/>
    <n v="32"/>
    <s v="Female"/>
    <s v="Mumbai"/>
    <s v="Rajasthan"/>
    <d v="2023-03-23T00:00:00"/>
    <d v="2023-04-01T00:00:00"/>
    <x v="3"/>
    <s v="Electronics"/>
    <n v="1"/>
    <n v="35760"/>
    <n v="5"/>
    <x v="1"/>
    <s v="Rahul"/>
    <x v="3"/>
    <s v="karanjoshi@gmail.com"/>
    <s v="9849955286"/>
    <x v="4"/>
    <s v="Average"/>
    <n v="277"/>
    <s v="Returned"/>
    <n v="33972"/>
    <n v="9"/>
    <x v="10"/>
    <x v="0"/>
  </r>
  <r>
    <x v="942"/>
    <x v="76"/>
    <n v="45"/>
    <s v="Female"/>
    <s v="Mumbai"/>
    <s v="Rajasthan"/>
    <d v="2024-05-15T00:00:00"/>
    <d v="2024-05-23T00:00:00"/>
    <x v="0"/>
    <s v="Electronics"/>
    <n v="1"/>
    <n v="42109.716287215415"/>
    <n v="15"/>
    <x v="3"/>
    <s v="Amit"/>
    <x v="3"/>
    <s v="rahulverma@gmail.com"/>
    <s v="6312115698"/>
    <x v="4"/>
    <s v="Excellent"/>
    <n v="67"/>
    <s v="Cancelled"/>
    <n v="35793.258844133103"/>
    <n v="8"/>
    <x v="6"/>
    <x v="1"/>
  </r>
  <r>
    <x v="943"/>
    <x v="87"/>
    <n v="23"/>
    <s v="Female"/>
    <s v="Jaipur"/>
    <s v="Maharashtra"/>
    <d v="2024-09-14T00:00:00"/>
    <d v="2024-09-22T00:00:00"/>
    <x v="1"/>
    <s v="Accessories"/>
    <n v="3"/>
    <n v="42109.716287215415"/>
    <n v="15"/>
    <x v="0"/>
    <s v="Rahul"/>
    <x v="0"/>
    <s v="snehamehta@gmail.com"/>
    <s v="6288457292"/>
    <x v="3"/>
    <s v="Bad"/>
    <n v="108"/>
    <s v="Returned"/>
    <n v="107379.77653239931"/>
    <n v="8"/>
    <x v="2"/>
    <x v="1"/>
  </r>
  <r>
    <x v="944"/>
    <x v="89"/>
    <n v="23"/>
    <s v="Female"/>
    <s v="Delhi"/>
    <s v="Delhi"/>
    <d v="2024-10-09T00:00:00"/>
    <d v="2024-10-16T00:00:00"/>
    <x v="2"/>
    <s v="Accessories"/>
    <n v="5"/>
    <n v="50791"/>
    <n v="10"/>
    <x v="0"/>
    <s v="Rahul"/>
    <x v="1"/>
    <s v="rohitagarwal@gmail.com"/>
    <s v="7071581459"/>
    <x v="1"/>
    <s v="Average"/>
    <n v="136"/>
    <s v="Delivered"/>
    <n v="228559.5"/>
    <n v="7"/>
    <x v="5"/>
    <x v="1"/>
  </r>
  <r>
    <x v="945"/>
    <x v="93"/>
    <n v="28"/>
    <s v="Male"/>
    <s v="Ludhiana"/>
    <s v="Gujarat"/>
    <d v="2023-01-25T00:00:00"/>
    <d v="2023-01-31T00:00:00"/>
    <x v="4"/>
    <s v="Accessories"/>
    <n v="3"/>
    <n v="23179"/>
    <n v="15"/>
    <x v="1"/>
    <s v="Neha"/>
    <x v="1"/>
    <s v="karangupta@gmail.com"/>
    <s v="6133188920"/>
    <x v="1"/>
    <s v="Bad"/>
    <n v="271"/>
    <s v="Delivered"/>
    <n v="59106.45"/>
    <n v="6"/>
    <x v="0"/>
    <x v="0"/>
  </r>
  <r>
    <x v="946"/>
    <x v="33"/>
    <n v="18"/>
    <s v="Male"/>
    <s v="Pune"/>
    <s v="Rajasthan"/>
    <d v="2023-09-21T00:00:00"/>
    <d v="2023-09-29T00:00:00"/>
    <x v="1"/>
    <s v="Electronics"/>
    <n v="1"/>
    <n v="14063"/>
    <n v="5"/>
    <x v="2"/>
    <s v="Sneha"/>
    <x v="0"/>
    <s v="poojapatel@gmail.com"/>
    <s v="8817744551"/>
    <x v="4"/>
    <s v="Average"/>
    <n v="286"/>
    <s v="Cancelled"/>
    <n v="13359.849999999999"/>
    <n v="8"/>
    <x v="2"/>
    <x v="0"/>
  </r>
  <r>
    <x v="947"/>
    <x v="33"/>
    <n v="49"/>
    <s v="Female"/>
    <s v="Mumbai"/>
    <s v="Punjab"/>
    <d v="2023-04-27T00:00:00"/>
    <d v="2023-05-03T00:00:00"/>
    <x v="2"/>
    <s v="Accessories"/>
    <n v="4"/>
    <n v="62548"/>
    <n v="10"/>
    <x v="2"/>
    <s v="Amit"/>
    <x v="1"/>
    <s v="poojapatel@gmail.com"/>
    <s v="7725615910"/>
    <x v="0"/>
    <s v="Excellent"/>
    <n v="477"/>
    <s v="Delivered"/>
    <n v="225172.80000000002"/>
    <n v="6"/>
    <x v="1"/>
    <x v="0"/>
  </r>
  <r>
    <x v="948"/>
    <x v="36"/>
    <n v="45"/>
    <s v="Female"/>
    <s v="Pune"/>
    <s v="Punjab"/>
    <d v="2023-06-26T00:00:00"/>
    <d v="2023-07-06T00:00:00"/>
    <x v="0"/>
    <s v="Electronics"/>
    <n v="3"/>
    <n v="57563"/>
    <n v="15"/>
    <x v="1"/>
    <s v="Karan"/>
    <x v="1"/>
    <s v="rahulsharma@gmail.com"/>
    <s v="8853678065"/>
    <x v="3"/>
    <s v="Average"/>
    <n v="157"/>
    <s v="Returned"/>
    <n v="146785.65"/>
    <n v="10"/>
    <x v="9"/>
    <x v="0"/>
  </r>
  <r>
    <x v="949"/>
    <x v="28"/>
    <n v="52"/>
    <s v="Male"/>
    <s v="Mumbai"/>
    <s v="Delhi"/>
    <d v="2023-12-27T00:00:00"/>
    <d v="2023-12-31T00:00:00"/>
    <x v="2"/>
    <s v="Electronics"/>
    <n v="3"/>
    <n v="67770"/>
    <n v="0"/>
    <x v="1"/>
    <s v="Anjali"/>
    <x v="0"/>
    <s v="nehayadav@gmail.com"/>
    <s v="9217716472"/>
    <x v="4"/>
    <s v="Good"/>
    <n v="337"/>
    <s v="Cancelled"/>
    <n v="203310"/>
    <n v="4"/>
    <x v="11"/>
    <x v="0"/>
  </r>
  <r>
    <x v="950"/>
    <x v="22"/>
    <n v="60"/>
    <s v="Female"/>
    <s v="Ahmedabad"/>
    <s v="Maharashtra"/>
    <d v="2024-07-15T00:00:00"/>
    <d v="2024-07-23T00:00:00"/>
    <x v="4"/>
    <s v="Accessories"/>
    <n v="4"/>
    <n v="68102"/>
    <n v="10"/>
    <x v="2"/>
    <s v="Rohit"/>
    <x v="2"/>
    <s v="poojakumar@gmail.com"/>
    <s v="6051504590"/>
    <x v="0"/>
    <s v="Good"/>
    <n v="447"/>
    <s v="Delivered"/>
    <n v="245167.2"/>
    <n v="8"/>
    <x v="4"/>
    <x v="1"/>
  </r>
  <r>
    <x v="951"/>
    <x v="75"/>
    <n v="30"/>
    <s v="Female"/>
    <s v="Jaipur"/>
    <s v="Maharashtra"/>
    <d v="2023-07-04T00:00:00"/>
    <d v="2023-07-05T00:00:00"/>
    <x v="5"/>
    <s v="Accessories"/>
    <n v="4"/>
    <n v="59016"/>
    <n v="5"/>
    <x v="0"/>
    <s v="Karan"/>
    <x v="1"/>
    <s v="rohitmehta@gmail.com"/>
    <s v="9828519604"/>
    <x v="0"/>
    <s v="Average"/>
    <n v="226"/>
    <s v="Cancelled"/>
    <n v="224260.8"/>
    <n v="1"/>
    <x v="4"/>
    <x v="0"/>
  </r>
  <r>
    <x v="952"/>
    <x v="10"/>
    <n v="23"/>
    <s v="Male"/>
    <s v="Ahmedabad"/>
    <s v="Gujarat"/>
    <d v="2023-08-07T00:00:00"/>
    <d v="2023-08-12T00:00:00"/>
    <x v="5"/>
    <s v="Electronics"/>
    <n v="2"/>
    <n v="42109.716287215415"/>
    <n v="0"/>
    <x v="3"/>
    <s v="Priya"/>
    <x v="3"/>
    <s v="Missing"/>
    <s v="7343167796"/>
    <x v="0"/>
    <s v="Excellent"/>
    <n v="225"/>
    <s v="Delivered"/>
    <n v="84219.43257443083"/>
    <n v="5"/>
    <x v="3"/>
    <x v="0"/>
  </r>
  <r>
    <x v="953"/>
    <x v="14"/>
    <n v="31"/>
    <s v="Male"/>
    <s v="Ahmedabad"/>
    <s v="Delhi"/>
    <d v="2024-11-17T00:00:00"/>
    <d v="2024-11-22T00:00:00"/>
    <x v="1"/>
    <s v="Accessories"/>
    <n v="2"/>
    <n v="23500"/>
    <n v="0"/>
    <x v="3"/>
    <s v="Karan"/>
    <x v="1"/>
    <s v="rohitgupta@gmail.com"/>
    <s v="9192013174"/>
    <x v="2"/>
    <s v="Average"/>
    <n v="348"/>
    <s v="Returned"/>
    <n v="47000"/>
    <n v="5"/>
    <x v="7"/>
    <x v="1"/>
  </r>
  <r>
    <x v="954"/>
    <x v="95"/>
    <n v="37"/>
    <s v="Female"/>
    <s v="Pune"/>
    <s v="Maharashtra"/>
    <d v="2024-08-19T00:00:00"/>
    <d v="2024-08-28T00:00:00"/>
    <x v="3"/>
    <s v="Electronics"/>
    <n v="4"/>
    <n v="28528"/>
    <n v="10"/>
    <x v="3"/>
    <s v="Pooja"/>
    <x v="2"/>
    <s v="snehagupta@gmail.com"/>
    <s v="Missing"/>
    <x v="3"/>
    <s v="Average"/>
    <n v="463"/>
    <s v="Delivered"/>
    <n v="102700.8"/>
    <n v="9"/>
    <x v="3"/>
    <x v="1"/>
  </r>
  <r>
    <x v="955"/>
    <x v="99"/>
    <n v="49"/>
    <s v="Female"/>
    <s v="Jaipur"/>
    <s v="Punjab"/>
    <d v="2024-09-18T00:00:00"/>
    <d v="2024-09-27T00:00:00"/>
    <x v="2"/>
    <s v="Accessories"/>
    <n v="5"/>
    <n v="41677"/>
    <n v="5"/>
    <x v="3"/>
    <s v="Anjali"/>
    <x v="0"/>
    <s v="snehaverma@gmail.com"/>
    <s v="7350671607"/>
    <x v="0"/>
    <s v="Average"/>
    <n v="295"/>
    <s v="Cancelled"/>
    <n v="197965.75"/>
    <n v="9"/>
    <x v="2"/>
    <x v="1"/>
  </r>
  <r>
    <x v="956"/>
    <x v="13"/>
    <n v="20"/>
    <s v="Male"/>
    <s v="Jaipur"/>
    <s v="Delhi"/>
    <d v="2024-10-08T00:00:00"/>
    <d v="2024-10-16T00:00:00"/>
    <x v="4"/>
    <s v="Accessories"/>
    <n v="5"/>
    <n v="65930"/>
    <n v="5"/>
    <x v="3"/>
    <s v="Rohit"/>
    <x v="2"/>
    <s v="priyayadav@gmail.com"/>
    <s v="7169583525"/>
    <x v="3"/>
    <s v="Excellent"/>
    <n v="88"/>
    <s v="Delivered"/>
    <n v="313167.5"/>
    <n v="8"/>
    <x v="5"/>
    <x v="1"/>
  </r>
  <r>
    <x v="957"/>
    <x v="61"/>
    <n v="31"/>
    <s v="Male"/>
    <s v="Jaipur"/>
    <s v="Maharashtra"/>
    <d v="2023-05-26T00:00:00"/>
    <d v="2023-05-29T00:00:00"/>
    <x v="5"/>
    <s v="Accessories"/>
    <n v="1"/>
    <n v="69356"/>
    <n v="15"/>
    <x v="1"/>
    <s v="Neha"/>
    <x v="0"/>
    <s v="anjalikumar@gmail.com"/>
    <s v="7126719223"/>
    <x v="0"/>
    <s v="Excellent"/>
    <n v="428"/>
    <s v="Returned"/>
    <n v="58952.6"/>
    <n v="3"/>
    <x v="6"/>
    <x v="0"/>
  </r>
  <r>
    <x v="958"/>
    <x v="56"/>
    <n v="34"/>
    <s v="Female"/>
    <s v="Amritsar"/>
    <s v="Punjab"/>
    <d v="2023-08-24T00:00:00"/>
    <d v="2023-08-28T00:00:00"/>
    <x v="2"/>
    <s v="Accessories"/>
    <n v="5"/>
    <n v="11884"/>
    <n v="10"/>
    <x v="3"/>
    <s v="Sneha"/>
    <x v="0"/>
    <s v="anjalisharma@gmail.com"/>
    <s v="6358794007"/>
    <x v="3"/>
    <s v="Bad"/>
    <n v="303"/>
    <s v="Returned"/>
    <n v="53478"/>
    <n v="4"/>
    <x v="3"/>
    <x v="0"/>
  </r>
  <r>
    <x v="959"/>
    <x v="76"/>
    <n v="45"/>
    <s v="Female"/>
    <s v="Ludhiana"/>
    <s v="Delhi"/>
    <d v="2023-09-24T00:00:00"/>
    <d v="2023-09-30T00:00:00"/>
    <x v="5"/>
    <s v="Electronics"/>
    <n v="5"/>
    <n v="64049"/>
    <n v="15"/>
    <x v="2"/>
    <s v="Rohit"/>
    <x v="3"/>
    <s v="rahulverma@gmail.com"/>
    <s v="9292139924"/>
    <x v="2"/>
    <s v="Bad"/>
    <n v="408"/>
    <s v="Cancelled"/>
    <n v="272208.25"/>
    <n v="6"/>
    <x v="2"/>
    <x v="0"/>
  </r>
  <r>
    <x v="960"/>
    <x v="76"/>
    <n v="33"/>
    <s v="Male"/>
    <s v="Mumbai"/>
    <s v="Punjab"/>
    <d v="2024-08-02T00:00:00"/>
    <d v="2024-08-09T00:00:00"/>
    <x v="0"/>
    <s v="Accessories"/>
    <n v="5"/>
    <n v="5295"/>
    <n v="15"/>
    <x v="1"/>
    <s v="Amit"/>
    <x v="2"/>
    <s v="Missing"/>
    <s v="7319379007"/>
    <x v="3"/>
    <s v="Bad"/>
    <n v="499"/>
    <s v="Returned"/>
    <n v="22503.75"/>
    <n v="7"/>
    <x v="3"/>
    <x v="1"/>
  </r>
  <r>
    <x v="961"/>
    <x v="99"/>
    <n v="47"/>
    <s v="Male"/>
    <s v="Ahmedabad"/>
    <s v="Maharashtra"/>
    <d v="2023-11-24T00:00:00"/>
    <d v="2023-11-28T00:00:00"/>
    <x v="0"/>
    <s v="Accessories"/>
    <n v="5"/>
    <n v="46770"/>
    <n v="10"/>
    <x v="2"/>
    <s v="Karan"/>
    <x v="0"/>
    <s v="snehaverma@gmail.com"/>
    <s v="Missing"/>
    <x v="4"/>
    <s v="Excellent"/>
    <n v="309"/>
    <s v="Returned"/>
    <n v="210465"/>
    <n v="4"/>
    <x v="7"/>
    <x v="0"/>
  </r>
  <r>
    <x v="962"/>
    <x v="56"/>
    <n v="22"/>
    <s v="Female"/>
    <s v="Ahmedabad"/>
    <s v="Punjab"/>
    <d v="2024-08-16T00:00:00"/>
    <d v="2024-08-19T00:00:00"/>
    <x v="5"/>
    <s v="Accessories"/>
    <n v="2"/>
    <n v="55204"/>
    <n v="15"/>
    <x v="2"/>
    <s v="Sneha"/>
    <x v="3"/>
    <s v="anjalisharma@gmail.com"/>
    <s v="Missing"/>
    <x v="1"/>
    <s v="Bad"/>
    <n v="206"/>
    <s v="Delivered"/>
    <n v="93846.8"/>
    <n v="3"/>
    <x v="3"/>
    <x v="1"/>
  </r>
  <r>
    <x v="963"/>
    <x v="31"/>
    <n v="60"/>
    <s v="Male"/>
    <s v="Mumbai"/>
    <s v="Punjab"/>
    <d v="2023-03-07T00:00:00"/>
    <d v="2023-03-12T00:00:00"/>
    <x v="0"/>
    <s v="Accessories"/>
    <n v="5"/>
    <n v="42109.716287215415"/>
    <n v="15"/>
    <x v="0"/>
    <s v="Sneha"/>
    <x v="0"/>
    <s v="nehagupta@gmail.com"/>
    <s v="6169656020"/>
    <x v="4"/>
    <s v="Excellent"/>
    <n v="398"/>
    <s v="Cancelled"/>
    <n v="178966.2942206655"/>
    <n v="5"/>
    <x v="10"/>
    <x v="0"/>
  </r>
  <r>
    <x v="964"/>
    <x v="73"/>
    <n v="23"/>
    <s v="Female"/>
    <s v="Jaipur"/>
    <s v="Delhi"/>
    <d v="2023-10-02T00:00:00"/>
    <d v="2023-10-11T00:00:00"/>
    <x v="3"/>
    <s v="Electronics"/>
    <n v="2"/>
    <n v="71299"/>
    <n v="5"/>
    <x v="1"/>
    <s v="Rohit"/>
    <x v="2"/>
    <s v="priyaagarwal@gmail.com"/>
    <s v="8972210607"/>
    <x v="3"/>
    <s v="Excellent"/>
    <n v="148"/>
    <s v="Cancelled"/>
    <n v="135468.1"/>
    <n v="9"/>
    <x v="5"/>
    <x v="0"/>
  </r>
  <r>
    <x v="965"/>
    <x v="95"/>
    <n v="31"/>
    <s v="Female"/>
    <s v="Mumbai"/>
    <s v="Maharashtra"/>
    <d v="2023-12-07T00:00:00"/>
    <d v="2023-12-12T00:00:00"/>
    <x v="2"/>
    <s v="Electronics"/>
    <n v="2"/>
    <n v="68359"/>
    <n v="0"/>
    <x v="1"/>
    <s v="Vikas"/>
    <x v="1"/>
    <s v="snehagupta@gmail.com"/>
    <s v="8348226116"/>
    <x v="1"/>
    <s v="Bad"/>
    <n v="461"/>
    <s v="Returned"/>
    <n v="136718"/>
    <n v="5"/>
    <x v="11"/>
    <x v="0"/>
  </r>
  <r>
    <x v="966"/>
    <x v="40"/>
    <n v="38"/>
    <s v="Male"/>
    <s v="Chandigarh"/>
    <s v="Punjab"/>
    <d v="2023-01-05T00:00:00"/>
    <d v="2023-01-07T00:00:00"/>
    <x v="1"/>
    <s v="Electronics"/>
    <n v="2"/>
    <n v="72566"/>
    <n v="0"/>
    <x v="0"/>
    <s v="Amit"/>
    <x v="2"/>
    <s v="amitagarwal@gmail.com"/>
    <s v="8999802860"/>
    <x v="3"/>
    <s v="Bad"/>
    <n v="468"/>
    <s v="Returned"/>
    <n v="145132"/>
    <n v="2"/>
    <x v="0"/>
    <x v="0"/>
  </r>
  <r>
    <x v="967"/>
    <x v="54"/>
    <n v="22"/>
    <s v="Female"/>
    <s v="Amritsar"/>
    <s v="Punjab"/>
    <d v="2024-11-17T00:00:00"/>
    <d v="2024-11-20T00:00:00"/>
    <x v="3"/>
    <s v="Accessories"/>
    <n v="5"/>
    <n v="23687"/>
    <n v="10"/>
    <x v="2"/>
    <s v="Amit"/>
    <x v="2"/>
    <s v="karankumar@gmail.com"/>
    <s v="9056462849"/>
    <x v="0"/>
    <s v="Average"/>
    <n v="199"/>
    <s v="Delivered"/>
    <n v="106591.5"/>
    <n v="3"/>
    <x v="7"/>
    <x v="1"/>
  </r>
  <r>
    <x v="968"/>
    <x v="88"/>
    <n v="30"/>
    <s v="Female"/>
    <s v="Jaipur"/>
    <s v="Maharashtra"/>
    <d v="2023-04-06T00:00:00"/>
    <d v="2023-04-09T00:00:00"/>
    <x v="2"/>
    <s v="Accessories"/>
    <n v="2"/>
    <n v="64442"/>
    <n v="15"/>
    <x v="1"/>
    <s v="Karan"/>
    <x v="2"/>
    <s v="vikasmehta@gmail.com"/>
    <s v="8382390472"/>
    <x v="3"/>
    <s v="Excellent"/>
    <n v="238"/>
    <s v="Returned"/>
    <n v="109551.4"/>
    <n v="3"/>
    <x v="1"/>
    <x v="0"/>
  </r>
  <r>
    <x v="969"/>
    <x v="47"/>
    <n v="35"/>
    <s v="Male"/>
    <s v="Jaipur"/>
    <s v="Rajasthan"/>
    <d v="2024-09-12T00:00:00"/>
    <d v="2024-09-17T00:00:00"/>
    <x v="4"/>
    <s v="Accessories"/>
    <n v="3"/>
    <n v="70942"/>
    <n v="15"/>
    <x v="2"/>
    <s v="Vikas"/>
    <x v="2"/>
    <s v="nehaagarwal@gmail.com"/>
    <s v="8168410377"/>
    <x v="4"/>
    <s v="Bad"/>
    <n v="386"/>
    <s v="Returned"/>
    <n v="180902.1"/>
    <n v="5"/>
    <x v="2"/>
    <x v="1"/>
  </r>
  <r>
    <x v="970"/>
    <x v="9"/>
    <n v="39"/>
    <s v="Female"/>
    <s v="Jaipur"/>
    <s v="Punjab"/>
    <d v="2024-05-28T00:00:00"/>
    <d v="2024-06-03T00:00:00"/>
    <x v="4"/>
    <s v="Electronics"/>
    <n v="1"/>
    <n v="76074"/>
    <n v="15"/>
    <x v="3"/>
    <s v="Sneha"/>
    <x v="1"/>
    <s v="anjaligupta@gmail.com"/>
    <s v="9820351670"/>
    <x v="0"/>
    <s v="Excellent"/>
    <n v="271"/>
    <s v="Returned"/>
    <n v="64662.9"/>
    <n v="6"/>
    <x v="6"/>
    <x v="1"/>
  </r>
  <r>
    <x v="971"/>
    <x v="60"/>
    <n v="37"/>
    <s v="Male"/>
    <s v="Delhi"/>
    <s v="Rajasthan"/>
    <d v="2024-01-27T00:00:00"/>
    <d v="2024-02-03T00:00:00"/>
    <x v="2"/>
    <s v="Accessories"/>
    <n v="4"/>
    <n v="25213"/>
    <n v="10"/>
    <x v="3"/>
    <s v="Priya"/>
    <x v="3"/>
    <s v="amitsharma@gmail.com"/>
    <s v="6339570541"/>
    <x v="2"/>
    <s v="Average"/>
    <n v="275"/>
    <s v="Delivered"/>
    <n v="90766.8"/>
    <n v="7"/>
    <x v="0"/>
    <x v="1"/>
  </r>
  <r>
    <x v="972"/>
    <x v="8"/>
    <n v="56"/>
    <s v="Male"/>
    <s v="Mumbai"/>
    <s v="Delhi"/>
    <d v="2023-03-12T00:00:00"/>
    <d v="2023-03-13T00:00:00"/>
    <x v="4"/>
    <s v="Electronics"/>
    <n v="4"/>
    <n v="21281"/>
    <n v="15"/>
    <x v="1"/>
    <s v="Anjali"/>
    <x v="1"/>
    <s v="priyamehta@gmail.com"/>
    <s v="9123636319"/>
    <x v="2"/>
    <s v="Average"/>
    <n v="361"/>
    <s v="Delivered"/>
    <n v="72355.399999999994"/>
    <n v="1"/>
    <x v="10"/>
    <x v="0"/>
  </r>
  <r>
    <x v="973"/>
    <x v="87"/>
    <n v="57"/>
    <s v="Female"/>
    <s v="Amritsar"/>
    <s v="Rajasthan"/>
    <d v="2024-06-19T00:00:00"/>
    <d v="2024-06-27T00:00:00"/>
    <x v="1"/>
    <s v="Accessories"/>
    <n v="1"/>
    <n v="25459"/>
    <n v="10"/>
    <x v="3"/>
    <s v="Vikas"/>
    <x v="0"/>
    <s v="snehamehta@gmail.com"/>
    <s v="6894494904"/>
    <x v="4"/>
    <s v="Bad"/>
    <n v="495"/>
    <s v="Cancelled"/>
    <n v="22913.100000000002"/>
    <n v="8"/>
    <x v="9"/>
    <x v="1"/>
  </r>
  <r>
    <x v="974"/>
    <x v="76"/>
    <n v="26"/>
    <s v="Male"/>
    <s v="Pune"/>
    <s v="Gujarat"/>
    <d v="2024-08-23T00:00:00"/>
    <d v="2024-08-25T00:00:00"/>
    <x v="5"/>
    <s v="Electronics"/>
    <n v="3"/>
    <n v="31997"/>
    <n v="15"/>
    <x v="1"/>
    <s v="Vikas"/>
    <x v="3"/>
    <s v="rahulverma@gmail.com"/>
    <s v="8893756010"/>
    <x v="0"/>
    <s v="Excellent"/>
    <n v="173"/>
    <s v="Delivered"/>
    <n v="81592.349999999991"/>
    <n v="2"/>
    <x v="3"/>
    <x v="1"/>
  </r>
  <r>
    <x v="975"/>
    <x v="70"/>
    <n v="45"/>
    <s v="Female"/>
    <s v="Delhi"/>
    <s v="Rajasthan"/>
    <d v="2023-07-30T00:00:00"/>
    <d v="2023-08-09T00:00:00"/>
    <x v="3"/>
    <s v="Electronics"/>
    <n v="2"/>
    <n v="75790"/>
    <n v="10"/>
    <x v="2"/>
    <s v="Karan"/>
    <x v="2"/>
    <s v="Missing"/>
    <s v="9848316828"/>
    <x v="1"/>
    <s v="Bad"/>
    <n v="335"/>
    <s v="Cancelled"/>
    <n v="136422"/>
    <n v="10"/>
    <x v="4"/>
    <x v="0"/>
  </r>
  <r>
    <x v="976"/>
    <x v="97"/>
    <n v="40"/>
    <s v="Male"/>
    <s v="Ahmedabad"/>
    <s v="Delhi"/>
    <d v="2024-04-29T00:00:00"/>
    <d v="2024-05-06T00:00:00"/>
    <x v="5"/>
    <s v="Electronics"/>
    <n v="4"/>
    <n v="6865"/>
    <n v="5"/>
    <x v="2"/>
    <s v="Amit"/>
    <x v="3"/>
    <s v="vikasjoshi@gmail.com"/>
    <s v="8444749314"/>
    <x v="3"/>
    <s v="Bad"/>
    <n v="211"/>
    <s v="Delivered"/>
    <n v="26087"/>
    <n v="7"/>
    <x v="1"/>
    <x v="1"/>
  </r>
  <r>
    <x v="977"/>
    <x v="43"/>
    <n v="18"/>
    <s v="Female"/>
    <s v="Mumbai"/>
    <s v="Maharashtra"/>
    <d v="2024-08-16T00:00:00"/>
    <d v="2024-08-23T00:00:00"/>
    <x v="0"/>
    <s v="Electronics"/>
    <n v="4"/>
    <n v="58574"/>
    <n v="15"/>
    <x v="0"/>
    <s v="Sneha"/>
    <x v="3"/>
    <s v="amitpatel@gmail.com"/>
    <s v="7528854630"/>
    <x v="0"/>
    <s v="Average"/>
    <n v="410"/>
    <s v="Cancelled"/>
    <n v="199151.6"/>
    <n v="7"/>
    <x v="3"/>
    <x v="1"/>
  </r>
  <r>
    <x v="978"/>
    <x v="94"/>
    <n v="57"/>
    <s v="Male"/>
    <s v="Jaipur"/>
    <s v="Delhi"/>
    <d v="2023-11-08T00:00:00"/>
    <d v="2023-11-18T00:00:00"/>
    <x v="4"/>
    <s v="Accessories"/>
    <n v="4"/>
    <n v="62292"/>
    <n v="5"/>
    <x v="0"/>
    <s v="Karan"/>
    <x v="0"/>
    <s v="snehajoshi@gmail.com"/>
    <s v="6742958909"/>
    <x v="1"/>
    <s v="Excellent"/>
    <n v="204"/>
    <s v="Returned"/>
    <n v="236709.59999999998"/>
    <n v="10"/>
    <x v="7"/>
    <x v="0"/>
  </r>
  <r>
    <x v="979"/>
    <x v="52"/>
    <n v="37"/>
    <s v="Male"/>
    <s v="Amritsar"/>
    <s v="Delhi"/>
    <d v="2023-12-01T00:00:00"/>
    <d v="2023-12-11T00:00:00"/>
    <x v="0"/>
    <s v="Accessories"/>
    <n v="2"/>
    <n v="14972"/>
    <n v="15"/>
    <x v="1"/>
    <s v="Pooja"/>
    <x v="2"/>
    <s v="rohitsharma@gmail.com"/>
    <s v="8839450687"/>
    <x v="3"/>
    <s v="Average"/>
    <n v="326"/>
    <s v="Delivered"/>
    <n v="25452.399999999998"/>
    <n v="10"/>
    <x v="11"/>
    <x v="0"/>
  </r>
  <r>
    <x v="980"/>
    <x v="52"/>
    <n v="34"/>
    <s v="Male"/>
    <s v="Ludhiana"/>
    <s v="Maharashtra"/>
    <d v="2024-01-06T00:00:00"/>
    <d v="2024-01-13T00:00:00"/>
    <x v="3"/>
    <s v="Accessories"/>
    <n v="4"/>
    <n v="42408"/>
    <n v="15"/>
    <x v="0"/>
    <s v="Vikas"/>
    <x v="2"/>
    <s v="rohitsharma@gmail.com"/>
    <s v="9530919435"/>
    <x v="4"/>
    <s v="Bad"/>
    <n v="89"/>
    <s v="Cancelled"/>
    <n v="144187.19999999998"/>
    <n v="7"/>
    <x v="0"/>
    <x v="1"/>
  </r>
  <r>
    <x v="981"/>
    <x v="19"/>
    <n v="27"/>
    <s v="Female"/>
    <s v="Pune"/>
    <s v="Gujarat"/>
    <d v="2023-07-13T00:00:00"/>
    <d v="2023-07-14T00:00:00"/>
    <x v="3"/>
    <s v="Accessories"/>
    <n v="3"/>
    <n v="50369"/>
    <n v="0"/>
    <x v="3"/>
    <s v="Pooja"/>
    <x v="3"/>
    <s v="vikasagarwal@gmail.com"/>
    <s v="9000312991"/>
    <x v="0"/>
    <s v="Good"/>
    <n v="72"/>
    <s v="Cancelled"/>
    <n v="151107"/>
    <n v="1"/>
    <x v="4"/>
    <x v="0"/>
  </r>
  <r>
    <x v="982"/>
    <x v="82"/>
    <n v="42"/>
    <s v="Male"/>
    <s v="Pune"/>
    <s v="Rajasthan"/>
    <d v="2023-07-07T00:00:00"/>
    <d v="2023-07-10T00:00:00"/>
    <x v="2"/>
    <s v="Accessories"/>
    <n v="3"/>
    <n v="71533"/>
    <n v="10"/>
    <x v="3"/>
    <s v="Neha"/>
    <x v="0"/>
    <s v="amitgupta@gmail.com"/>
    <s v="9715582300"/>
    <x v="0"/>
    <s v="Excellent"/>
    <n v="79"/>
    <s v="Returned"/>
    <n v="193139.1"/>
    <n v="3"/>
    <x v="4"/>
    <x v="0"/>
  </r>
  <r>
    <x v="983"/>
    <x v="6"/>
    <n v="54"/>
    <s v="Male"/>
    <s v="Mumbai"/>
    <s v="Punjab"/>
    <d v="2024-08-23T00:00:00"/>
    <d v="2024-08-31T00:00:00"/>
    <x v="1"/>
    <s v="Accessories"/>
    <n v="5"/>
    <n v="23782"/>
    <n v="15"/>
    <x v="2"/>
    <s v="Karan"/>
    <x v="3"/>
    <s v="poojayadav@gmail.com"/>
    <s v="6251191531"/>
    <x v="2"/>
    <s v="Good"/>
    <n v="90"/>
    <s v="Returned"/>
    <n v="101073.5"/>
    <n v="8"/>
    <x v="3"/>
    <x v="1"/>
  </r>
  <r>
    <x v="984"/>
    <x v="38"/>
    <n v="32"/>
    <s v="Male"/>
    <s v="Delhi"/>
    <s v="Maharashtra"/>
    <d v="2024-10-28T00:00:00"/>
    <d v="2024-11-02T00:00:00"/>
    <x v="5"/>
    <s v="Accessories"/>
    <n v="4"/>
    <n v="55079"/>
    <n v="10"/>
    <x v="3"/>
    <s v="Neha"/>
    <x v="2"/>
    <s v="Missing"/>
    <s v="8990413600"/>
    <x v="3"/>
    <s v="Excellent"/>
    <n v="276"/>
    <s v="Returned"/>
    <n v="198284.4"/>
    <n v="5"/>
    <x v="5"/>
    <x v="1"/>
  </r>
  <r>
    <x v="985"/>
    <x v="42"/>
    <n v="21"/>
    <s v="Male"/>
    <s v="Pune"/>
    <s v="Delhi"/>
    <d v="2023-11-26T00:00:00"/>
    <d v="2023-12-02T00:00:00"/>
    <x v="4"/>
    <s v="Electronics"/>
    <n v="2"/>
    <n v="39783"/>
    <n v="0"/>
    <x v="1"/>
    <s v="Neha"/>
    <x v="3"/>
    <s v="rahulgupta@gmail.com"/>
    <s v="9449270829"/>
    <x v="0"/>
    <s v="Excellent"/>
    <n v="144"/>
    <s v="Returned"/>
    <n v="79566"/>
    <n v="6"/>
    <x v="7"/>
    <x v="0"/>
  </r>
  <r>
    <x v="986"/>
    <x v="38"/>
    <n v="25"/>
    <s v="Male"/>
    <s v="Chandigarh"/>
    <s v="Gujarat"/>
    <d v="2024-02-25T00:00:00"/>
    <d v="2024-03-06T00:00:00"/>
    <x v="3"/>
    <s v="Electronics"/>
    <n v="4"/>
    <n v="23800"/>
    <n v="15"/>
    <x v="3"/>
    <s v="Neha"/>
    <x v="0"/>
    <s v="Missing"/>
    <s v="8248654381"/>
    <x v="4"/>
    <s v="Good"/>
    <n v="260"/>
    <s v="Returned"/>
    <n v="80920"/>
    <n v="10"/>
    <x v="8"/>
    <x v="1"/>
  </r>
  <r>
    <x v="987"/>
    <x v="88"/>
    <n v="42"/>
    <s v="Female"/>
    <s v="Ludhiana"/>
    <s v="Delhi"/>
    <d v="2024-05-30T00:00:00"/>
    <d v="2024-06-09T00:00:00"/>
    <x v="2"/>
    <s v="Accessories"/>
    <n v="2"/>
    <n v="5445"/>
    <n v="10"/>
    <x v="0"/>
    <s v="Sneha"/>
    <x v="0"/>
    <s v="Missing"/>
    <s v="8738529756"/>
    <x v="3"/>
    <s v="Excellent"/>
    <n v="63"/>
    <s v="Delivered"/>
    <n v="9801"/>
    <n v="10"/>
    <x v="6"/>
    <x v="1"/>
  </r>
  <r>
    <x v="988"/>
    <x v="64"/>
    <n v="26"/>
    <s v="Male"/>
    <s v="Ludhiana"/>
    <s v="Rajasthan"/>
    <d v="2023-12-31T00:00:00"/>
    <d v="2024-01-02T00:00:00"/>
    <x v="1"/>
    <s v="Accessories"/>
    <n v="2"/>
    <n v="32271"/>
    <n v="15"/>
    <x v="1"/>
    <s v="Pooja"/>
    <x v="3"/>
    <s v="vikasverma@gmail.com"/>
    <s v="7873422468"/>
    <x v="3"/>
    <s v="Good"/>
    <n v="302"/>
    <s v="Returned"/>
    <n v="54860.7"/>
    <n v="2"/>
    <x v="11"/>
    <x v="0"/>
  </r>
  <r>
    <x v="989"/>
    <x v="58"/>
    <n v="30"/>
    <s v="Male"/>
    <s v="Pune"/>
    <s v="Rajasthan"/>
    <d v="2023-12-17T00:00:00"/>
    <d v="2023-12-24T00:00:00"/>
    <x v="1"/>
    <s v="Accessories"/>
    <n v="4"/>
    <n v="52503"/>
    <n v="15"/>
    <x v="3"/>
    <s v="Anjali"/>
    <x v="0"/>
    <s v="vikasgupta@gmail.com"/>
    <s v="7147734575"/>
    <x v="1"/>
    <s v="Average"/>
    <n v="76"/>
    <s v="Returned"/>
    <n v="178510.19999999998"/>
    <n v="7"/>
    <x v="11"/>
    <x v="0"/>
  </r>
  <r>
    <x v="990"/>
    <x v="69"/>
    <n v="52"/>
    <s v="Female"/>
    <s v="Ahmedabad"/>
    <s v="Delhi"/>
    <d v="2023-10-11T00:00:00"/>
    <d v="2023-10-17T00:00:00"/>
    <x v="1"/>
    <s v="Electronics"/>
    <n v="3"/>
    <n v="65776"/>
    <n v="0"/>
    <x v="3"/>
    <s v="Karan"/>
    <x v="2"/>
    <s v="karanpatel@gmail.com"/>
    <s v="7148039021"/>
    <x v="0"/>
    <s v="Good"/>
    <n v="387"/>
    <s v="Delivered"/>
    <n v="197328"/>
    <n v="6"/>
    <x v="5"/>
    <x v="0"/>
  </r>
  <r>
    <x v="991"/>
    <x v="22"/>
    <n v="43"/>
    <s v="Male"/>
    <s v="Delhi"/>
    <s v="Delhi"/>
    <d v="2023-05-14T00:00:00"/>
    <d v="2023-05-18T00:00:00"/>
    <x v="2"/>
    <s v="Electronics"/>
    <n v="2"/>
    <n v="73327"/>
    <n v="15"/>
    <x v="2"/>
    <s v="Vikas"/>
    <x v="1"/>
    <s v="poojakumar@gmail.com"/>
    <s v="8823777181"/>
    <x v="0"/>
    <s v="Excellent"/>
    <n v="446"/>
    <s v="Delivered"/>
    <n v="124655.9"/>
    <n v="4"/>
    <x v="6"/>
    <x v="0"/>
  </r>
  <r>
    <x v="992"/>
    <x v="49"/>
    <n v="57"/>
    <s v="Male"/>
    <s v="Delhi"/>
    <s v="Punjab"/>
    <d v="2024-02-03T00:00:00"/>
    <d v="2024-02-11T00:00:00"/>
    <x v="4"/>
    <s v="Accessories"/>
    <n v="4"/>
    <n v="63930"/>
    <n v="5"/>
    <x v="3"/>
    <s v="Rahul"/>
    <x v="2"/>
    <s v="vikaskumar@gmail.com"/>
    <s v="7407859939"/>
    <x v="0"/>
    <s v="Good"/>
    <n v="370"/>
    <s v="Cancelled"/>
    <n v="242934"/>
    <n v="8"/>
    <x v="8"/>
    <x v="1"/>
  </r>
  <r>
    <x v="993"/>
    <x v="41"/>
    <n v="34"/>
    <s v="Female"/>
    <s v="Ahmedabad"/>
    <s v="Punjab"/>
    <d v="2023-12-24T00:00:00"/>
    <d v="2023-12-30T00:00:00"/>
    <x v="2"/>
    <s v="Electronics"/>
    <n v="3"/>
    <n v="42109.716287215415"/>
    <n v="15"/>
    <x v="0"/>
    <s v="Anjali"/>
    <x v="0"/>
    <s v="priyakumar@gmail.com"/>
    <s v="7901298841"/>
    <x v="4"/>
    <s v="Bad"/>
    <n v="258"/>
    <s v="Delivered"/>
    <n v="107379.77653239931"/>
    <n v="6"/>
    <x v="11"/>
    <x v="0"/>
  </r>
  <r>
    <x v="994"/>
    <x v="7"/>
    <n v="40"/>
    <s v="Male"/>
    <s v="Pune"/>
    <s v="Maharashtra"/>
    <d v="2024-06-06T00:00:00"/>
    <d v="2024-06-07T00:00:00"/>
    <x v="4"/>
    <s v="Accessories"/>
    <n v="1"/>
    <n v="44611"/>
    <n v="10"/>
    <x v="2"/>
    <s v="Vikas"/>
    <x v="3"/>
    <s v="vikasyadav@gmail.com"/>
    <s v="9041352402"/>
    <x v="0"/>
    <s v="Average"/>
    <n v="379"/>
    <s v="Delivered"/>
    <n v="40149.9"/>
    <n v="1"/>
    <x v="9"/>
    <x v="1"/>
  </r>
  <r>
    <x v="995"/>
    <x v="86"/>
    <n v="48"/>
    <s v="Female"/>
    <s v="Amritsar"/>
    <s v="Delhi"/>
    <d v="2024-03-23T00:00:00"/>
    <d v="2024-03-26T00:00:00"/>
    <x v="4"/>
    <s v="Electronics"/>
    <n v="5"/>
    <n v="17119"/>
    <n v="5"/>
    <x v="1"/>
    <s v="Rahul"/>
    <x v="2"/>
    <s v="rohitsingh@gmail.com"/>
    <s v="6272593602"/>
    <x v="2"/>
    <s v="Excellent"/>
    <n v="262"/>
    <s v="Delivered"/>
    <n v="81315.25"/>
    <n v="3"/>
    <x v="10"/>
    <x v="1"/>
  </r>
  <r>
    <x v="996"/>
    <x v="40"/>
    <n v="35"/>
    <s v="Female"/>
    <s v="Ludhiana"/>
    <s v="Rajasthan"/>
    <d v="2023-10-02T00:00:00"/>
    <d v="2023-10-10T00:00:00"/>
    <x v="3"/>
    <s v="Accessories"/>
    <n v="3"/>
    <n v="18921"/>
    <n v="0"/>
    <x v="0"/>
    <s v="Anjali"/>
    <x v="0"/>
    <s v="amitagarwal@gmail.com"/>
    <s v="6160811091"/>
    <x v="4"/>
    <s v="Average"/>
    <n v="475"/>
    <s v="Cancelled"/>
    <n v="56763"/>
    <n v="8"/>
    <x v="5"/>
    <x v="0"/>
  </r>
  <r>
    <x v="997"/>
    <x v="6"/>
    <n v="19"/>
    <s v="Male"/>
    <s v="Pune"/>
    <s v="Rajasthan"/>
    <d v="2023-01-24T00:00:00"/>
    <d v="2023-02-01T00:00:00"/>
    <x v="4"/>
    <s v="Electronics"/>
    <n v="1"/>
    <n v="26381"/>
    <n v="5"/>
    <x v="3"/>
    <s v="Anjali"/>
    <x v="2"/>
    <s v="poojayadav@gmail.com"/>
    <s v="6845633365"/>
    <x v="2"/>
    <s v="Average"/>
    <n v="402"/>
    <s v="Returned"/>
    <n v="25061.949999999997"/>
    <n v="8"/>
    <x v="0"/>
    <x v="0"/>
  </r>
  <r>
    <x v="998"/>
    <x v="77"/>
    <n v="37"/>
    <s v="Female"/>
    <s v="Mumbai"/>
    <s v="Rajasthan"/>
    <d v="2023-08-28T00:00:00"/>
    <d v="2023-08-29T00:00:00"/>
    <x v="0"/>
    <s v="Accessories"/>
    <n v="1"/>
    <n v="42109.716287215415"/>
    <n v="15"/>
    <x v="3"/>
    <s v="Rohit"/>
    <x v="3"/>
    <s v="rohitkumar@gmail.com"/>
    <s v="7402177318"/>
    <x v="0"/>
    <s v="Average"/>
    <n v="148"/>
    <s v="Cancelled"/>
    <n v="35793.258844133103"/>
    <n v="1"/>
    <x v="3"/>
    <x v="0"/>
  </r>
  <r>
    <x v="999"/>
    <x v="26"/>
    <n v="38"/>
    <s v="Female"/>
    <s v="Amritsar"/>
    <s v="Gujarat"/>
    <d v="2024-09-07T00:00:00"/>
    <d v="2024-09-11T00:00:00"/>
    <x v="1"/>
    <s v="Electronics"/>
    <n v="2"/>
    <n v="36824"/>
    <n v="0"/>
    <x v="3"/>
    <s v="Rahul"/>
    <x v="3"/>
    <s v="karanjoshi@gmail.com"/>
    <s v="8672036081"/>
    <x v="4"/>
    <s v="Average"/>
    <n v="192"/>
    <s v="Returned"/>
    <n v="73648"/>
    <n v="4"/>
    <x v="2"/>
    <x v="1"/>
  </r>
  <r>
    <x v="1000"/>
    <x v="49"/>
    <n v="20"/>
    <s v="Female"/>
    <s v="Ludhiana"/>
    <s v="Gujarat"/>
    <d v="2024-01-06T00:00:00"/>
    <d v="2024-01-10T00:00:00"/>
    <x v="0"/>
    <s v="Accessories"/>
    <n v="2"/>
    <n v="12627"/>
    <n v="0"/>
    <x v="2"/>
    <s v="Amit"/>
    <x v="0"/>
    <s v="vikaskumar@gmail.com"/>
    <s v="7566289289"/>
    <x v="0"/>
    <s v="Bad"/>
    <n v="398"/>
    <s v="Cancelled"/>
    <n v="25254"/>
    <n v="4"/>
    <x v="0"/>
    <x v="1"/>
  </r>
  <r>
    <x v="1001"/>
    <x v="5"/>
    <n v="50"/>
    <s v="Male"/>
    <s v="Pune"/>
    <s v="Delhi"/>
    <d v="2023-02-09T00:00:00"/>
    <d v="2023-02-18T00:00:00"/>
    <x v="4"/>
    <s v="Electronics"/>
    <n v="2"/>
    <n v="66521"/>
    <n v="10"/>
    <x v="2"/>
    <s v="Rahul"/>
    <x v="0"/>
    <s v="karanverma@gmail.com"/>
    <s v="6017812274"/>
    <x v="4"/>
    <s v="Average"/>
    <n v="340"/>
    <s v="Cancelled"/>
    <n v="119737.8"/>
    <n v="9"/>
    <x v="8"/>
    <x v="0"/>
  </r>
  <r>
    <x v="1002"/>
    <x v="2"/>
    <n v="20"/>
    <s v="Female"/>
    <s v="Pune"/>
    <s v="Delhi"/>
    <d v="2023-02-26T00:00:00"/>
    <d v="2023-02-27T00:00:00"/>
    <x v="2"/>
    <s v="Electronics"/>
    <n v="2"/>
    <n v="59196"/>
    <n v="10"/>
    <x v="2"/>
    <s v="Amit"/>
    <x v="1"/>
    <s v="nehapatel@gmail.com"/>
    <s v="7507612916"/>
    <x v="1"/>
    <s v="Average"/>
    <n v="425"/>
    <s v="Cancelled"/>
    <n v="106552.8"/>
    <n v="1"/>
    <x v="8"/>
    <x v="0"/>
  </r>
  <r>
    <x v="1003"/>
    <x v="96"/>
    <n v="39"/>
    <s v="Male"/>
    <s v="Amritsar"/>
    <s v="Punjab"/>
    <d v="2024-05-08T00:00:00"/>
    <d v="2024-05-15T00:00:00"/>
    <x v="2"/>
    <s v="Electronics"/>
    <n v="3"/>
    <n v="76351"/>
    <n v="0"/>
    <x v="3"/>
    <s v="Pooja"/>
    <x v="2"/>
    <s v="rahulmehta@gmail.com"/>
    <s v="7838794205"/>
    <x v="1"/>
    <s v="Average"/>
    <n v="72"/>
    <s v="Delivered"/>
    <n v="229053"/>
    <n v="7"/>
    <x v="6"/>
    <x v="1"/>
  </r>
  <r>
    <x v="1004"/>
    <x v="16"/>
    <n v="20"/>
    <s v="Male"/>
    <s v="Jaipur"/>
    <s v="Rajasthan"/>
    <d v="2024-01-24T00:00:00"/>
    <d v="2024-01-26T00:00:00"/>
    <x v="5"/>
    <s v="Accessories"/>
    <n v="1"/>
    <n v="32095"/>
    <n v="5"/>
    <x v="1"/>
    <s v="Rohit"/>
    <x v="0"/>
    <s v="Missing"/>
    <s v="9455314364"/>
    <x v="4"/>
    <s v="Excellent"/>
    <n v="68"/>
    <s v="Returned"/>
    <n v="30490.25"/>
    <n v="2"/>
    <x v="0"/>
    <x v="1"/>
  </r>
  <r>
    <x v="1005"/>
    <x v="66"/>
    <n v="20"/>
    <s v="Female"/>
    <s v="Delhi"/>
    <s v="Gujarat"/>
    <d v="2024-07-04T00:00:00"/>
    <d v="2024-07-07T00:00:00"/>
    <x v="1"/>
    <s v="Accessories"/>
    <n v="2"/>
    <n v="26558"/>
    <n v="10"/>
    <x v="2"/>
    <s v="Priya"/>
    <x v="3"/>
    <s v="nehasingh@gmail.com"/>
    <s v="8047470658"/>
    <x v="0"/>
    <s v="Bad"/>
    <n v="438"/>
    <s v="Returned"/>
    <n v="47804.4"/>
    <n v="3"/>
    <x v="4"/>
    <x v="1"/>
  </r>
  <r>
    <x v="1006"/>
    <x v="0"/>
    <n v="18"/>
    <s v="Female"/>
    <s v="Mumbai"/>
    <s v="Punjab"/>
    <d v="2023-05-05T00:00:00"/>
    <d v="2023-05-07T00:00:00"/>
    <x v="5"/>
    <s v="Accessories"/>
    <n v="1"/>
    <n v="38174"/>
    <n v="15"/>
    <x v="2"/>
    <s v="Neha"/>
    <x v="3"/>
    <s v="Missing"/>
    <s v="8587805815"/>
    <x v="0"/>
    <s v="Excellent"/>
    <n v="171"/>
    <s v="Delivered"/>
    <n v="32447.899999999998"/>
    <n v="2"/>
    <x v="6"/>
    <x v="0"/>
  </r>
  <r>
    <x v="1007"/>
    <x v="90"/>
    <n v="33"/>
    <s v="Male"/>
    <s v="Mumbai"/>
    <s v="Gujarat"/>
    <d v="2024-05-19T00:00:00"/>
    <d v="2024-05-28T00:00:00"/>
    <x v="4"/>
    <s v="Accessories"/>
    <n v="4"/>
    <n v="46711"/>
    <n v="0"/>
    <x v="1"/>
    <s v="Amit"/>
    <x v="3"/>
    <s v="vikaspatel@gmail.com"/>
    <s v="9677297170"/>
    <x v="4"/>
    <s v="Bad"/>
    <n v="346"/>
    <s v="Delivered"/>
    <n v="186844"/>
    <n v="9"/>
    <x v="6"/>
    <x v="1"/>
  </r>
  <r>
    <x v="1008"/>
    <x v="12"/>
    <n v="34"/>
    <s v="Female"/>
    <s v="Chandigarh"/>
    <s v="Delhi"/>
    <d v="2023-06-06T00:00:00"/>
    <d v="2023-06-10T00:00:00"/>
    <x v="3"/>
    <s v="Electronics"/>
    <n v="3"/>
    <n v="7488"/>
    <n v="10"/>
    <x v="0"/>
    <s v="Rahul"/>
    <x v="1"/>
    <s v="snehasingh@gmail.com"/>
    <s v="7135542946"/>
    <x v="0"/>
    <s v="Good"/>
    <n v="465"/>
    <s v="Cancelled"/>
    <n v="20217.600000000002"/>
    <n v="4"/>
    <x v="9"/>
    <x v="0"/>
  </r>
  <r>
    <x v="1009"/>
    <x v="43"/>
    <n v="33"/>
    <s v="Male"/>
    <s v="Pune"/>
    <s v="Gujarat"/>
    <d v="2024-07-29T00:00:00"/>
    <d v="2024-07-31T00:00:00"/>
    <x v="4"/>
    <s v="Electronics"/>
    <n v="3"/>
    <n v="7807"/>
    <n v="15"/>
    <x v="2"/>
    <s v="Neha"/>
    <x v="1"/>
    <s v="amitpatel@gmail.com"/>
    <s v="6828905139"/>
    <x v="2"/>
    <s v="Excellent"/>
    <n v="188"/>
    <s v="Cancelled"/>
    <n v="19907.849999999999"/>
    <n v="2"/>
    <x v="4"/>
    <x v="1"/>
  </r>
  <r>
    <x v="1010"/>
    <x v="52"/>
    <n v="57"/>
    <s v="Female"/>
    <s v="Ahmedabad"/>
    <s v="Delhi"/>
    <d v="2023-05-15T00:00:00"/>
    <d v="2023-05-18T00:00:00"/>
    <x v="1"/>
    <s v="Electronics"/>
    <n v="2"/>
    <n v="15686"/>
    <n v="0"/>
    <x v="2"/>
    <s v="Sneha"/>
    <x v="0"/>
    <s v="rohitsharma@gmail.com"/>
    <s v="7836618721"/>
    <x v="2"/>
    <s v="Good"/>
    <n v="463"/>
    <s v="Returned"/>
    <n v="31372"/>
    <n v="3"/>
    <x v="6"/>
    <x v="0"/>
  </r>
  <r>
    <x v="1011"/>
    <x v="68"/>
    <n v="20"/>
    <s v="Female"/>
    <s v="Chandigarh"/>
    <s v="Punjab"/>
    <d v="2024-09-25T00:00:00"/>
    <d v="2024-10-05T00:00:00"/>
    <x v="2"/>
    <s v="Accessories"/>
    <n v="3"/>
    <n v="79524"/>
    <n v="0"/>
    <x v="2"/>
    <s v="Sneha"/>
    <x v="2"/>
    <s v="poojasingh@gmail.com"/>
    <s v="6813583677"/>
    <x v="4"/>
    <s v="Bad"/>
    <n v="157"/>
    <s v="Delivered"/>
    <n v="238572"/>
    <n v="10"/>
    <x v="2"/>
    <x v="1"/>
  </r>
  <r>
    <x v="1012"/>
    <x v="67"/>
    <n v="28"/>
    <s v="Male"/>
    <s v="Delhi"/>
    <s v="Punjab"/>
    <d v="2023-02-25T00:00:00"/>
    <d v="2023-02-27T00:00:00"/>
    <x v="5"/>
    <s v="Electronics"/>
    <n v="1"/>
    <n v="52471"/>
    <n v="15"/>
    <x v="0"/>
    <s v="Amit"/>
    <x v="3"/>
    <s v="Missing"/>
    <s v="8399831525"/>
    <x v="2"/>
    <s v="Average"/>
    <n v="370"/>
    <s v="Cancelled"/>
    <n v="44600.35"/>
    <n v="2"/>
    <x v="8"/>
    <x v="0"/>
  </r>
  <r>
    <x v="1013"/>
    <x v="59"/>
    <n v="25"/>
    <s v="Male"/>
    <s v="Jaipur"/>
    <s v="Punjab"/>
    <d v="2024-02-09T00:00:00"/>
    <d v="2024-02-12T00:00:00"/>
    <x v="0"/>
    <s v="Electronics"/>
    <n v="2"/>
    <n v="56010"/>
    <n v="10"/>
    <x v="1"/>
    <s v="Pooja"/>
    <x v="0"/>
    <s v="amitjoshi@gmail.com"/>
    <s v="7967170727"/>
    <x v="4"/>
    <s v="Good"/>
    <n v="96"/>
    <s v="Delivered"/>
    <n v="100818"/>
    <n v="3"/>
    <x v="8"/>
    <x v="1"/>
  </r>
  <r>
    <x v="1014"/>
    <x v="93"/>
    <n v="25"/>
    <s v="Male"/>
    <s v="Pune"/>
    <s v="Gujarat"/>
    <d v="2023-06-04T00:00:00"/>
    <d v="2023-06-14T00:00:00"/>
    <x v="1"/>
    <s v="Accessories"/>
    <n v="2"/>
    <n v="41919"/>
    <n v="15"/>
    <x v="3"/>
    <s v="Pooja"/>
    <x v="1"/>
    <s v="karangupta@gmail.com"/>
    <s v="6444523778"/>
    <x v="1"/>
    <s v="Excellent"/>
    <n v="156"/>
    <s v="Delivered"/>
    <n v="71262.3"/>
    <n v="10"/>
    <x v="9"/>
    <x v="0"/>
  </r>
  <r>
    <x v="1015"/>
    <x v="77"/>
    <n v="29"/>
    <s v="Male"/>
    <s v="Amritsar"/>
    <s v="Punjab"/>
    <d v="2024-05-06T00:00:00"/>
    <d v="2024-05-09T00:00:00"/>
    <x v="2"/>
    <s v="Electronics"/>
    <n v="2"/>
    <n v="31776"/>
    <n v="10"/>
    <x v="2"/>
    <s v="Neha"/>
    <x v="2"/>
    <s v="rohitkumar@gmail.com"/>
    <s v="7882290875"/>
    <x v="2"/>
    <s v="Bad"/>
    <n v="342"/>
    <s v="Returned"/>
    <n v="57196.800000000003"/>
    <n v="3"/>
    <x v="6"/>
    <x v="1"/>
  </r>
  <r>
    <x v="1016"/>
    <x v="72"/>
    <n v="49"/>
    <s v="Male"/>
    <s v="Jaipur"/>
    <s v="Gujarat"/>
    <d v="2023-12-27T00:00:00"/>
    <d v="2024-01-05T00:00:00"/>
    <x v="1"/>
    <s v="Accessories"/>
    <n v="1"/>
    <n v="67334"/>
    <n v="0"/>
    <x v="1"/>
    <s v="Vikas"/>
    <x v="3"/>
    <s v="snehasharma@gmail.com"/>
    <s v="7707054334"/>
    <x v="3"/>
    <s v="Bad"/>
    <n v="439"/>
    <s v="Cancelled"/>
    <n v="67334"/>
    <n v="9"/>
    <x v="11"/>
    <x v="0"/>
  </r>
  <r>
    <x v="1017"/>
    <x v="38"/>
    <n v="31"/>
    <s v="Male"/>
    <s v="Chandigarh"/>
    <s v="Delhi"/>
    <d v="2023-07-08T00:00:00"/>
    <d v="2023-07-15T00:00:00"/>
    <x v="2"/>
    <s v="Accessories"/>
    <n v="5"/>
    <n v="5178"/>
    <n v="0"/>
    <x v="3"/>
    <s v="Rahul"/>
    <x v="3"/>
    <s v="karansharma@gmail.com"/>
    <s v="6886518697"/>
    <x v="3"/>
    <s v="Excellent"/>
    <n v="102"/>
    <s v="Returned"/>
    <n v="25890"/>
    <n v="7"/>
    <x v="4"/>
    <x v="0"/>
  </r>
  <r>
    <x v="1018"/>
    <x v="58"/>
    <n v="51"/>
    <s v="Male"/>
    <s v="Ahmedabad"/>
    <s v="Gujarat"/>
    <d v="2023-06-24T00:00:00"/>
    <d v="2023-07-01T00:00:00"/>
    <x v="3"/>
    <s v="Accessories"/>
    <n v="3"/>
    <n v="68079"/>
    <n v="10"/>
    <x v="0"/>
    <s v="Karan"/>
    <x v="3"/>
    <s v="vikasgupta@gmail.com"/>
    <s v="Missing"/>
    <x v="3"/>
    <s v="Excellent"/>
    <n v="232"/>
    <s v="Delivered"/>
    <n v="183813.30000000002"/>
    <n v="7"/>
    <x v="9"/>
    <x v="0"/>
  </r>
  <r>
    <x v="1019"/>
    <x v="50"/>
    <n v="24"/>
    <s v="Female"/>
    <s v="Chandigarh"/>
    <s v="Rajasthan"/>
    <d v="2024-11-03T00:00:00"/>
    <d v="2024-11-06T00:00:00"/>
    <x v="4"/>
    <s v="Electronics"/>
    <n v="3"/>
    <n v="45070"/>
    <n v="0"/>
    <x v="3"/>
    <s v="Pooja"/>
    <x v="3"/>
    <s v="amitkumar@gmail.com"/>
    <s v="8689377315"/>
    <x v="0"/>
    <s v="Average"/>
    <n v="56"/>
    <s v="Cancelled"/>
    <n v="135210"/>
    <n v="3"/>
    <x v="7"/>
    <x v="1"/>
  </r>
  <r>
    <x v="1020"/>
    <x v="47"/>
    <n v="48"/>
    <s v="Male"/>
    <s v="Delhi"/>
    <s v="Delhi"/>
    <d v="2023-10-07T00:00:00"/>
    <d v="2023-10-15T00:00:00"/>
    <x v="4"/>
    <s v="Accessories"/>
    <n v="4"/>
    <n v="9637"/>
    <n v="15"/>
    <x v="0"/>
    <s v="Anjali"/>
    <x v="1"/>
    <s v="nehaagarwal@gmail.com"/>
    <s v="9109321040"/>
    <x v="0"/>
    <s v="Good"/>
    <n v="466"/>
    <s v="Cancelled"/>
    <n v="32765.8"/>
    <n v="8"/>
    <x v="5"/>
    <x v="0"/>
  </r>
  <r>
    <x v="1021"/>
    <x v="82"/>
    <n v="39"/>
    <s v="Female"/>
    <s v="Mumbai"/>
    <s v="Delhi"/>
    <d v="2023-05-30T00:00:00"/>
    <d v="2023-06-03T00:00:00"/>
    <x v="4"/>
    <s v="Electronics"/>
    <n v="1"/>
    <n v="26692"/>
    <n v="15"/>
    <x v="2"/>
    <s v="Priya"/>
    <x v="1"/>
    <s v="amitgupta@gmail.com"/>
    <s v="Missing"/>
    <x v="1"/>
    <s v="Average"/>
    <n v="458"/>
    <s v="Delivered"/>
    <n v="22688.2"/>
    <n v="4"/>
    <x v="6"/>
    <x v="0"/>
  </r>
  <r>
    <x v="1022"/>
    <x v="25"/>
    <n v="22"/>
    <s v="Male"/>
    <s v="Ahmedabad"/>
    <s v="Maharashtra"/>
    <d v="2023-02-24T00:00:00"/>
    <d v="2023-03-06T00:00:00"/>
    <x v="3"/>
    <s v="Electronics"/>
    <n v="2"/>
    <n v="57358"/>
    <n v="5"/>
    <x v="0"/>
    <s v="Vikas"/>
    <x v="1"/>
    <s v="poojasharma@gmail.com"/>
    <s v="8898306977"/>
    <x v="0"/>
    <s v="Average"/>
    <n v="312"/>
    <s v="Cancelled"/>
    <n v="108980.2"/>
    <n v="10"/>
    <x v="8"/>
    <x v="0"/>
  </r>
  <r>
    <x v="1023"/>
    <x v="97"/>
    <n v="47"/>
    <s v="Male"/>
    <s v="Pune"/>
    <s v="Maharashtra"/>
    <d v="2024-05-15T00:00:00"/>
    <d v="2024-05-24T00:00:00"/>
    <x v="0"/>
    <s v="Accessories"/>
    <n v="2"/>
    <n v="42109.716287215415"/>
    <n v="15"/>
    <x v="3"/>
    <s v="Neha"/>
    <x v="2"/>
    <s v="vikasjoshi@gmail.com"/>
    <s v="6675756782"/>
    <x v="4"/>
    <s v="Good"/>
    <n v="452"/>
    <s v="Delivered"/>
    <n v="71586.517688266205"/>
    <n v="9"/>
    <x v="6"/>
    <x v="1"/>
  </r>
  <r>
    <x v="1024"/>
    <x v="50"/>
    <n v="57"/>
    <s v="Female"/>
    <s v="Ahmedabad"/>
    <s v="Punjab"/>
    <d v="2023-09-29T00:00:00"/>
    <d v="2023-10-03T00:00:00"/>
    <x v="1"/>
    <s v="Electronics"/>
    <n v="5"/>
    <n v="46777"/>
    <n v="15"/>
    <x v="1"/>
    <s v="Vikas"/>
    <x v="0"/>
    <s v="amitkumar@gmail.com"/>
    <s v="6492826234"/>
    <x v="3"/>
    <s v="Good"/>
    <n v="216"/>
    <s v="Cancelled"/>
    <n v="198802.25"/>
    <n v="4"/>
    <x v="2"/>
    <x v="0"/>
  </r>
  <r>
    <x v="1025"/>
    <x v="36"/>
    <n v="22"/>
    <s v="Male"/>
    <s v="Ahmedabad"/>
    <s v="Gujarat"/>
    <d v="2023-01-08T00:00:00"/>
    <d v="2023-01-12T00:00:00"/>
    <x v="2"/>
    <s v="Accessories"/>
    <n v="1"/>
    <n v="23046"/>
    <n v="15"/>
    <x v="2"/>
    <s v="Amit"/>
    <x v="1"/>
    <s v="rahulsharma@gmail.com"/>
    <s v="7720638192"/>
    <x v="4"/>
    <s v="Good"/>
    <n v="63"/>
    <s v="Returned"/>
    <n v="19589.099999999999"/>
    <n v="4"/>
    <x v="0"/>
    <x v="0"/>
  </r>
  <r>
    <x v="1026"/>
    <x v="58"/>
    <n v="24"/>
    <s v="Male"/>
    <s v="Delhi"/>
    <s v="Gujarat"/>
    <d v="2024-03-22T00:00:00"/>
    <d v="2024-03-26T00:00:00"/>
    <x v="0"/>
    <s v="Electronics"/>
    <n v="4"/>
    <n v="48894"/>
    <n v="5"/>
    <x v="0"/>
    <s v="Pooja"/>
    <x v="2"/>
    <s v="vikasgupta@gmail.com"/>
    <s v="7367931103"/>
    <x v="2"/>
    <s v="Good"/>
    <n v="347"/>
    <s v="Cancelled"/>
    <n v="185797.19999999998"/>
    <n v="4"/>
    <x v="10"/>
    <x v="1"/>
  </r>
  <r>
    <x v="1027"/>
    <x v="74"/>
    <n v="33"/>
    <s v="Female"/>
    <s v="Mumbai"/>
    <s v="Punjab"/>
    <d v="2023-01-31T00:00:00"/>
    <d v="2023-02-09T00:00:00"/>
    <x v="5"/>
    <s v="Accessories"/>
    <n v="2"/>
    <n v="22872"/>
    <n v="10"/>
    <x v="1"/>
    <s v="Sneha"/>
    <x v="3"/>
    <s v="poojaverma@gmail.com"/>
    <s v="8220667020"/>
    <x v="1"/>
    <s v="Excellent"/>
    <n v="337"/>
    <s v="Returned"/>
    <n v="41169.599999999999"/>
    <n v="9"/>
    <x v="0"/>
    <x v="0"/>
  </r>
  <r>
    <x v="1028"/>
    <x v="17"/>
    <n v="41"/>
    <s v="Female"/>
    <s v="Chandigarh"/>
    <s v="Maharashtra"/>
    <d v="2024-09-27T00:00:00"/>
    <d v="2024-09-30T00:00:00"/>
    <x v="1"/>
    <s v="Accessories"/>
    <n v="2.9447852760736195"/>
    <n v="36719"/>
    <n v="0"/>
    <x v="2"/>
    <s v="Amit"/>
    <x v="0"/>
    <s v="rohitpatel@gmail.com"/>
    <s v="7777695125"/>
    <x v="2"/>
    <s v="Average"/>
    <n v="419"/>
    <s v="Cancelled"/>
    <n v="108129.57055214724"/>
    <n v="3"/>
    <x v="2"/>
    <x v="1"/>
  </r>
  <r>
    <x v="1029"/>
    <x v="51"/>
    <n v="27"/>
    <s v="Male"/>
    <s v="Delhi"/>
    <s v="Gujarat"/>
    <d v="2023-12-23T00:00:00"/>
    <d v="2024-01-01T00:00:00"/>
    <x v="3"/>
    <s v="Accessories"/>
    <n v="5"/>
    <n v="61767"/>
    <n v="15"/>
    <x v="2"/>
    <s v="Neha"/>
    <x v="2"/>
    <s v="priyaverma@gmail.com"/>
    <s v="8514849530"/>
    <x v="3"/>
    <s v="Excellent"/>
    <n v="476"/>
    <s v="Delivered"/>
    <n v="262509.75"/>
    <n v="9"/>
    <x v="11"/>
    <x v="0"/>
  </r>
  <r>
    <x v="1030"/>
    <x v="52"/>
    <n v="55"/>
    <s v="Female"/>
    <s v="Delhi"/>
    <s v="Rajasthan"/>
    <d v="2024-08-06T00:00:00"/>
    <d v="2024-08-14T00:00:00"/>
    <x v="4"/>
    <s v="Accessories"/>
    <n v="2"/>
    <n v="42109.716287215415"/>
    <n v="0"/>
    <x v="0"/>
    <s v="Vikas"/>
    <x v="0"/>
    <s v="Missing"/>
    <s v="Missing"/>
    <x v="1"/>
    <s v="Excellent"/>
    <n v="116"/>
    <s v="Returned"/>
    <n v="84219.43257443083"/>
    <n v="8"/>
    <x v="3"/>
    <x v="1"/>
  </r>
  <r>
    <x v="1031"/>
    <x v="3"/>
    <n v="57"/>
    <s v="Female"/>
    <s v="Pune"/>
    <s v="Punjab"/>
    <d v="2023-11-16T00:00:00"/>
    <d v="2023-11-22T00:00:00"/>
    <x v="5"/>
    <s v="Accessories"/>
    <n v="1"/>
    <n v="41740"/>
    <n v="10"/>
    <x v="0"/>
    <s v="Rahul"/>
    <x v="0"/>
    <s v="anjalipatel@gmail.com"/>
    <s v="Missing"/>
    <x v="3"/>
    <s v="Excellent"/>
    <n v="225"/>
    <s v="Delivered"/>
    <n v="37566"/>
    <n v="6"/>
    <x v="7"/>
    <x v="0"/>
  </r>
  <r>
    <x v="1032"/>
    <x v="90"/>
    <n v="58"/>
    <s v="Male"/>
    <s v="Ahmedabad"/>
    <s v="Maharashtra"/>
    <d v="2024-06-29T00:00:00"/>
    <d v="2024-07-06T00:00:00"/>
    <x v="0"/>
    <s v="Electronics"/>
    <n v="2"/>
    <n v="77971"/>
    <n v="15"/>
    <x v="1"/>
    <s v="Vikas"/>
    <x v="1"/>
    <s v="vikaspatel@gmail.com"/>
    <s v="9265416485"/>
    <x v="1"/>
    <s v="Good"/>
    <n v="194"/>
    <s v="Delivered"/>
    <n v="132550.69999999998"/>
    <n v="7"/>
    <x v="9"/>
    <x v="1"/>
  </r>
  <r>
    <x v="1033"/>
    <x v="83"/>
    <n v="21"/>
    <s v="Male"/>
    <s v="Chandigarh"/>
    <s v="Delhi"/>
    <d v="2023-05-05T00:00:00"/>
    <d v="2023-05-11T00:00:00"/>
    <x v="1"/>
    <s v="Electronics"/>
    <n v="2.9447852760736195"/>
    <n v="52114"/>
    <n v="15"/>
    <x v="3"/>
    <s v="Karan"/>
    <x v="0"/>
    <s v="snehayadav@gmail.com"/>
    <s v="7023692592"/>
    <x v="1"/>
    <s v="Excellent"/>
    <n v="336"/>
    <s v="Delivered"/>
    <n v="130444.85889570552"/>
    <n v="6"/>
    <x v="6"/>
    <x v="0"/>
  </r>
  <r>
    <x v="1034"/>
    <x v="73"/>
    <n v="20"/>
    <s v="Female"/>
    <s v="Pune"/>
    <s v="Maharashtra"/>
    <d v="2024-03-21T00:00:00"/>
    <d v="2024-03-30T00:00:00"/>
    <x v="2"/>
    <s v="Accessories"/>
    <n v="5"/>
    <n v="53752"/>
    <n v="0"/>
    <x v="1"/>
    <s v="Rahul"/>
    <x v="1"/>
    <s v="priyaagarwal@gmail.com"/>
    <s v="7371194955"/>
    <x v="0"/>
    <s v="Average"/>
    <n v="142"/>
    <s v="Cancelled"/>
    <n v="268760"/>
    <n v="9"/>
    <x v="10"/>
    <x v="1"/>
  </r>
  <r>
    <x v="1035"/>
    <x v="12"/>
    <n v="49"/>
    <s v="Female"/>
    <s v="Mumbai"/>
    <s v="Rajasthan"/>
    <d v="2024-06-04T00:00:00"/>
    <d v="2024-06-10T00:00:00"/>
    <x v="5"/>
    <s v="Accessories"/>
    <n v="4"/>
    <n v="61972"/>
    <n v="15"/>
    <x v="0"/>
    <s v="Karan"/>
    <x v="2"/>
    <s v="snehasingh@gmail.com"/>
    <s v="9564919592"/>
    <x v="3"/>
    <s v="Average"/>
    <n v="140"/>
    <s v="Cancelled"/>
    <n v="210704.8"/>
    <n v="6"/>
    <x v="9"/>
    <x v="1"/>
  </r>
  <r>
    <x v="1036"/>
    <x v="30"/>
    <n v="26"/>
    <s v="Male"/>
    <s v="Delhi"/>
    <s v="Delhi"/>
    <d v="2024-10-14T00:00:00"/>
    <d v="2024-10-20T00:00:00"/>
    <x v="1"/>
    <s v="Accessories"/>
    <n v="1"/>
    <n v="41294"/>
    <n v="15"/>
    <x v="2"/>
    <s v="Rohit"/>
    <x v="3"/>
    <s v="amitsingh@gmail.com"/>
    <s v="8340934081"/>
    <x v="1"/>
    <s v="Good"/>
    <n v="460"/>
    <s v="Returned"/>
    <n v="35099.9"/>
    <n v="6"/>
    <x v="5"/>
    <x v="1"/>
  </r>
  <r>
    <x v="1037"/>
    <x v="51"/>
    <n v="53"/>
    <s v="Female"/>
    <s v="Chandigarh"/>
    <s v="Gujarat"/>
    <d v="2023-02-12T00:00:00"/>
    <d v="2023-02-14T00:00:00"/>
    <x v="1"/>
    <s v="Electronics"/>
    <n v="2"/>
    <n v="20853"/>
    <n v="10"/>
    <x v="2"/>
    <s v="Rohit"/>
    <x v="0"/>
    <s v="priyaverma@gmail.com"/>
    <s v="6516103793"/>
    <x v="2"/>
    <s v="Excellent"/>
    <n v="135"/>
    <s v="Delivered"/>
    <n v="37535.4"/>
    <n v="2"/>
    <x v="8"/>
    <x v="0"/>
  </r>
  <r>
    <x v="1038"/>
    <x v="21"/>
    <n v="59"/>
    <s v="Male"/>
    <s v="Amritsar"/>
    <s v="Rajasthan"/>
    <d v="2024-02-24T00:00:00"/>
    <d v="2024-03-02T00:00:00"/>
    <x v="0"/>
    <s v="Accessories"/>
    <n v="3"/>
    <n v="43617"/>
    <n v="10"/>
    <x v="3"/>
    <s v="Rohit"/>
    <x v="1"/>
    <s v="Missing"/>
    <s v="8974897506"/>
    <x v="0"/>
    <s v="Average"/>
    <n v="448"/>
    <s v="Cancelled"/>
    <n v="117765.90000000001"/>
    <n v="7"/>
    <x v="8"/>
    <x v="1"/>
  </r>
  <r>
    <x v="1039"/>
    <x v="28"/>
    <n v="54"/>
    <s v="Male"/>
    <s v="Mumbai"/>
    <s v="Delhi"/>
    <d v="2024-06-30T00:00:00"/>
    <d v="2024-07-05T00:00:00"/>
    <x v="5"/>
    <s v="Electronics"/>
    <n v="4"/>
    <n v="19888"/>
    <n v="10"/>
    <x v="1"/>
    <s v="Vikas"/>
    <x v="0"/>
    <s v="nehayadav@gmail.com"/>
    <s v="8048609146"/>
    <x v="4"/>
    <s v="Excellent"/>
    <n v="452"/>
    <s v="Delivered"/>
    <n v="71596.800000000003"/>
    <n v="5"/>
    <x v="9"/>
    <x v="1"/>
  </r>
  <r>
    <x v="1040"/>
    <x v="16"/>
    <n v="42"/>
    <s v="Female"/>
    <s v="Chandigarh"/>
    <s v="Gujarat"/>
    <d v="2023-07-27T00:00:00"/>
    <d v="2023-08-05T00:00:00"/>
    <x v="4"/>
    <s v="Electronics"/>
    <n v="4"/>
    <n v="29751"/>
    <n v="10"/>
    <x v="0"/>
    <s v="Karan"/>
    <x v="1"/>
    <s v="anjaliverma@gmail.com"/>
    <s v="6158645032"/>
    <x v="4"/>
    <s v="Excellent"/>
    <n v="378"/>
    <s v="Delivered"/>
    <n v="107103.6"/>
    <n v="9"/>
    <x v="4"/>
    <x v="0"/>
  </r>
  <r>
    <x v="1041"/>
    <x v="38"/>
    <n v="59"/>
    <s v="Female"/>
    <s v="Delhi"/>
    <s v="Maharashtra"/>
    <d v="2023-11-14T00:00:00"/>
    <d v="2023-11-24T00:00:00"/>
    <x v="0"/>
    <s v="Electronics"/>
    <n v="5"/>
    <n v="72908"/>
    <n v="10"/>
    <x v="3"/>
    <s v="Rahul"/>
    <x v="0"/>
    <s v="karansharma@gmail.com"/>
    <s v="Missing"/>
    <x v="0"/>
    <s v="Good"/>
    <n v="135"/>
    <s v="Cancelled"/>
    <n v="328086"/>
    <n v="10"/>
    <x v="7"/>
    <x v="0"/>
  </r>
  <r>
    <x v="1042"/>
    <x v="77"/>
    <n v="49"/>
    <s v="Male"/>
    <s v="Ahmedabad"/>
    <s v="Gujarat"/>
    <d v="2023-02-17T00:00:00"/>
    <d v="2023-02-21T00:00:00"/>
    <x v="4"/>
    <s v="Electronics"/>
    <n v="2.9447852760736195"/>
    <n v="67071"/>
    <n v="10"/>
    <x v="1"/>
    <s v="Vikas"/>
    <x v="1"/>
    <s v="rohitkumar@gmail.com"/>
    <s v="9387550965"/>
    <x v="2"/>
    <s v="Good"/>
    <n v="451"/>
    <s v="Delivered"/>
    <n v="177758.72392638036"/>
    <n v="4"/>
    <x v="8"/>
    <x v="0"/>
  </r>
  <r>
    <x v="1043"/>
    <x v="96"/>
    <n v="46"/>
    <s v="Male"/>
    <s v="Amritsar"/>
    <s v="Rajasthan"/>
    <d v="2023-10-17T00:00:00"/>
    <d v="2023-10-18T00:00:00"/>
    <x v="4"/>
    <s v="Electronics"/>
    <n v="5"/>
    <n v="57817"/>
    <n v="15"/>
    <x v="3"/>
    <s v="Rohit"/>
    <x v="3"/>
    <s v="rahulmehta@gmail.com"/>
    <s v="7067629578"/>
    <x v="2"/>
    <s v="Bad"/>
    <n v="460"/>
    <s v="Returned"/>
    <n v="245722.25"/>
    <n v="1"/>
    <x v="5"/>
    <x v="0"/>
  </r>
  <r>
    <x v="1044"/>
    <x v="25"/>
    <n v="58"/>
    <s v="Female"/>
    <s v="Mumbai"/>
    <s v="Delhi"/>
    <d v="2023-03-10T00:00:00"/>
    <d v="2023-03-11T00:00:00"/>
    <x v="3"/>
    <s v="Accessories"/>
    <n v="4"/>
    <n v="76724"/>
    <n v="5"/>
    <x v="2"/>
    <s v="Anjali"/>
    <x v="2"/>
    <s v="poojasharma@gmail.com"/>
    <s v="7893200764"/>
    <x v="2"/>
    <s v="Excellent"/>
    <n v="310"/>
    <s v="Cancelled"/>
    <n v="291551.2"/>
    <n v="1"/>
    <x v="10"/>
    <x v="0"/>
  </r>
  <r>
    <x v="1045"/>
    <x v="66"/>
    <n v="52"/>
    <s v="Male"/>
    <s v="Ahmedabad"/>
    <s v="Delhi"/>
    <d v="2023-01-09T00:00:00"/>
    <d v="2023-01-12T00:00:00"/>
    <x v="1"/>
    <s v="Electronics"/>
    <n v="5"/>
    <n v="5924"/>
    <n v="15"/>
    <x v="3"/>
    <s v="Priya"/>
    <x v="0"/>
    <s v="nehasingh@gmail.com"/>
    <s v="9124807153"/>
    <x v="0"/>
    <s v="Average"/>
    <n v="439"/>
    <s v="Returned"/>
    <n v="25177"/>
    <n v="3"/>
    <x v="0"/>
    <x v="0"/>
  </r>
  <r>
    <x v="1046"/>
    <x v="48"/>
    <n v="51"/>
    <s v="Female"/>
    <s v="Ahmedabad"/>
    <s v="Punjab"/>
    <d v="2024-11-28T00:00:00"/>
    <d v="2024-12-07T00:00:00"/>
    <x v="0"/>
    <s v="Accessories"/>
    <n v="2"/>
    <n v="56663"/>
    <n v="15"/>
    <x v="3"/>
    <s v="Pooja"/>
    <x v="2"/>
    <s v="anjalijoshi@gmail.com"/>
    <s v="Missing"/>
    <x v="1"/>
    <s v="Excellent"/>
    <n v="155"/>
    <s v="Returned"/>
    <n v="96327.099999999991"/>
    <n v="9"/>
    <x v="7"/>
    <x v="1"/>
  </r>
  <r>
    <x v="1047"/>
    <x v="70"/>
    <n v="49"/>
    <s v="Female"/>
    <s v="Chandigarh"/>
    <s v="Punjab"/>
    <d v="2024-11-27T00:00:00"/>
    <d v="2024-12-03T00:00:00"/>
    <x v="5"/>
    <s v="Accessories"/>
    <n v="4"/>
    <n v="37462"/>
    <n v="10"/>
    <x v="1"/>
    <s v="Rahul"/>
    <x v="2"/>
    <s v="amityadav@gmail.com"/>
    <s v="6866538866"/>
    <x v="0"/>
    <s v="Average"/>
    <n v="94"/>
    <s v="Returned"/>
    <n v="134863.20000000001"/>
    <n v="6"/>
    <x v="7"/>
    <x v="1"/>
  </r>
  <r>
    <x v="1048"/>
    <x v="88"/>
    <n v="60"/>
    <s v="Female"/>
    <s v="Jaipur"/>
    <s v="Delhi"/>
    <d v="2024-11-14T00:00:00"/>
    <d v="2024-11-22T00:00:00"/>
    <x v="5"/>
    <s v="Electronics"/>
    <n v="3"/>
    <n v="60143"/>
    <n v="0"/>
    <x v="2"/>
    <s v="Amit"/>
    <x v="1"/>
    <s v="vikasmehta@gmail.com"/>
    <s v="9710432331"/>
    <x v="4"/>
    <s v="Good"/>
    <n v="214"/>
    <s v="Returned"/>
    <n v="180429"/>
    <n v="8"/>
    <x v="7"/>
    <x v="1"/>
  </r>
  <r>
    <x v="1049"/>
    <x v="38"/>
    <n v="50"/>
    <s v="Female"/>
    <s v="Ludhiana"/>
    <s v="Maharashtra"/>
    <d v="2023-11-02T00:00:00"/>
    <d v="2023-11-11T00:00:00"/>
    <x v="2"/>
    <s v="Electronics"/>
    <n v="4"/>
    <n v="78176"/>
    <n v="10"/>
    <x v="0"/>
    <s v="Pooja"/>
    <x v="1"/>
    <s v="karansharma@gmail.com"/>
    <s v="9524903645"/>
    <x v="3"/>
    <s v="Bad"/>
    <n v="187"/>
    <s v="Returned"/>
    <n v="281433.60000000003"/>
    <n v="9"/>
    <x v="7"/>
    <x v="0"/>
  </r>
  <r>
    <x v="1050"/>
    <x v="32"/>
    <n v="47"/>
    <s v="Female"/>
    <s v="Jaipur"/>
    <s v="Delhi"/>
    <d v="2024-08-21T00:00:00"/>
    <d v="2024-08-24T00:00:00"/>
    <x v="0"/>
    <s v="Electronics"/>
    <n v="1"/>
    <n v="46906"/>
    <n v="10"/>
    <x v="1"/>
    <s v="Pooja"/>
    <x v="2"/>
    <s v="rahuljoshi@gmail.com"/>
    <s v="7105898486"/>
    <x v="0"/>
    <s v="Good"/>
    <n v="173"/>
    <s v="Returned"/>
    <n v="42215.4"/>
    <n v="3"/>
    <x v="3"/>
    <x v="1"/>
  </r>
  <r>
    <x v="1051"/>
    <x v="99"/>
    <n v="33"/>
    <s v="Male"/>
    <s v="Ahmedabad"/>
    <s v="Rajasthan"/>
    <d v="2023-04-19T00:00:00"/>
    <d v="2023-04-25T00:00:00"/>
    <x v="4"/>
    <s v="Electronics"/>
    <n v="2"/>
    <n v="36085"/>
    <n v="10"/>
    <x v="0"/>
    <s v="Pooja"/>
    <x v="3"/>
    <s v="snehaverma@gmail.com"/>
    <s v="7001436114"/>
    <x v="1"/>
    <s v="Good"/>
    <n v="85"/>
    <s v="Delivered"/>
    <n v="64953"/>
    <n v="6"/>
    <x v="1"/>
    <x v="0"/>
  </r>
  <r>
    <x v="1052"/>
    <x v="30"/>
    <n v="36"/>
    <s v="Male"/>
    <s v="Ahmedabad"/>
    <s v="Rajasthan"/>
    <d v="2024-03-18T00:00:00"/>
    <d v="2024-03-20T00:00:00"/>
    <x v="4"/>
    <s v="Electronics"/>
    <n v="5"/>
    <n v="9689"/>
    <n v="10"/>
    <x v="1"/>
    <s v="Karan"/>
    <x v="2"/>
    <s v="amitsingh@gmail.com"/>
    <s v="9237425670"/>
    <x v="4"/>
    <s v="Excellent"/>
    <n v="480"/>
    <s v="Returned"/>
    <n v="43600.5"/>
    <n v="2"/>
    <x v="10"/>
    <x v="1"/>
  </r>
  <r>
    <x v="1053"/>
    <x v="50"/>
    <n v="46"/>
    <s v="Female"/>
    <s v="Jaipur"/>
    <s v="Punjab"/>
    <d v="2024-02-22T00:00:00"/>
    <d v="2024-03-01T00:00:00"/>
    <x v="5"/>
    <s v="Electronics"/>
    <n v="1"/>
    <n v="74962"/>
    <n v="0"/>
    <x v="2"/>
    <s v="Sneha"/>
    <x v="1"/>
    <s v="amitkumar@gmail.com"/>
    <s v="8064716368"/>
    <x v="0"/>
    <s v="Average"/>
    <n v="476"/>
    <s v="Returned"/>
    <n v="74962"/>
    <n v="8"/>
    <x v="8"/>
    <x v="1"/>
  </r>
  <r>
    <x v="1054"/>
    <x v="80"/>
    <n v="48"/>
    <s v="Female"/>
    <s v="Jaipur"/>
    <s v="Punjab"/>
    <d v="2024-06-02T00:00:00"/>
    <d v="2024-06-12T00:00:00"/>
    <x v="5"/>
    <s v="Electronics"/>
    <n v="2"/>
    <n v="53719"/>
    <n v="5"/>
    <x v="0"/>
    <s v="Karan"/>
    <x v="2"/>
    <s v="rahulagarwal@gmail.com"/>
    <s v="6034509317"/>
    <x v="3"/>
    <s v="Excellent"/>
    <n v="279"/>
    <s v="Returned"/>
    <n v="102066.09999999999"/>
    <n v="10"/>
    <x v="9"/>
    <x v="1"/>
  </r>
  <r>
    <x v="1055"/>
    <x v="2"/>
    <n v="50"/>
    <s v="Female"/>
    <s v="Chandigarh"/>
    <s v="Maharashtra"/>
    <d v="2023-04-24T00:00:00"/>
    <d v="2023-05-04T00:00:00"/>
    <x v="4"/>
    <s v="Accessories"/>
    <n v="4"/>
    <n v="32464"/>
    <n v="5"/>
    <x v="1"/>
    <s v="Amit"/>
    <x v="1"/>
    <s v="nehapatel@gmail.com"/>
    <s v="7867310134"/>
    <x v="3"/>
    <s v="Average"/>
    <n v="123"/>
    <s v="Cancelled"/>
    <n v="123363.2"/>
    <n v="10"/>
    <x v="1"/>
    <x v="0"/>
  </r>
  <r>
    <x v="1056"/>
    <x v="71"/>
    <n v="51"/>
    <s v="Female"/>
    <s v="Amritsar"/>
    <s v="Punjab"/>
    <d v="2024-11-24T00:00:00"/>
    <d v="2024-11-25T00:00:00"/>
    <x v="2"/>
    <s v="Electronics"/>
    <n v="2"/>
    <n v="26298"/>
    <n v="5"/>
    <x v="0"/>
    <s v="Rohit"/>
    <x v="3"/>
    <s v="Missing"/>
    <s v="8919098742"/>
    <x v="0"/>
    <s v="Bad"/>
    <n v="205"/>
    <s v="Delivered"/>
    <n v="49966.2"/>
    <n v="1"/>
    <x v="7"/>
    <x v="1"/>
  </r>
  <r>
    <x v="1057"/>
    <x v="72"/>
    <n v="32"/>
    <s v="Female"/>
    <s v="Jaipur"/>
    <s v="Maharashtra"/>
    <d v="2024-09-08T00:00:00"/>
    <d v="2024-09-09T00:00:00"/>
    <x v="2"/>
    <s v="Accessories"/>
    <n v="2"/>
    <n v="71806"/>
    <n v="10"/>
    <x v="1"/>
    <s v="Priya"/>
    <x v="0"/>
    <s v="snehasharma@gmail.com"/>
    <s v="6886238562"/>
    <x v="1"/>
    <s v="Bad"/>
    <n v="244"/>
    <s v="Returned"/>
    <n v="129250.8"/>
    <n v="1"/>
    <x v="2"/>
    <x v="1"/>
  </r>
  <r>
    <x v="1058"/>
    <x v="60"/>
    <n v="28"/>
    <s v="Male"/>
    <s v="Amritsar"/>
    <s v="Rajasthan"/>
    <d v="2024-05-19T00:00:00"/>
    <d v="2024-05-23T00:00:00"/>
    <x v="2"/>
    <s v="Electronics"/>
    <n v="3"/>
    <n v="42109.716287215415"/>
    <n v="5"/>
    <x v="2"/>
    <s v="Vikas"/>
    <x v="2"/>
    <s v="amitsharma@gmail.com"/>
    <s v="9065590816"/>
    <x v="0"/>
    <s v="Excellent"/>
    <n v="418"/>
    <s v="Cancelled"/>
    <n v="120012.69141856393"/>
    <n v="4"/>
    <x v="6"/>
    <x v="1"/>
  </r>
  <r>
    <x v="1059"/>
    <x v="67"/>
    <n v="18"/>
    <s v="Male"/>
    <s v="Amritsar"/>
    <s v="Maharashtra"/>
    <d v="2023-02-27T00:00:00"/>
    <d v="2023-03-02T00:00:00"/>
    <x v="2"/>
    <s v="Accessories"/>
    <n v="2"/>
    <n v="29769"/>
    <n v="10"/>
    <x v="2"/>
    <s v="Rohit"/>
    <x v="2"/>
    <s v="karanyadav@gmail.com"/>
    <s v="8626694114"/>
    <x v="4"/>
    <s v="Good"/>
    <n v="284"/>
    <s v="Delivered"/>
    <n v="53584.200000000004"/>
    <n v="3"/>
    <x v="8"/>
    <x v="0"/>
  </r>
  <r>
    <x v="1060"/>
    <x v="28"/>
    <n v="52"/>
    <s v="Female"/>
    <s v="Mumbai"/>
    <s v="Maharashtra"/>
    <d v="2023-09-17T00:00:00"/>
    <d v="2023-09-26T00:00:00"/>
    <x v="0"/>
    <s v="Accessories"/>
    <n v="1"/>
    <n v="75718"/>
    <n v="0"/>
    <x v="3"/>
    <s v="Vikas"/>
    <x v="0"/>
    <s v="nehayadav@gmail.com"/>
    <s v="6595487251"/>
    <x v="2"/>
    <s v="Excellent"/>
    <n v="472"/>
    <s v="Cancelled"/>
    <n v="75718"/>
    <n v="9"/>
    <x v="2"/>
    <x v="0"/>
  </r>
  <r>
    <x v="1061"/>
    <x v="52"/>
    <n v="39"/>
    <s v="Male"/>
    <s v="Jaipur"/>
    <s v="Rajasthan"/>
    <d v="2024-08-14T00:00:00"/>
    <d v="2024-08-18T00:00:00"/>
    <x v="5"/>
    <s v="Electronics"/>
    <n v="1"/>
    <n v="37148"/>
    <n v="15"/>
    <x v="3"/>
    <s v="Neha"/>
    <x v="0"/>
    <s v="rohitsharma@gmail.com"/>
    <s v="8696150908"/>
    <x v="0"/>
    <s v="Excellent"/>
    <n v="323"/>
    <s v="Returned"/>
    <n v="31575.8"/>
    <n v="4"/>
    <x v="3"/>
    <x v="1"/>
  </r>
  <r>
    <x v="1062"/>
    <x v="11"/>
    <n v="45"/>
    <s v="Male"/>
    <s v="Pune"/>
    <s v="Maharashtra"/>
    <d v="2024-10-03T00:00:00"/>
    <d v="2024-10-04T00:00:00"/>
    <x v="2"/>
    <s v="Accessories"/>
    <n v="1"/>
    <n v="64713"/>
    <n v="15"/>
    <x v="2"/>
    <s v="Amit"/>
    <x v="2"/>
    <s v="Missing"/>
    <s v="7492477968"/>
    <x v="4"/>
    <s v="Excellent"/>
    <n v="349"/>
    <s v="Returned"/>
    <n v="55006.049999999996"/>
    <n v="1"/>
    <x v="5"/>
    <x v="1"/>
  </r>
  <r>
    <x v="1063"/>
    <x v="62"/>
    <n v="36"/>
    <s v="Male"/>
    <s v="Jaipur"/>
    <s v="Delhi"/>
    <d v="2023-05-21T00:00:00"/>
    <d v="2023-05-31T00:00:00"/>
    <x v="0"/>
    <s v="Accessories"/>
    <n v="5"/>
    <n v="37678"/>
    <n v="15"/>
    <x v="3"/>
    <s v="Rohit"/>
    <x v="0"/>
    <s v="anjalisingh@gmail.com"/>
    <s v="7612676545"/>
    <x v="4"/>
    <s v="Good"/>
    <n v="176"/>
    <s v="Cancelled"/>
    <n v="160131.5"/>
    <n v="10"/>
    <x v="6"/>
    <x v="0"/>
  </r>
  <r>
    <x v="1064"/>
    <x v="24"/>
    <n v="33"/>
    <s v="Female"/>
    <s v="Mumbai"/>
    <s v="Rajasthan"/>
    <d v="2024-08-21T00:00:00"/>
    <d v="2024-08-29T00:00:00"/>
    <x v="4"/>
    <s v="Electronics"/>
    <n v="2"/>
    <n v="26489"/>
    <n v="5"/>
    <x v="2"/>
    <s v="Neha"/>
    <x v="3"/>
    <s v="amitmehta@gmail.com"/>
    <s v="7425313660"/>
    <x v="4"/>
    <s v="Good"/>
    <n v="199"/>
    <s v="Delivered"/>
    <n v="50329.1"/>
    <n v="8"/>
    <x v="3"/>
    <x v="1"/>
  </r>
  <r>
    <x v="1065"/>
    <x v="79"/>
    <n v="49"/>
    <s v="Male"/>
    <s v="Amritsar"/>
    <s v="Rajasthan"/>
    <d v="2024-08-18T00:00:00"/>
    <d v="2024-08-20T00:00:00"/>
    <x v="3"/>
    <s v="Electronics"/>
    <n v="1"/>
    <n v="18897"/>
    <n v="10"/>
    <x v="3"/>
    <s v="Neha"/>
    <x v="3"/>
    <s v="rahulpatel@gmail.com"/>
    <s v="9857834530"/>
    <x v="3"/>
    <s v="Excellent"/>
    <n v="199"/>
    <s v="Returned"/>
    <n v="17007.3"/>
    <n v="2"/>
    <x v="3"/>
    <x v="1"/>
  </r>
  <r>
    <x v="1066"/>
    <x v="14"/>
    <n v="20"/>
    <s v="Male"/>
    <s v="Delhi"/>
    <s v="Punjab"/>
    <d v="2023-06-23T00:00:00"/>
    <d v="2023-06-27T00:00:00"/>
    <x v="0"/>
    <s v="Accessories"/>
    <n v="4"/>
    <n v="59436"/>
    <n v="0"/>
    <x v="0"/>
    <s v="Anjali"/>
    <x v="1"/>
    <s v="Missing"/>
    <s v="8022757835"/>
    <x v="4"/>
    <s v="Excellent"/>
    <n v="339"/>
    <s v="Cancelled"/>
    <n v="237744"/>
    <n v="4"/>
    <x v="9"/>
    <x v="0"/>
  </r>
  <r>
    <x v="1067"/>
    <x v="56"/>
    <n v="46"/>
    <s v="Female"/>
    <s v="Delhi"/>
    <s v="Punjab"/>
    <d v="2023-03-20T00:00:00"/>
    <d v="2023-03-26T00:00:00"/>
    <x v="0"/>
    <s v="Electronics"/>
    <n v="1"/>
    <n v="65563"/>
    <n v="5"/>
    <x v="3"/>
    <s v="Pooja"/>
    <x v="0"/>
    <s v="anjalisharma@gmail.com"/>
    <s v="9852537889"/>
    <x v="4"/>
    <s v="Bad"/>
    <n v="293"/>
    <s v="Cancelled"/>
    <n v="62284.85"/>
    <n v="6"/>
    <x v="10"/>
    <x v="0"/>
  </r>
  <r>
    <x v="1068"/>
    <x v="25"/>
    <n v="51"/>
    <s v="Female"/>
    <s v="Chandigarh"/>
    <s v="Rajasthan"/>
    <d v="2023-07-19T00:00:00"/>
    <d v="2023-07-22T00:00:00"/>
    <x v="3"/>
    <s v="Accessories"/>
    <n v="5"/>
    <n v="39279"/>
    <n v="10"/>
    <x v="0"/>
    <s v="Anjali"/>
    <x v="0"/>
    <s v="poojasharma@gmail.com"/>
    <s v="6677006585"/>
    <x v="1"/>
    <s v="Excellent"/>
    <n v="174"/>
    <s v="Delivered"/>
    <n v="176755.5"/>
    <n v="3"/>
    <x v="4"/>
    <x v="0"/>
  </r>
  <r>
    <x v="1069"/>
    <x v="66"/>
    <n v="41"/>
    <s v="Male"/>
    <s v="Delhi"/>
    <s v="Gujarat"/>
    <d v="2023-11-05T00:00:00"/>
    <d v="2023-11-06T00:00:00"/>
    <x v="5"/>
    <s v="Accessories"/>
    <n v="3"/>
    <n v="72534"/>
    <n v="15"/>
    <x v="0"/>
    <s v="Amit"/>
    <x v="2"/>
    <s v="nehasingh@gmail.com"/>
    <s v="8427264477"/>
    <x v="1"/>
    <s v="Average"/>
    <n v="495"/>
    <s v="Delivered"/>
    <n v="184961.69999999998"/>
    <n v="1"/>
    <x v="7"/>
    <x v="0"/>
  </r>
  <r>
    <x v="1070"/>
    <x v="30"/>
    <n v="41"/>
    <s v="Female"/>
    <s v="Jaipur"/>
    <s v="Punjab"/>
    <d v="2023-03-15T00:00:00"/>
    <d v="2023-03-22T00:00:00"/>
    <x v="5"/>
    <s v="Accessories"/>
    <n v="3"/>
    <n v="40962"/>
    <n v="0"/>
    <x v="3"/>
    <s v="Karan"/>
    <x v="3"/>
    <s v="Missing"/>
    <s v="Missing"/>
    <x v="3"/>
    <s v="Average"/>
    <n v="326"/>
    <s v="Delivered"/>
    <n v="122886"/>
    <n v="7"/>
    <x v="10"/>
    <x v="0"/>
  </r>
  <r>
    <x v="1071"/>
    <x v="73"/>
    <n v="44"/>
    <s v="Male"/>
    <s v="Mumbai"/>
    <s v="Rajasthan"/>
    <d v="2024-08-20T00:00:00"/>
    <d v="2024-08-21T00:00:00"/>
    <x v="4"/>
    <s v="Accessories"/>
    <n v="2"/>
    <n v="42109.716287215415"/>
    <n v="15"/>
    <x v="3"/>
    <s v="Vikas"/>
    <x v="2"/>
    <s v="priyaagarwal@gmail.com"/>
    <s v="9199893026"/>
    <x v="2"/>
    <s v="Bad"/>
    <n v="99"/>
    <s v="Cancelled"/>
    <n v="71586.517688266205"/>
    <n v="1"/>
    <x v="3"/>
    <x v="1"/>
  </r>
  <r>
    <x v="1072"/>
    <x v="97"/>
    <n v="26"/>
    <s v="Female"/>
    <s v="Ahmedabad"/>
    <s v="Delhi"/>
    <d v="2024-06-11T00:00:00"/>
    <d v="2024-06-19T00:00:00"/>
    <x v="4"/>
    <s v="Electronics"/>
    <n v="5"/>
    <n v="60402"/>
    <n v="5"/>
    <x v="3"/>
    <s v="Anjali"/>
    <x v="0"/>
    <s v="vikasjoshi@gmail.com"/>
    <s v="6025537803"/>
    <x v="4"/>
    <s v="Good"/>
    <n v="336"/>
    <s v="Cancelled"/>
    <n v="286909.5"/>
    <n v="8"/>
    <x v="9"/>
    <x v="1"/>
  </r>
  <r>
    <x v="1073"/>
    <x v="91"/>
    <n v="56"/>
    <s v="Male"/>
    <s v="Pune"/>
    <s v="Punjab"/>
    <d v="2023-02-21T00:00:00"/>
    <d v="2023-03-03T00:00:00"/>
    <x v="5"/>
    <s v="Accessories"/>
    <n v="5"/>
    <n v="22101"/>
    <n v="0"/>
    <x v="2"/>
    <s v="Sneha"/>
    <x v="2"/>
    <s v="Missing"/>
    <s v="7432180607"/>
    <x v="1"/>
    <s v="Average"/>
    <n v="443"/>
    <s v="Delivered"/>
    <n v="110505"/>
    <n v="10"/>
    <x v="8"/>
    <x v="0"/>
  </r>
  <r>
    <x v="1074"/>
    <x v="70"/>
    <n v="37"/>
    <s v="Female"/>
    <s v="Jaipur"/>
    <s v="Punjab"/>
    <d v="2024-02-08T00:00:00"/>
    <d v="2024-02-09T00:00:00"/>
    <x v="5"/>
    <s v="Electronics"/>
    <n v="2"/>
    <n v="37317"/>
    <n v="0"/>
    <x v="3"/>
    <s v="Priya"/>
    <x v="3"/>
    <s v="Missing"/>
    <s v="7408382676"/>
    <x v="3"/>
    <s v="Good"/>
    <n v="394"/>
    <s v="Returned"/>
    <n v="74634"/>
    <n v="1"/>
    <x v="8"/>
    <x v="1"/>
  </r>
  <r>
    <x v="1075"/>
    <x v="93"/>
    <n v="22"/>
    <s v="Female"/>
    <s v="Delhi"/>
    <s v="Delhi"/>
    <d v="2024-09-27T00:00:00"/>
    <d v="2024-10-06T00:00:00"/>
    <x v="0"/>
    <s v="Accessories"/>
    <n v="4"/>
    <n v="42109.716287215415"/>
    <n v="5"/>
    <x v="1"/>
    <s v="Karan"/>
    <x v="3"/>
    <s v="karangupta@gmail.com"/>
    <s v="8772230296"/>
    <x v="3"/>
    <s v="Excellent"/>
    <n v="284"/>
    <s v="Returned"/>
    <n v="160016.92189141858"/>
    <n v="9"/>
    <x v="2"/>
    <x v="1"/>
  </r>
  <r>
    <x v="1076"/>
    <x v="49"/>
    <n v="31"/>
    <s v="Male"/>
    <s v="Chandigarh"/>
    <s v="Punjab"/>
    <d v="2024-09-13T00:00:00"/>
    <d v="2024-09-22T00:00:00"/>
    <x v="5"/>
    <s v="Accessories"/>
    <n v="1"/>
    <n v="53064"/>
    <n v="10"/>
    <x v="3"/>
    <s v="Karan"/>
    <x v="2"/>
    <s v="vikaskumar@gmail.com"/>
    <s v="6740374544"/>
    <x v="0"/>
    <s v="Excellent"/>
    <n v="452"/>
    <s v="Returned"/>
    <n v="47757.599999999999"/>
    <n v="9"/>
    <x v="2"/>
    <x v="1"/>
  </r>
  <r>
    <x v="1077"/>
    <x v="96"/>
    <n v="54"/>
    <s v="Female"/>
    <s v="Ahmedabad"/>
    <s v="Punjab"/>
    <d v="2024-05-20T00:00:00"/>
    <d v="2024-05-29T00:00:00"/>
    <x v="4"/>
    <s v="Accessories"/>
    <n v="2"/>
    <n v="65933"/>
    <n v="5"/>
    <x v="0"/>
    <s v="Anjali"/>
    <x v="3"/>
    <s v="rahulmehta@gmail.com"/>
    <s v="9866585650"/>
    <x v="2"/>
    <s v="Bad"/>
    <n v="51"/>
    <s v="Delivered"/>
    <n v="125272.7"/>
    <n v="9"/>
    <x v="6"/>
    <x v="1"/>
  </r>
  <r>
    <x v="1078"/>
    <x v="77"/>
    <n v="50"/>
    <s v="Female"/>
    <s v="Ahmedabad"/>
    <s v="Gujarat"/>
    <d v="2023-03-19T00:00:00"/>
    <d v="2023-03-23T00:00:00"/>
    <x v="0"/>
    <s v="Accessories"/>
    <n v="1"/>
    <n v="40624"/>
    <n v="0"/>
    <x v="3"/>
    <s v="Neha"/>
    <x v="3"/>
    <s v="rohitkumar@gmail.com"/>
    <s v="6542946101"/>
    <x v="1"/>
    <s v="Average"/>
    <n v="433"/>
    <s v="Cancelled"/>
    <n v="40624"/>
    <n v="4"/>
    <x v="10"/>
    <x v="0"/>
  </r>
  <r>
    <x v="1079"/>
    <x v="33"/>
    <n v="55"/>
    <s v="Female"/>
    <s v="Ludhiana"/>
    <s v="Rajasthan"/>
    <d v="2023-05-31T00:00:00"/>
    <d v="2023-06-06T00:00:00"/>
    <x v="4"/>
    <s v="Electronics"/>
    <n v="5"/>
    <n v="13112"/>
    <n v="10"/>
    <x v="1"/>
    <s v="Priya"/>
    <x v="0"/>
    <s v="Missing"/>
    <s v="7793725816"/>
    <x v="2"/>
    <s v="Good"/>
    <n v="275"/>
    <s v="Returned"/>
    <n v="59004"/>
    <n v="6"/>
    <x v="6"/>
    <x v="0"/>
  </r>
  <r>
    <x v="1080"/>
    <x v="10"/>
    <n v="29"/>
    <s v="Male"/>
    <s v="Chandigarh"/>
    <s v="Gujarat"/>
    <d v="2023-03-23T00:00:00"/>
    <d v="2023-03-31T00:00:00"/>
    <x v="5"/>
    <s v="Accessories"/>
    <n v="3"/>
    <n v="31937"/>
    <n v="0"/>
    <x v="2"/>
    <s v="Karan"/>
    <x v="1"/>
    <s v="Missing"/>
    <s v="7491063873"/>
    <x v="2"/>
    <s v="Excellent"/>
    <n v="301"/>
    <s v="Returned"/>
    <n v="95811"/>
    <n v="8"/>
    <x v="10"/>
    <x v="0"/>
  </r>
  <r>
    <x v="1081"/>
    <x v="83"/>
    <n v="32"/>
    <s v="Female"/>
    <s v="Mumbai"/>
    <s v="Delhi"/>
    <d v="2024-03-24T00:00:00"/>
    <d v="2024-03-29T00:00:00"/>
    <x v="3"/>
    <s v="Accessories"/>
    <n v="4"/>
    <n v="34431"/>
    <n v="0"/>
    <x v="0"/>
    <s v="Rahul"/>
    <x v="3"/>
    <s v="snehayadav@gmail.com"/>
    <s v="7329561604"/>
    <x v="1"/>
    <s v="Good"/>
    <n v="244"/>
    <s v="Cancelled"/>
    <n v="137724"/>
    <n v="5"/>
    <x v="10"/>
    <x v="1"/>
  </r>
  <r>
    <x v="1082"/>
    <x v="85"/>
    <n v="44"/>
    <s v="Female"/>
    <s v="Ludhiana"/>
    <s v="Rajasthan"/>
    <d v="2023-06-02T00:00:00"/>
    <d v="2023-06-04T00:00:00"/>
    <x v="2"/>
    <s v="Accessories"/>
    <n v="2"/>
    <n v="79002"/>
    <n v="15"/>
    <x v="1"/>
    <s v="Anjali"/>
    <x v="3"/>
    <s v="rahulkumar@gmail.com"/>
    <s v="8842998816"/>
    <x v="1"/>
    <s v="Bad"/>
    <n v="181"/>
    <s v="Delivered"/>
    <n v="134303.4"/>
    <n v="2"/>
    <x v="9"/>
    <x v="0"/>
  </r>
  <r>
    <x v="1083"/>
    <x v="7"/>
    <n v="30"/>
    <s v="Male"/>
    <s v="Mumbai"/>
    <s v="Delhi"/>
    <d v="2023-10-14T00:00:00"/>
    <d v="2023-10-20T00:00:00"/>
    <x v="5"/>
    <s v="Accessories"/>
    <n v="2.9447852760736195"/>
    <n v="19019"/>
    <n v="0"/>
    <x v="2"/>
    <s v="Sneha"/>
    <x v="1"/>
    <s v="vikasyadav@gmail.com"/>
    <s v="8763781318"/>
    <x v="3"/>
    <s v="Bad"/>
    <n v="239"/>
    <s v="Delivered"/>
    <n v="56006.871165644166"/>
    <n v="6"/>
    <x v="5"/>
    <x v="0"/>
  </r>
  <r>
    <x v="1084"/>
    <x v="42"/>
    <n v="18"/>
    <s v="Female"/>
    <s v="Mumbai"/>
    <s v="Gujarat"/>
    <d v="2024-07-19T00:00:00"/>
    <d v="2024-07-25T00:00:00"/>
    <x v="3"/>
    <s v="Electronics"/>
    <n v="1"/>
    <n v="59059"/>
    <n v="10"/>
    <x v="3"/>
    <s v="Amit"/>
    <x v="0"/>
    <s v="rahulgupta@gmail.com"/>
    <s v="9873390102"/>
    <x v="3"/>
    <s v="Good"/>
    <n v="391"/>
    <s v="Delivered"/>
    <n v="53153.1"/>
    <n v="6"/>
    <x v="4"/>
    <x v="1"/>
  </r>
  <r>
    <x v="1085"/>
    <x v="59"/>
    <n v="25"/>
    <s v="Female"/>
    <s v="Delhi"/>
    <s v="Maharashtra"/>
    <d v="2024-05-19T00:00:00"/>
    <d v="2024-05-21T00:00:00"/>
    <x v="5"/>
    <s v="Accessories"/>
    <n v="2.9447852760736195"/>
    <n v="13517"/>
    <n v="10"/>
    <x v="2"/>
    <s v="Priya"/>
    <x v="2"/>
    <s v="amitjoshi@gmail.com"/>
    <s v="6512695502"/>
    <x v="2"/>
    <s v="Average"/>
    <n v="372"/>
    <s v="Delivered"/>
    <n v="35824.196319018403"/>
    <n v="2"/>
    <x v="6"/>
    <x v="1"/>
  </r>
  <r>
    <x v="1086"/>
    <x v="96"/>
    <n v="53"/>
    <s v="Female"/>
    <s v="Jaipur"/>
    <s v="Delhi"/>
    <d v="2024-06-17T00:00:00"/>
    <d v="2024-06-26T00:00:00"/>
    <x v="3"/>
    <s v="Accessories"/>
    <n v="5"/>
    <n v="43073"/>
    <n v="10"/>
    <x v="1"/>
    <s v="Amit"/>
    <x v="1"/>
    <s v="rahulmehta@gmail.com"/>
    <s v="6531326058"/>
    <x v="3"/>
    <s v="Good"/>
    <n v="415"/>
    <s v="Delivered"/>
    <n v="193828.5"/>
    <n v="9"/>
    <x v="9"/>
    <x v="1"/>
  </r>
  <r>
    <x v="1087"/>
    <x v="79"/>
    <n v="29"/>
    <s v="Male"/>
    <s v="Delhi"/>
    <s v="Rajasthan"/>
    <d v="2024-06-04T00:00:00"/>
    <d v="2024-06-14T00:00:00"/>
    <x v="4"/>
    <s v="Accessories"/>
    <n v="1"/>
    <n v="63076"/>
    <n v="10"/>
    <x v="0"/>
    <s v="Vikas"/>
    <x v="0"/>
    <s v="rahulpatel@gmail.com"/>
    <s v="6896869138"/>
    <x v="4"/>
    <s v="Good"/>
    <n v="422"/>
    <s v="Returned"/>
    <n v="56768.4"/>
    <n v="10"/>
    <x v="9"/>
    <x v="1"/>
  </r>
  <r>
    <x v="1088"/>
    <x v="45"/>
    <n v="29"/>
    <s v="Female"/>
    <s v="Pune"/>
    <s v="Maharashtra"/>
    <d v="2023-12-16T00:00:00"/>
    <d v="2023-12-25T00:00:00"/>
    <x v="1"/>
    <s v="Electronics"/>
    <n v="1"/>
    <n v="44545"/>
    <n v="15"/>
    <x v="0"/>
    <s v="Amit"/>
    <x v="0"/>
    <s v="snehakumar@gmail.com"/>
    <s v="7192917706"/>
    <x v="1"/>
    <s v="Good"/>
    <n v="110"/>
    <s v="Delivered"/>
    <n v="37863.25"/>
    <n v="9"/>
    <x v="11"/>
    <x v="0"/>
  </r>
  <r>
    <x v="1089"/>
    <x v="93"/>
    <n v="52"/>
    <s v="Female"/>
    <s v="Delhi"/>
    <s v="Maharashtra"/>
    <d v="2023-02-19T00:00:00"/>
    <d v="2023-03-01T00:00:00"/>
    <x v="0"/>
    <s v="Electronics"/>
    <n v="4"/>
    <n v="79670"/>
    <n v="10"/>
    <x v="2"/>
    <s v="Rahul"/>
    <x v="3"/>
    <s v="karangupta@gmail.com"/>
    <s v="6584514083"/>
    <x v="1"/>
    <s v="Good"/>
    <n v="218"/>
    <s v="Returned"/>
    <n v="286812"/>
    <n v="10"/>
    <x v="8"/>
    <x v="0"/>
  </r>
  <r>
    <x v="1090"/>
    <x v="58"/>
    <n v="24"/>
    <s v="Male"/>
    <s v="Ahmedabad"/>
    <s v="Maharashtra"/>
    <d v="2024-07-15T00:00:00"/>
    <d v="2024-07-24T00:00:00"/>
    <x v="2"/>
    <s v="Accessories"/>
    <n v="5"/>
    <n v="16037"/>
    <n v="15"/>
    <x v="1"/>
    <s v="Priya"/>
    <x v="0"/>
    <s v="vikasgupta@gmail.com"/>
    <s v="8984440200"/>
    <x v="3"/>
    <s v="Good"/>
    <n v="390"/>
    <s v="Delivered"/>
    <n v="68157.25"/>
    <n v="9"/>
    <x v="4"/>
    <x v="1"/>
  </r>
  <r>
    <x v="1091"/>
    <x v="52"/>
    <n v="22"/>
    <s v="Male"/>
    <s v="Ludhiana"/>
    <s v="Rajasthan"/>
    <d v="2024-03-23T00:00:00"/>
    <d v="2024-03-25T00:00:00"/>
    <x v="4"/>
    <s v="Electronics"/>
    <n v="3"/>
    <n v="11400"/>
    <n v="15"/>
    <x v="3"/>
    <s v="Karan"/>
    <x v="0"/>
    <s v="Missing"/>
    <s v="6697676163"/>
    <x v="3"/>
    <s v="Average"/>
    <n v="116"/>
    <s v="Delivered"/>
    <n v="29070"/>
    <n v="2"/>
    <x v="10"/>
    <x v="1"/>
  </r>
  <r>
    <x v="1092"/>
    <x v="20"/>
    <n v="34"/>
    <s v="Male"/>
    <s v="Pune"/>
    <s v="Delhi"/>
    <d v="2023-09-05T00:00:00"/>
    <d v="2023-09-09T00:00:00"/>
    <x v="3"/>
    <s v="Accessories"/>
    <n v="5"/>
    <n v="13043"/>
    <n v="10"/>
    <x v="1"/>
    <s v="Neha"/>
    <x v="2"/>
    <s v="priyasingh@gmail.com"/>
    <s v="6253225341"/>
    <x v="4"/>
    <s v="Bad"/>
    <n v="476"/>
    <s v="Delivered"/>
    <n v="58693.5"/>
    <n v="4"/>
    <x v="2"/>
    <x v="0"/>
  </r>
  <r>
    <x v="1093"/>
    <x v="13"/>
    <n v="32"/>
    <s v="Female"/>
    <s v="Delhi"/>
    <s v="Punjab"/>
    <d v="2023-12-23T00:00:00"/>
    <d v="2023-12-24T00:00:00"/>
    <x v="3"/>
    <s v="Electronics"/>
    <n v="1"/>
    <n v="35590"/>
    <n v="5"/>
    <x v="0"/>
    <s v="Sneha"/>
    <x v="1"/>
    <s v="priyayadav@gmail.com"/>
    <s v="6380479245"/>
    <x v="0"/>
    <s v="Average"/>
    <n v="170"/>
    <s v="Delivered"/>
    <n v="33810.5"/>
    <n v="1"/>
    <x v="11"/>
    <x v="0"/>
  </r>
  <r>
    <x v="1094"/>
    <x v="75"/>
    <n v="59"/>
    <s v="Female"/>
    <s v="Ahmedabad"/>
    <s v="Rajasthan"/>
    <d v="2024-10-05T00:00:00"/>
    <d v="2024-10-15T00:00:00"/>
    <x v="1"/>
    <s v="Accessories"/>
    <n v="2"/>
    <n v="37511"/>
    <n v="5"/>
    <x v="2"/>
    <s v="Pooja"/>
    <x v="0"/>
    <s v="rohitmehta@gmail.com"/>
    <s v="6750532666"/>
    <x v="3"/>
    <s v="Excellent"/>
    <n v="302"/>
    <s v="Delivered"/>
    <n v="71270.899999999994"/>
    <n v="10"/>
    <x v="5"/>
    <x v="1"/>
  </r>
  <r>
    <x v="1095"/>
    <x v="48"/>
    <n v="43"/>
    <s v="Male"/>
    <s v="Ludhiana"/>
    <s v="Maharashtra"/>
    <d v="2024-02-27T00:00:00"/>
    <d v="2024-03-02T00:00:00"/>
    <x v="5"/>
    <s v="Electronics"/>
    <n v="4"/>
    <n v="67770"/>
    <n v="15"/>
    <x v="0"/>
    <s v="Neha"/>
    <x v="3"/>
    <s v="anjalijoshi@gmail.com"/>
    <s v="9751420102"/>
    <x v="0"/>
    <s v="Bad"/>
    <n v="112"/>
    <s v="Returned"/>
    <n v="230418"/>
    <n v="4"/>
    <x v="8"/>
    <x v="1"/>
  </r>
  <r>
    <x v="1096"/>
    <x v="23"/>
    <n v="33"/>
    <s v="Female"/>
    <s v="Ahmedabad"/>
    <s v="Punjab"/>
    <d v="2024-06-06T00:00:00"/>
    <d v="2024-06-16T00:00:00"/>
    <x v="1"/>
    <s v="Electronics"/>
    <n v="2"/>
    <n v="42109.716287215415"/>
    <n v="10"/>
    <x v="1"/>
    <s v="Priya"/>
    <x v="1"/>
    <s v="karanagarwal@gmail.com"/>
    <s v="8580171678"/>
    <x v="0"/>
    <s v="Excellent"/>
    <n v="297"/>
    <s v="Cancelled"/>
    <n v="75797.489316987747"/>
    <n v="10"/>
    <x v="9"/>
    <x v="1"/>
  </r>
  <r>
    <x v="1097"/>
    <x v="46"/>
    <n v="60"/>
    <s v="Female"/>
    <s v="Chandigarh"/>
    <s v="Delhi"/>
    <d v="2024-10-14T00:00:00"/>
    <d v="2024-10-17T00:00:00"/>
    <x v="0"/>
    <s v="Accessories"/>
    <n v="3"/>
    <n v="57776"/>
    <n v="15"/>
    <x v="3"/>
    <s v="Pooja"/>
    <x v="1"/>
    <s v="rohityadav@gmail.com"/>
    <s v="9305825537"/>
    <x v="3"/>
    <s v="Average"/>
    <n v="280"/>
    <s v="Cancelled"/>
    <n v="147328.79999999999"/>
    <n v="3"/>
    <x v="5"/>
    <x v="1"/>
  </r>
  <r>
    <x v="1098"/>
    <x v="47"/>
    <n v="27"/>
    <s v="Female"/>
    <s v="Mumbai"/>
    <s v="Rajasthan"/>
    <d v="2024-10-01T00:00:00"/>
    <d v="2024-10-03T00:00:00"/>
    <x v="0"/>
    <s v="Electronics"/>
    <n v="2"/>
    <n v="35531"/>
    <n v="15"/>
    <x v="3"/>
    <s v="Vikas"/>
    <x v="1"/>
    <s v="nehaagarwal@gmail.com"/>
    <s v="9449426358"/>
    <x v="2"/>
    <s v="Bad"/>
    <n v="140"/>
    <s v="Cancelled"/>
    <n v="60402.7"/>
    <n v="2"/>
    <x v="5"/>
    <x v="1"/>
  </r>
  <r>
    <x v="1099"/>
    <x v="26"/>
    <n v="19"/>
    <s v="Male"/>
    <s v="Jaipur"/>
    <s v="Rajasthan"/>
    <d v="2023-10-22T00:00:00"/>
    <d v="2023-10-25T00:00:00"/>
    <x v="5"/>
    <s v="Electronics"/>
    <n v="3"/>
    <n v="15382"/>
    <n v="15"/>
    <x v="3"/>
    <s v="Anjali"/>
    <x v="0"/>
    <s v="karanjoshi@gmail.com"/>
    <s v="6596153364"/>
    <x v="4"/>
    <s v="Bad"/>
    <n v="430"/>
    <s v="Delivered"/>
    <n v="39224.1"/>
    <n v="3"/>
    <x v="5"/>
    <x v="0"/>
  </r>
  <r>
    <x v="1100"/>
    <x v="72"/>
    <n v="49"/>
    <s v="Female"/>
    <s v="Pune"/>
    <s v="Maharashtra"/>
    <d v="2024-01-20T00:00:00"/>
    <d v="2024-01-22T00:00:00"/>
    <x v="1"/>
    <s v="Electronics"/>
    <n v="5"/>
    <n v="23756"/>
    <n v="5"/>
    <x v="3"/>
    <s v="Rohit"/>
    <x v="0"/>
    <s v="snehasharma@gmail.com"/>
    <s v="7789526624"/>
    <x v="0"/>
    <s v="Bad"/>
    <n v="122"/>
    <s v="Delivered"/>
    <n v="112841"/>
    <n v="2"/>
    <x v="0"/>
    <x v="1"/>
  </r>
  <r>
    <x v="1101"/>
    <x v="41"/>
    <n v="50"/>
    <s v="Female"/>
    <s v="Jaipur"/>
    <s v="Gujarat"/>
    <d v="2023-12-03T00:00:00"/>
    <d v="2023-12-04T00:00:00"/>
    <x v="4"/>
    <s v="Electronics"/>
    <n v="2"/>
    <n v="48120"/>
    <n v="0"/>
    <x v="3"/>
    <s v="Rahul"/>
    <x v="2"/>
    <s v="priyakumar@gmail.com"/>
    <s v="8322180761"/>
    <x v="3"/>
    <s v="Excellent"/>
    <n v="494"/>
    <s v="Returned"/>
    <n v="96240"/>
    <n v="1"/>
    <x v="11"/>
    <x v="0"/>
  </r>
  <r>
    <x v="1102"/>
    <x v="38"/>
    <n v="34"/>
    <s v="Female"/>
    <s v="Pune"/>
    <s v="Delhi"/>
    <d v="2023-10-10T00:00:00"/>
    <d v="2023-10-16T00:00:00"/>
    <x v="1"/>
    <s v="Electronics"/>
    <n v="1"/>
    <n v="15345"/>
    <n v="10"/>
    <x v="2"/>
    <s v="Rohit"/>
    <x v="0"/>
    <s v="karansharma@gmail.com"/>
    <s v="Missing"/>
    <x v="1"/>
    <s v="Average"/>
    <n v="309"/>
    <s v="Returned"/>
    <n v="13810.5"/>
    <n v="6"/>
    <x v="5"/>
    <x v="0"/>
  </r>
  <r>
    <x v="1103"/>
    <x v="88"/>
    <n v="33"/>
    <s v="Female"/>
    <s v="Ahmedabad"/>
    <s v="Gujarat"/>
    <d v="2024-03-11T00:00:00"/>
    <d v="2024-03-15T00:00:00"/>
    <x v="3"/>
    <s v="Accessories"/>
    <n v="1"/>
    <n v="52814"/>
    <n v="10"/>
    <x v="1"/>
    <s v="Amit"/>
    <x v="1"/>
    <s v="vikasmehta@gmail.com"/>
    <s v="8766279912"/>
    <x v="3"/>
    <s v="Excellent"/>
    <n v="410"/>
    <s v="Returned"/>
    <n v="47532.6"/>
    <n v="4"/>
    <x v="10"/>
    <x v="1"/>
  </r>
  <r>
    <x v="1104"/>
    <x v="5"/>
    <n v="44"/>
    <s v="Female"/>
    <s v="Ludhiana"/>
    <s v="Rajasthan"/>
    <d v="2023-10-25T00:00:00"/>
    <d v="2023-10-26T00:00:00"/>
    <x v="1"/>
    <s v="Accessories"/>
    <n v="2"/>
    <n v="66843"/>
    <n v="15"/>
    <x v="2"/>
    <s v="Priya"/>
    <x v="0"/>
    <s v="Missing"/>
    <s v="8078365477"/>
    <x v="2"/>
    <s v="Average"/>
    <n v="392"/>
    <s v="Delivered"/>
    <n v="113633.09999999999"/>
    <n v="1"/>
    <x v="5"/>
    <x v="0"/>
  </r>
  <r>
    <x v="1105"/>
    <x v="34"/>
    <n v="48"/>
    <s v="Male"/>
    <s v="Pune"/>
    <s v="Rajasthan"/>
    <d v="2024-03-28T00:00:00"/>
    <d v="2024-04-03T00:00:00"/>
    <x v="5"/>
    <s v="Electronics"/>
    <n v="5"/>
    <n v="14882"/>
    <n v="10"/>
    <x v="3"/>
    <s v="Vikas"/>
    <x v="1"/>
    <s v="snehapatel@gmail.com"/>
    <s v="7284202292"/>
    <x v="4"/>
    <s v="Good"/>
    <n v="217"/>
    <s v="Cancelled"/>
    <n v="66969"/>
    <n v="6"/>
    <x v="10"/>
    <x v="1"/>
  </r>
  <r>
    <x v="1106"/>
    <x v="38"/>
    <n v="40"/>
    <s v="Female"/>
    <s v="Amritsar"/>
    <s v="Rajasthan"/>
    <d v="2023-09-24T00:00:00"/>
    <d v="2023-09-29T00:00:00"/>
    <x v="3"/>
    <s v="Accessories"/>
    <n v="4"/>
    <n v="27385"/>
    <n v="15"/>
    <x v="0"/>
    <s v="Anjali"/>
    <x v="0"/>
    <s v="karansharma@gmail.com"/>
    <s v="8959656552"/>
    <x v="4"/>
    <s v="Excellent"/>
    <n v="251"/>
    <s v="Cancelled"/>
    <n v="93109"/>
    <n v="5"/>
    <x v="2"/>
    <x v="0"/>
  </r>
  <r>
    <x v="1107"/>
    <x v="13"/>
    <n v="24"/>
    <s v="Female"/>
    <s v="Amritsar"/>
    <s v="Gujarat"/>
    <d v="2023-09-26T00:00:00"/>
    <d v="2023-10-04T00:00:00"/>
    <x v="4"/>
    <s v="Accessories"/>
    <n v="5"/>
    <n v="67807"/>
    <n v="15"/>
    <x v="1"/>
    <s v="Amit"/>
    <x v="2"/>
    <s v="priyayadav@gmail.com"/>
    <s v="6918767622"/>
    <x v="0"/>
    <s v="Bad"/>
    <n v="143"/>
    <s v="Cancelled"/>
    <n v="288179.75"/>
    <n v="8"/>
    <x v="2"/>
    <x v="0"/>
  </r>
  <r>
    <x v="1108"/>
    <x v="75"/>
    <n v="19"/>
    <s v="Female"/>
    <s v="Mumbai"/>
    <s v="Punjab"/>
    <d v="2023-05-11T00:00:00"/>
    <d v="2023-05-15T00:00:00"/>
    <x v="2"/>
    <s v="Electronics"/>
    <n v="1"/>
    <n v="72858"/>
    <n v="10"/>
    <x v="0"/>
    <s v="Sneha"/>
    <x v="3"/>
    <s v="rohitmehta@gmail.com"/>
    <s v="9126721445"/>
    <x v="0"/>
    <s v="Bad"/>
    <n v="66"/>
    <s v="Delivered"/>
    <n v="65572.2"/>
    <n v="4"/>
    <x v="6"/>
    <x v="0"/>
  </r>
  <r>
    <x v="1109"/>
    <x v="84"/>
    <n v="26"/>
    <s v="Female"/>
    <s v="Jaipur"/>
    <s v="Delhi"/>
    <d v="2023-04-03T00:00:00"/>
    <d v="2023-04-12T00:00:00"/>
    <x v="4"/>
    <s v="Electronics"/>
    <n v="1"/>
    <n v="69436"/>
    <n v="10"/>
    <x v="2"/>
    <s v="Neha"/>
    <x v="1"/>
    <s v="priyapatel@gmail.com"/>
    <s v="7286065734"/>
    <x v="4"/>
    <s v="Bad"/>
    <n v="149"/>
    <s v="Returned"/>
    <n v="62492.4"/>
    <n v="9"/>
    <x v="1"/>
    <x v="0"/>
  </r>
  <r>
    <x v="1110"/>
    <x v="11"/>
    <n v="20"/>
    <s v="Female"/>
    <s v="Pune"/>
    <s v="Punjab"/>
    <d v="2023-11-10T00:00:00"/>
    <d v="2023-11-13T00:00:00"/>
    <x v="2"/>
    <s v="Accessories"/>
    <n v="1"/>
    <n v="57399"/>
    <n v="0"/>
    <x v="2"/>
    <s v="Neha"/>
    <x v="0"/>
    <s v="anjaliagarwal@gmail.com"/>
    <s v="9329447802"/>
    <x v="1"/>
    <s v="Average"/>
    <n v="124"/>
    <s v="Cancelled"/>
    <n v="57399"/>
    <n v="3"/>
    <x v="7"/>
    <x v="0"/>
  </r>
  <r>
    <x v="1111"/>
    <x v="4"/>
    <n v="45"/>
    <s v="Male"/>
    <s v="Amritsar"/>
    <s v="Rajasthan"/>
    <d v="2023-11-06T00:00:00"/>
    <d v="2023-11-12T00:00:00"/>
    <x v="1"/>
    <s v="Electronics"/>
    <n v="3"/>
    <n v="18216"/>
    <n v="15"/>
    <x v="1"/>
    <s v="Sneha"/>
    <x v="0"/>
    <s v="Missing"/>
    <s v="8325847254"/>
    <x v="1"/>
    <s v="Average"/>
    <n v="331"/>
    <s v="Returned"/>
    <n v="46450.799999999996"/>
    <n v="6"/>
    <x v="7"/>
    <x v="0"/>
  </r>
  <r>
    <x v="1112"/>
    <x v="10"/>
    <n v="56"/>
    <s v="Female"/>
    <s v="Delhi"/>
    <s v="Gujarat"/>
    <d v="2024-08-30T00:00:00"/>
    <d v="2024-09-05T00:00:00"/>
    <x v="1"/>
    <s v="Electronics"/>
    <n v="5"/>
    <n v="20946"/>
    <n v="5"/>
    <x v="3"/>
    <s v="Pooja"/>
    <x v="2"/>
    <s v="Missing"/>
    <s v="9171777733"/>
    <x v="0"/>
    <s v="Average"/>
    <n v="374"/>
    <s v="Delivered"/>
    <n v="99493.5"/>
    <n v="6"/>
    <x v="3"/>
    <x v="1"/>
  </r>
  <r>
    <x v="1113"/>
    <x v="0"/>
    <n v="25"/>
    <s v="Female"/>
    <s v="Pune"/>
    <s v="Gujarat"/>
    <d v="2024-09-04T00:00:00"/>
    <d v="2024-09-11T00:00:00"/>
    <x v="5"/>
    <s v="Electronics"/>
    <n v="2"/>
    <n v="17001"/>
    <n v="0"/>
    <x v="1"/>
    <s v="Neha"/>
    <x v="3"/>
    <s v="poojamehta@gmail.com"/>
    <s v="7060380249"/>
    <x v="3"/>
    <s v="Excellent"/>
    <n v="112"/>
    <s v="Returned"/>
    <n v="34002"/>
    <n v="7"/>
    <x v="2"/>
    <x v="1"/>
  </r>
  <r>
    <x v="1114"/>
    <x v="36"/>
    <n v="45"/>
    <s v="Female"/>
    <s v="Delhi"/>
    <s v="Punjab"/>
    <d v="2024-05-08T00:00:00"/>
    <d v="2024-05-15T00:00:00"/>
    <x v="3"/>
    <s v="Accessories"/>
    <n v="1"/>
    <n v="12002"/>
    <n v="0"/>
    <x v="1"/>
    <s v="Rahul"/>
    <x v="1"/>
    <s v="rahulsharma@gmail.com"/>
    <s v="6192974924"/>
    <x v="0"/>
    <s v="Good"/>
    <n v="289"/>
    <s v="Returned"/>
    <n v="12002"/>
    <n v="7"/>
    <x v="6"/>
    <x v="1"/>
  </r>
  <r>
    <x v="1115"/>
    <x v="19"/>
    <n v="26"/>
    <s v="Male"/>
    <s v="Pune"/>
    <s v="Punjab"/>
    <d v="2023-09-09T00:00:00"/>
    <d v="2023-09-19T00:00:00"/>
    <x v="3"/>
    <s v="Electronics"/>
    <n v="2"/>
    <n v="24616"/>
    <n v="0"/>
    <x v="2"/>
    <s v="Priya"/>
    <x v="2"/>
    <s v="vikasagarwal@gmail.com"/>
    <s v="9693569511"/>
    <x v="3"/>
    <s v="Excellent"/>
    <n v="257"/>
    <s v="Cancelled"/>
    <n v="49232"/>
    <n v="10"/>
    <x v="2"/>
    <x v="0"/>
  </r>
  <r>
    <x v="1116"/>
    <x v="30"/>
    <n v="48"/>
    <s v="Male"/>
    <s v="Ahmedabad"/>
    <s v="Rajasthan"/>
    <d v="2024-10-27T00:00:00"/>
    <d v="2024-11-02T00:00:00"/>
    <x v="0"/>
    <s v="Electronics"/>
    <n v="2.9447852760736195"/>
    <n v="35826"/>
    <n v="15"/>
    <x v="3"/>
    <s v="Priya"/>
    <x v="2"/>
    <s v="amitsingh@gmail.com"/>
    <s v="Missing"/>
    <x v="2"/>
    <s v="Average"/>
    <n v="232"/>
    <s v="Cancelled"/>
    <n v="89674.895705521456"/>
    <n v="6"/>
    <x v="5"/>
    <x v="1"/>
  </r>
  <r>
    <x v="1117"/>
    <x v="41"/>
    <n v="47"/>
    <s v="Female"/>
    <s v="Amritsar"/>
    <s v="Punjab"/>
    <d v="2023-12-24T00:00:00"/>
    <d v="2023-12-26T00:00:00"/>
    <x v="5"/>
    <s v="Electronics"/>
    <n v="5"/>
    <n v="25619"/>
    <n v="0"/>
    <x v="2"/>
    <s v="Priya"/>
    <x v="2"/>
    <s v="priyakumar@gmail.com"/>
    <s v="6149247154"/>
    <x v="4"/>
    <s v="Good"/>
    <n v="250"/>
    <s v="Returned"/>
    <n v="128095"/>
    <n v="2"/>
    <x v="11"/>
    <x v="0"/>
  </r>
  <r>
    <x v="1118"/>
    <x v="24"/>
    <n v="54"/>
    <s v="Female"/>
    <s v="Chandigarh"/>
    <s v="Rajasthan"/>
    <d v="2023-11-12T00:00:00"/>
    <d v="2023-11-13T00:00:00"/>
    <x v="4"/>
    <s v="Accessories"/>
    <n v="2.9447852760736195"/>
    <n v="32794"/>
    <n v="5"/>
    <x v="2"/>
    <s v="Anjali"/>
    <x v="2"/>
    <s v="amitmehta@gmail.com"/>
    <s v="6558584961"/>
    <x v="4"/>
    <s v="Excellent"/>
    <n v="387"/>
    <s v="Cancelled"/>
    <n v="91742.723926380364"/>
    <n v="1"/>
    <x v="7"/>
    <x v="0"/>
  </r>
  <r>
    <x v="1119"/>
    <x v="84"/>
    <n v="23"/>
    <s v="Female"/>
    <s v="Delhi"/>
    <s v="Gujarat"/>
    <d v="2023-07-26T00:00:00"/>
    <d v="2023-07-28T00:00:00"/>
    <x v="4"/>
    <s v="Electronics"/>
    <n v="4"/>
    <n v="37549"/>
    <n v="0"/>
    <x v="0"/>
    <s v="Amit"/>
    <x v="3"/>
    <s v="priyapatel@gmail.com"/>
    <s v="9045356723"/>
    <x v="2"/>
    <s v="Good"/>
    <n v="82"/>
    <s v="Cancelled"/>
    <n v="150196"/>
    <n v="2"/>
    <x v="4"/>
    <x v="0"/>
  </r>
  <r>
    <x v="1120"/>
    <x v="87"/>
    <n v="49"/>
    <s v="Female"/>
    <s v="Chandigarh"/>
    <s v="Maharashtra"/>
    <d v="2024-10-26T00:00:00"/>
    <d v="2024-11-03T00:00:00"/>
    <x v="2"/>
    <s v="Electronics"/>
    <n v="1"/>
    <n v="30515"/>
    <n v="0"/>
    <x v="1"/>
    <s v="Karan"/>
    <x v="3"/>
    <s v="snehamehta@gmail.com"/>
    <s v="8117124344"/>
    <x v="3"/>
    <s v="Average"/>
    <n v="161"/>
    <s v="Delivered"/>
    <n v="30515"/>
    <n v="8"/>
    <x v="5"/>
    <x v="1"/>
  </r>
  <r>
    <x v="1121"/>
    <x v="45"/>
    <n v="56"/>
    <s v="Female"/>
    <s v="Ahmedabad"/>
    <s v="Delhi"/>
    <d v="2023-02-20T00:00:00"/>
    <d v="2023-02-23T00:00:00"/>
    <x v="3"/>
    <s v="Accessories"/>
    <n v="3"/>
    <n v="18114"/>
    <n v="0"/>
    <x v="3"/>
    <s v="Vikas"/>
    <x v="1"/>
    <s v="snehakumar@gmail.com"/>
    <s v="6807420341"/>
    <x v="0"/>
    <s v="Average"/>
    <n v="275"/>
    <s v="Returned"/>
    <n v="54342"/>
    <n v="3"/>
    <x v="8"/>
    <x v="0"/>
  </r>
  <r>
    <x v="1122"/>
    <x v="85"/>
    <n v="28"/>
    <s v="Male"/>
    <s v="Ahmedabad"/>
    <s v="Rajasthan"/>
    <d v="2024-01-14T00:00:00"/>
    <d v="2024-01-20T00:00:00"/>
    <x v="2"/>
    <s v="Accessories"/>
    <n v="1"/>
    <n v="68052"/>
    <n v="15"/>
    <x v="1"/>
    <s v="Vikas"/>
    <x v="1"/>
    <s v="rahulkumar@gmail.com"/>
    <s v="9727039404"/>
    <x v="0"/>
    <s v="Average"/>
    <n v="150"/>
    <s v="Delivered"/>
    <n v="57844.2"/>
    <n v="6"/>
    <x v="0"/>
    <x v="1"/>
  </r>
  <r>
    <x v="1123"/>
    <x v="62"/>
    <n v="22"/>
    <s v="Male"/>
    <s v="Ahmedabad"/>
    <s v="Rajasthan"/>
    <d v="2023-05-18T00:00:00"/>
    <d v="2023-05-21T00:00:00"/>
    <x v="5"/>
    <s v="Accessories"/>
    <n v="1"/>
    <n v="57773"/>
    <n v="0"/>
    <x v="0"/>
    <s v="Neha"/>
    <x v="0"/>
    <s v="Missing"/>
    <s v="7233571766"/>
    <x v="0"/>
    <s v="Excellent"/>
    <n v="330"/>
    <s v="Delivered"/>
    <n v="57773"/>
    <n v="3"/>
    <x v="6"/>
    <x v="0"/>
  </r>
  <r>
    <x v="1124"/>
    <x v="49"/>
    <n v="42"/>
    <s v="Female"/>
    <s v="Mumbai"/>
    <s v="Punjab"/>
    <d v="2024-05-13T00:00:00"/>
    <d v="2024-05-21T00:00:00"/>
    <x v="0"/>
    <s v="Electronics"/>
    <n v="3"/>
    <n v="7216"/>
    <n v="15"/>
    <x v="3"/>
    <s v="Amit"/>
    <x v="1"/>
    <s v="vikaskumar@gmail.com"/>
    <s v="6428862085"/>
    <x v="2"/>
    <s v="Bad"/>
    <n v="299"/>
    <s v="Cancelled"/>
    <n v="18400.8"/>
    <n v="8"/>
    <x v="6"/>
    <x v="1"/>
  </r>
  <r>
    <x v="1125"/>
    <x v="94"/>
    <n v="28"/>
    <s v="Male"/>
    <s v="Delhi"/>
    <s v="Delhi"/>
    <d v="2024-02-22T00:00:00"/>
    <d v="2024-03-02T00:00:00"/>
    <x v="5"/>
    <s v="Accessories"/>
    <n v="2"/>
    <n v="28096"/>
    <n v="15"/>
    <x v="1"/>
    <s v="Pooja"/>
    <x v="0"/>
    <s v="Missing"/>
    <s v="9585519114"/>
    <x v="3"/>
    <s v="Good"/>
    <n v="373"/>
    <s v="Cancelled"/>
    <n v="47763.199999999997"/>
    <n v="9"/>
    <x v="8"/>
    <x v="1"/>
  </r>
  <r>
    <x v="1126"/>
    <x v="54"/>
    <n v="43"/>
    <s v="Male"/>
    <s v="Chandigarh"/>
    <s v="Punjab"/>
    <d v="2024-07-28T00:00:00"/>
    <d v="2024-07-29T00:00:00"/>
    <x v="5"/>
    <s v="Accessories"/>
    <n v="3"/>
    <n v="63355"/>
    <n v="15"/>
    <x v="2"/>
    <s v="Rohit"/>
    <x v="3"/>
    <s v="karankumar@gmail.com"/>
    <s v="9126554895"/>
    <x v="2"/>
    <s v="Bad"/>
    <n v="456"/>
    <s v="Returned"/>
    <n v="161555.25"/>
    <n v="1"/>
    <x v="4"/>
    <x v="1"/>
  </r>
  <r>
    <x v="1127"/>
    <x v="31"/>
    <n v="19"/>
    <s v="Male"/>
    <s v="Pune"/>
    <s v="Delhi"/>
    <d v="2023-03-02T00:00:00"/>
    <d v="2023-03-04T00:00:00"/>
    <x v="1"/>
    <s v="Accessories"/>
    <n v="3"/>
    <n v="77520"/>
    <n v="10"/>
    <x v="3"/>
    <s v="Pooja"/>
    <x v="0"/>
    <s v="nehagupta@gmail.com"/>
    <s v="9715967029"/>
    <x v="2"/>
    <s v="Average"/>
    <n v="155"/>
    <s v="Returned"/>
    <n v="209304"/>
    <n v="2"/>
    <x v="10"/>
    <x v="0"/>
  </r>
  <r>
    <x v="1128"/>
    <x v="29"/>
    <n v="40"/>
    <s v="Male"/>
    <s v="Pune"/>
    <s v="Rajasthan"/>
    <d v="2023-10-26T00:00:00"/>
    <d v="2023-10-30T00:00:00"/>
    <x v="4"/>
    <s v="Electronics"/>
    <n v="5"/>
    <n v="79436"/>
    <n v="0"/>
    <x v="2"/>
    <s v="Anjali"/>
    <x v="3"/>
    <s v="Missing"/>
    <s v="6128039525"/>
    <x v="1"/>
    <s v="Excellent"/>
    <n v="194"/>
    <s v="Cancelled"/>
    <n v="397180"/>
    <n v="4"/>
    <x v="5"/>
    <x v="0"/>
  </r>
  <r>
    <x v="1129"/>
    <x v="52"/>
    <n v="39"/>
    <s v="Female"/>
    <s v="Pune"/>
    <s v="Delhi"/>
    <d v="2023-02-01T00:00:00"/>
    <d v="2023-02-03T00:00:00"/>
    <x v="5"/>
    <s v="Electronics"/>
    <n v="2"/>
    <n v="21719"/>
    <n v="10"/>
    <x v="1"/>
    <s v="Anjali"/>
    <x v="3"/>
    <s v="rohitsharma@gmail.com"/>
    <s v="7427923426"/>
    <x v="2"/>
    <s v="Bad"/>
    <n v="487"/>
    <s v="Delivered"/>
    <n v="39094.200000000004"/>
    <n v="2"/>
    <x v="8"/>
    <x v="0"/>
  </r>
  <r>
    <x v="1130"/>
    <x v="60"/>
    <n v="29"/>
    <s v="Male"/>
    <s v="Jaipur"/>
    <s v="Maharashtra"/>
    <d v="2023-02-07T00:00:00"/>
    <d v="2023-02-17T00:00:00"/>
    <x v="2"/>
    <s v="Accessories"/>
    <n v="5"/>
    <n v="19400"/>
    <n v="0"/>
    <x v="3"/>
    <s v="Vikas"/>
    <x v="1"/>
    <s v="amitsharma@gmail.com"/>
    <s v="9069304989"/>
    <x v="0"/>
    <s v="Good"/>
    <n v="66"/>
    <s v="Cancelled"/>
    <n v="97000"/>
    <n v="10"/>
    <x v="8"/>
    <x v="0"/>
  </r>
  <r>
    <x v="1131"/>
    <x v="70"/>
    <n v="42"/>
    <s v="Female"/>
    <s v="Ahmedabad"/>
    <s v="Gujarat"/>
    <d v="2023-03-17T00:00:00"/>
    <d v="2023-03-24T00:00:00"/>
    <x v="2"/>
    <s v="Electronics"/>
    <n v="2"/>
    <n v="47459"/>
    <n v="0"/>
    <x v="2"/>
    <s v="Neha"/>
    <x v="2"/>
    <s v="Missing"/>
    <s v="9738933776"/>
    <x v="0"/>
    <s v="Average"/>
    <n v="50"/>
    <s v="Cancelled"/>
    <n v="94918"/>
    <n v="7"/>
    <x v="10"/>
    <x v="0"/>
  </r>
  <r>
    <x v="1132"/>
    <x v="30"/>
    <n v="60"/>
    <s v="Female"/>
    <s v="Amritsar"/>
    <s v="Gujarat"/>
    <d v="2024-05-16T00:00:00"/>
    <d v="2024-05-24T00:00:00"/>
    <x v="0"/>
    <s v="Accessories"/>
    <n v="5"/>
    <n v="49400"/>
    <n v="5"/>
    <x v="3"/>
    <s v="Rahul"/>
    <x v="1"/>
    <s v="amitsingh@gmail.com"/>
    <s v="8436198926"/>
    <x v="0"/>
    <s v="Average"/>
    <n v="385"/>
    <s v="Returned"/>
    <n v="234650"/>
    <n v="8"/>
    <x v="6"/>
    <x v="1"/>
  </r>
  <r>
    <x v="1133"/>
    <x v="48"/>
    <n v="34"/>
    <s v="Female"/>
    <s v="Mumbai"/>
    <s v="Rajasthan"/>
    <d v="2023-03-14T00:00:00"/>
    <d v="2023-03-21T00:00:00"/>
    <x v="3"/>
    <s v="Accessories"/>
    <n v="4"/>
    <n v="77331"/>
    <n v="15"/>
    <x v="3"/>
    <s v="Rohit"/>
    <x v="3"/>
    <s v="anjalijoshi@gmail.com"/>
    <s v="7329392512"/>
    <x v="0"/>
    <s v="Bad"/>
    <n v="464"/>
    <s v="Cancelled"/>
    <n v="262925.39999999997"/>
    <n v="7"/>
    <x v="10"/>
    <x v="0"/>
  </r>
  <r>
    <x v="1134"/>
    <x v="16"/>
    <n v="31"/>
    <s v="Male"/>
    <s v="Ludhiana"/>
    <s v="Punjab"/>
    <d v="2024-10-02T00:00:00"/>
    <d v="2024-10-04T00:00:00"/>
    <x v="5"/>
    <s v="Electronics"/>
    <n v="5"/>
    <n v="60306"/>
    <n v="15"/>
    <x v="1"/>
    <s v="Rahul"/>
    <x v="3"/>
    <s v="anjaliverma@gmail.com"/>
    <s v="7824283149"/>
    <x v="0"/>
    <s v="Excellent"/>
    <n v="327"/>
    <s v="Delivered"/>
    <n v="256300.5"/>
    <n v="2"/>
    <x v="5"/>
    <x v="1"/>
  </r>
  <r>
    <x v="1135"/>
    <x v="74"/>
    <n v="19"/>
    <s v="Female"/>
    <s v="Chandigarh"/>
    <s v="Gujarat"/>
    <d v="2024-04-02T00:00:00"/>
    <d v="2024-04-05T00:00:00"/>
    <x v="5"/>
    <s v="Accessories"/>
    <n v="5"/>
    <n v="5811"/>
    <n v="10"/>
    <x v="3"/>
    <s v="Karan"/>
    <x v="2"/>
    <s v="poojaverma@gmail.com"/>
    <s v="7274612415"/>
    <x v="3"/>
    <s v="Excellent"/>
    <n v="275"/>
    <s v="Cancelled"/>
    <n v="26149.5"/>
    <n v="3"/>
    <x v="1"/>
    <x v="1"/>
  </r>
  <r>
    <x v="1136"/>
    <x v="67"/>
    <n v="28"/>
    <s v="Female"/>
    <s v="Amritsar"/>
    <s v="Punjab"/>
    <d v="2024-11-05T00:00:00"/>
    <d v="2024-11-09T00:00:00"/>
    <x v="1"/>
    <s v="Accessories"/>
    <n v="3"/>
    <n v="28177"/>
    <n v="15"/>
    <x v="1"/>
    <s v="Pooja"/>
    <x v="0"/>
    <s v="karanyadav@gmail.com"/>
    <s v="9149286664"/>
    <x v="0"/>
    <s v="Bad"/>
    <n v="54"/>
    <s v="Cancelled"/>
    <n v="71851.349999999991"/>
    <n v="4"/>
    <x v="7"/>
    <x v="1"/>
  </r>
  <r>
    <x v="1137"/>
    <x v="67"/>
    <n v="43"/>
    <s v="Female"/>
    <s v="Amritsar"/>
    <s v="Punjab"/>
    <d v="2023-09-10T00:00:00"/>
    <d v="2023-09-16T00:00:00"/>
    <x v="0"/>
    <s v="Electronics"/>
    <n v="5"/>
    <n v="70690"/>
    <n v="5"/>
    <x v="2"/>
    <s v="Rahul"/>
    <x v="3"/>
    <s v="karanyadav@gmail.com"/>
    <s v="7283085360"/>
    <x v="2"/>
    <s v="Excellent"/>
    <n v="139"/>
    <s v="Returned"/>
    <n v="335777.5"/>
    <n v="6"/>
    <x v="2"/>
    <x v="0"/>
  </r>
  <r>
    <x v="1138"/>
    <x v="38"/>
    <n v="32"/>
    <s v="Female"/>
    <s v="Amritsar"/>
    <s v="Delhi"/>
    <d v="2023-08-29T00:00:00"/>
    <d v="2023-08-31T00:00:00"/>
    <x v="0"/>
    <s v="Accessories"/>
    <n v="1"/>
    <n v="5827"/>
    <n v="0"/>
    <x v="2"/>
    <s v="Karan"/>
    <x v="3"/>
    <s v="Missing"/>
    <s v="6439865683"/>
    <x v="0"/>
    <s v="Excellent"/>
    <n v="474"/>
    <s v="Cancelled"/>
    <n v="5827"/>
    <n v="2"/>
    <x v="3"/>
    <x v="0"/>
  </r>
  <r>
    <x v="1139"/>
    <x v="54"/>
    <n v="26"/>
    <s v="Male"/>
    <s v="Jaipur"/>
    <s v="Punjab"/>
    <d v="2024-08-28T00:00:00"/>
    <d v="2024-08-29T00:00:00"/>
    <x v="1"/>
    <s v="Accessories"/>
    <n v="4"/>
    <n v="31875"/>
    <n v="5"/>
    <x v="2"/>
    <s v="Priya"/>
    <x v="2"/>
    <s v="karankumar@gmail.com"/>
    <s v="6791706168"/>
    <x v="0"/>
    <s v="Bad"/>
    <n v="461"/>
    <s v="Delivered"/>
    <n v="121125"/>
    <n v="1"/>
    <x v="3"/>
    <x v="1"/>
  </r>
  <r>
    <x v="1140"/>
    <x v="97"/>
    <n v="60"/>
    <s v="Male"/>
    <s v="Amritsar"/>
    <s v="Delhi"/>
    <d v="2023-05-20T00:00:00"/>
    <d v="2023-05-26T00:00:00"/>
    <x v="4"/>
    <s v="Electronics"/>
    <n v="3"/>
    <n v="79059"/>
    <n v="10"/>
    <x v="3"/>
    <s v="Pooja"/>
    <x v="2"/>
    <s v="vikasjoshi@gmail.com"/>
    <s v="6495804120"/>
    <x v="0"/>
    <s v="Excellent"/>
    <n v="314"/>
    <s v="Delivered"/>
    <n v="213459.30000000002"/>
    <n v="6"/>
    <x v="6"/>
    <x v="0"/>
  </r>
  <r>
    <x v="1141"/>
    <x v="75"/>
    <n v="51"/>
    <s v="Male"/>
    <s v="Delhi"/>
    <s v="Delhi"/>
    <d v="2023-04-29T00:00:00"/>
    <d v="2023-05-02T00:00:00"/>
    <x v="4"/>
    <s v="Electronics"/>
    <n v="2"/>
    <n v="65353"/>
    <n v="10"/>
    <x v="2"/>
    <s v="Amit"/>
    <x v="3"/>
    <s v="rohitmehta@gmail.com"/>
    <s v="6717920798"/>
    <x v="1"/>
    <s v="Bad"/>
    <n v="93"/>
    <s v="Returned"/>
    <n v="117635.40000000001"/>
    <n v="3"/>
    <x v="1"/>
    <x v="0"/>
  </r>
  <r>
    <x v="1142"/>
    <x v="2"/>
    <n v="21"/>
    <s v="Female"/>
    <s v="Pune"/>
    <s v="Maharashtra"/>
    <d v="2024-07-31T00:00:00"/>
    <d v="2024-08-08T00:00:00"/>
    <x v="0"/>
    <s v="Accessories"/>
    <n v="1"/>
    <n v="67906"/>
    <n v="0"/>
    <x v="1"/>
    <s v="Rahul"/>
    <x v="3"/>
    <s v="Missing"/>
    <s v="6334283421"/>
    <x v="0"/>
    <s v="Good"/>
    <n v="444"/>
    <s v="Delivered"/>
    <n v="67906"/>
    <n v="8"/>
    <x v="4"/>
    <x v="1"/>
  </r>
  <r>
    <x v="1143"/>
    <x v="72"/>
    <n v="29"/>
    <s v="Male"/>
    <s v="Jaipur"/>
    <s v="Maharashtra"/>
    <d v="2024-02-09T00:00:00"/>
    <d v="2024-02-15T00:00:00"/>
    <x v="0"/>
    <s v="Accessories"/>
    <n v="2"/>
    <n v="31774"/>
    <n v="10"/>
    <x v="2"/>
    <s v="Sneha"/>
    <x v="1"/>
    <s v="snehasharma@gmail.com"/>
    <s v="Missing"/>
    <x v="1"/>
    <s v="Excellent"/>
    <n v="461"/>
    <s v="Returned"/>
    <n v="57193.200000000004"/>
    <n v="6"/>
    <x v="8"/>
    <x v="1"/>
  </r>
  <r>
    <x v="1144"/>
    <x v="8"/>
    <n v="43"/>
    <s v="Male"/>
    <s v="Ahmedabad"/>
    <s v="Gujarat"/>
    <d v="2023-06-05T00:00:00"/>
    <d v="2023-06-13T00:00:00"/>
    <x v="1"/>
    <s v="Accessories"/>
    <n v="1"/>
    <n v="6375"/>
    <n v="10"/>
    <x v="2"/>
    <s v="Pooja"/>
    <x v="3"/>
    <s v="Missing"/>
    <s v="8098594843"/>
    <x v="1"/>
    <s v="Excellent"/>
    <n v="221"/>
    <s v="Delivered"/>
    <n v="5737.5"/>
    <n v="8"/>
    <x v="9"/>
    <x v="0"/>
  </r>
  <r>
    <x v="1145"/>
    <x v="61"/>
    <n v="43"/>
    <s v="Female"/>
    <s v="Mumbai"/>
    <s v="Maharashtra"/>
    <d v="2024-01-07T00:00:00"/>
    <d v="2024-01-17T00:00:00"/>
    <x v="4"/>
    <s v="Electronics"/>
    <n v="3"/>
    <n v="59034"/>
    <n v="0"/>
    <x v="0"/>
    <s v="Pooja"/>
    <x v="2"/>
    <s v="anjalikumar@gmail.com"/>
    <s v="7770736229"/>
    <x v="2"/>
    <s v="Excellent"/>
    <n v="374"/>
    <s v="Delivered"/>
    <n v="177102"/>
    <n v="10"/>
    <x v="0"/>
    <x v="1"/>
  </r>
  <r>
    <x v="1146"/>
    <x v="46"/>
    <n v="60"/>
    <s v="Male"/>
    <s v="Delhi"/>
    <s v="Gujarat"/>
    <d v="2023-10-19T00:00:00"/>
    <d v="2023-10-25T00:00:00"/>
    <x v="3"/>
    <s v="Accessories"/>
    <n v="2"/>
    <n v="67098"/>
    <n v="5"/>
    <x v="0"/>
    <s v="Vikas"/>
    <x v="2"/>
    <s v="rohityadav@gmail.com"/>
    <s v="7062102962"/>
    <x v="1"/>
    <s v="Average"/>
    <n v="163"/>
    <s v="Delivered"/>
    <n v="127486.2"/>
    <n v="6"/>
    <x v="5"/>
    <x v="0"/>
  </r>
  <r>
    <x v="1147"/>
    <x v="49"/>
    <n v="28"/>
    <s v="Female"/>
    <s v="Ludhiana"/>
    <s v="Delhi"/>
    <d v="2023-04-09T00:00:00"/>
    <d v="2023-04-10T00:00:00"/>
    <x v="4"/>
    <s v="Accessories"/>
    <n v="5"/>
    <n v="55955"/>
    <n v="0"/>
    <x v="0"/>
    <s v="Rohit"/>
    <x v="0"/>
    <s v="vikaskumar@gmail.com"/>
    <s v="7258950271"/>
    <x v="4"/>
    <s v="Bad"/>
    <n v="223"/>
    <s v="Returned"/>
    <n v="279775"/>
    <n v="1"/>
    <x v="1"/>
    <x v="0"/>
  </r>
  <r>
    <x v="1148"/>
    <x v="27"/>
    <n v="20"/>
    <s v="Male"/>
    <s v="Mumbai"/>
    <s v="Gujarat"/>
    <d v="2024-02-23T00:00:00"/>
    <d v="2024-02-29T00:00:00"/>
    <x v="4"/>
    <s v="Accessories"/>
    <n v="2"/>
    <n v="51580"/>
    <n v="5"/>
    <x v="1"/>
    <s v="Rahul"/>
    <x v="2"/>
    <s v="Missing"/>
    <s v="Missing"/>
    <x v="1"/>
    <s v="Good"/>
    <n v="251"/>
    <s v="Cancelled"/>
    <n v="98002"/>
    <n v="6"/>
    <x v="8"/>
    <x v="1"/>
  </r>
  <r>
    <x v="1149"/>
    <x v="44"/>
    <n v="60"/>
    <s v="Female"/>
    <s v="Amritsar"/>
    <s v="Punjab"/>
    <d v="2024-10-17T00:00:00"/>
    <d v="2024-10-24T00:00:00"/>
    <x v="1"/>
    <s v="Accessories"/>
    <n v="3"/>
    <n v="33140"/>
    <n v="5"/>
    <x v="0"/>
    <s v="Rohit"/>
    <x v="3"/>
    <s v="Missing"/>
    <s v="7771075366"/>
    <x v="0"/>
    <s v="Good"/>
    <n v="65"/>
    <s v="Delivered"/>
    <n v="94449"/>
    <n v="7"/>
    <x v="5"/>
    <x v="1"/>
  </r>
  <r>
    <x v="1150"/>
    <x v="3"/>
    <n v="42"/>
    <s v="Female"/>
    <s v="Ahmedabad"/>
    <s v="Gujarat"/>
    <d v="2023-09-20T00:00:00"/>
    <d v="2023-09-30T00:00:00"/>
    <x v="5"/>
    <s v="Electronics"/>
    <n v="2.9447852760736195"/>
    <n v="23043"/>
    <n v="0"/>
    <x v="1"/>
    <s v="Amit"/>
    <x v="0"/>
    <s v="anjalipatel@gmail.com"/>
    <s v="Missing"/>
    <x v="1"/>
    <s v="Good"/>
    <n v="420"/>
    <s v="Delivered"/>
    <n v="67856.687116564412"/>
    <n v="10"/>
    <x v="2"/>
    <x v="0"/>
  </r>
  <r>
    <x v="1151"/>
    <x v="65"/>
    <n v="58"/>
    <s v="Male"/>
    <s v="Chandigarh"/>
    <s v="Rajasthan"/>
    <d v="2023-03-06T00:00:00"/>
    <d v="2023-03-09T00:00:00"/>
    <x v="1"/>
    <s v="Accessories"/>
    <n v="3"/>
    <n v="44665"/>
    <n v="0"/>
    <x v="0"/>
    <s v="Karan"/>
    <x v="2"/>
    <s v="nehaverma@gmail.com"/>
    <s v="Missing"/>
    <x v="4"/>
    <s v="Excellent"/>
    <n v="321"/>
    <s v="Returned"/>
    <n v="133995"/>
    <n v="3"/>
    <x v="10"/>
    <x v="0"/>
  </r>
  <r>
    <x v="1152"/>
    <x v="78"/>
    <n v="52"/>
    <s v="Female"/>
    <s v="Chandigarh"/>
    <s v="Rajasthan"/>
    <d v="2024-02-19T00:00:00"/>
    <d v="2024-02-22T00:00:00"/>
    <x v="4"/>
    <s v="Accessories"/>
    <n v="2.9447852760736195"/>
    <n v="33067"/>
    <n v="15"/>
    <x v="0"/>
    <s v="Priya"/>
    <x v="0"/>
    <s v="poojaagarwal@gmail.com"/>
    <s v="7297480307"/>
    <x v="2"/>
    <s v="Excellent"/>
    <n v="491"/>
    <s v="Cancelled"/>
    <n v="82768.932515337408"/>
    <n v="3"/>
    <x v="8"/>
    <x v="1"/>
  </r>
  <r>
    <x v="1153"/>
    <x v="54"/>
    <n v="50"/>
    <s v="Male"/>
    <s v="Chandigarh"/>
    <s v="Maharashtra"/>
    <d v="2024-02-01T00:00:00"/>
    <d v="2024-02-10T00:00:00"/>
    <x v="1"/>
    <s v="Accessories"/>
    <n v="3"/>
    <n v="8460"/>
    <n v="5"/>
    <x v="0"/>
    <s v="Pooja"/>
    <x v="0"/>
    <s v="karankumar@gmail.com"/>
    <s v="7259860316"/>
    <x v="4"/>
    <s v="Bad"/>
    <n v="185"/>
    <s v="Cancelled"/>
    <n v="24111"/>
    <n v="9"/>
    <x v="8"/>
    <x v="1"/>
  </r>
  <r>
    <x v="1154"/>
    <x v="99"/>
    <n v="50"/>
    <s v="Male"/>
    <s v="Ahmedabad"/>
    <s v="Rajasthan"/>
    <d v="2023-06-04T00:00:00"/>
    <d v="2023-06-09T00:00:00"/>
    <x v="5"/>
    <s v="Electronics"/>
    <n v="2"/>
    <n v="55514"/>
    <n v="15"/>
    <x v="3"/>
    <s v="Priya"/>
    <x v="1"/>
    <s v="snehaverma@gmail.com"/>
    <s v="6894788933"/>
    <x v="2"/>
    <s v="Excellent"/>
    <n v="452"/>
    <s v="Returned"/>
    <n v="94373.8"/>
    <n v="5"/>
    <x v="9"/>
    <x v="0"/>
  </r>
  <r>
    <x v="1155"/>
    <x v="41"/>
    <n v="18"/>
    <s v="Male"/>
    <s v="Pune"/>
    <s v="Gujarat"/>
    <d v="2023-03-05T00:00:00"/>
    <d v="2023-03-09T00:00:00"/>
    <x v="5"/>
    <s v="Electronics"/>
    <n v="3"/>
    <n v="41499"/>
    <n v="10"/>
    <x v="2"/>
    <s v="Pooja"/>
    <x v="3"/>
    <s v="priyakumar@gmail.com"/>
    <s v="6451887513"/>
    <x v="0"/>
    <s v="Average"/>
    <n v="189"/>
    <s v="Cancelled"/>
    <n v="112047.3"/>
    <n v="4"/>
    <x v="10"/>
    <x v="0"/>
  </r>
  <r>
    <x v="1156"/>
    <x v="22"/>
    <n v="25"/>
    <s v="Female"/>
    <s v="Jaipur"/>
    <s v="Maharashtra"/>
    <d v="2024-07-12T00:00:00"/>
    <d v="2024-07-22T00:00:00"/>
    <x v="4"/>
    <s v="Electronics"/>
    <n v="5"/>
    <n v="46359"/>
    <n v="5"/>
    <x v="1"/>
    <s v="Anjali"/>
    <x v="1"/>
    <s v="poojakumar@gmail.com"/>
    <s v="7750448188"/>
    <x v="1"/>
    <s v="Bad"/>
    <n v="265"/>
    <s v="Cancelled"/>
    <n v="220205.25"/>
    <n v="10"/>
    <x v="4"/>
    <x v="1"/>
  </r>
  <r>
    <x v="1157"/>
    <x v="92"/>
    <n v="52"/>
    <s v="Male"/>
    <s v="Amritsar"/>
    <s v="Rajasthan"/>
    <d v="2023-02-04T00:00:00"/>
    <d v="2023-02-05T00:00:00"/>
    <x v="1"/>
    <s v="Electronics"/>
    <n v="1"/>
    <n v="26362"/>
    <n v="0"/>
    <x v="0"/>
    <s v="Rohit"/>
    <x v="3"/>
    <s v="anjaliyadav@gmail.com"/>
    <s v="Missing"/>
    <x v="3"/>
    <s v="Good"/>
    <n v="309"/>
    <s v="Delivered"/>
    <n v="26362"/>
    <n v="1"/>
    <x v="8"/>
    <x v="0"/>
  </r>
  <r>
    <x v="1158"/>
    <x v="37"/>
    <n v="21"/>
    <s v="Female"/>
    <s v="Mumbai"/>
    <s v="Punjab"/>
    <d v="2023-10-10T00:00:00"/>
    <d v="2023-10-14T00:00:00"/>
    <x v="2"/>
    <s v="Electronics"/>
    <n v="2.9447852760736195"/>
    <n v="70547"/>
    <n v="0"/>
    <x v="1"/>
    <s v="Pooja"/>
    <x v="2"/>
    <s v="Missing"/>
    <s v="7483698464"/>
    <x v="3"/>
    <s v="Excellent"/>
    <n v="144"/>
    <s v="Cancelled"/>
    <n v="207745.76687116563"/>
    <n v="4"/>
    <x v="5"/>
    <x v="0"/>
  </r>
  <r>
    <x v="1159"/>
    <x v="70"/>
    <n v="22"/>
    <s v="Female"/>
    <s v="Pune"/>
    <s v="Gujarat"/>
    <d v="2023-06-11T00:00:00"/>
    <d v="2023-06-19T00:00:00"/>
    <x v="3"/>
    <s v="Electronics"/>
    <n v="4"/>
    <n v="23190"/>
    <n v="15"/>
    <x v="0"/>
    <s v="Neha"/>
    <x v="1"/>
    <s v="amityadav@gmail.com"/>
    <s v="9926418518"/>
    <x v="1"/>
    <s v="Average"/>
    <n v="134"/>
    <s v="Delivered"/>
    <n v="78846"/>
    <n v="8"/>
    <x v="9"/>
    <x v="0"/>
  </r>
  <r>
    <x v="1160"/>
    <x v="96"/>
    <n v="29"/>
    <s v="Female"/>
    <s v="Amritsar"/>
    <s v="Maharashtra"/>
    <d v="2024-08-11T00:00:00"/>
    <d v="2024-08-16T00:00:00"/>
    <x v="1"/>
    <s v="Electronics"/>
    <n v="1"/>
    <n v="62028"/>
    <n v="10"/>
    <x v="1"/>
    <s v="Vikas"/>
    <x v="1"/>
    <s v="Missing"/>
    <s v="Missing"/>
    <x v="2"/>
    <s v="Excellent"/>
    <n v="429"/>
    <s v="Returned"/>
    <n v="55825.200000000004"/>
    <n v="5"/>
    <x v="3"/>
    <x v="1"/>
  </r>
  <r>
    <x v="1161"/>
    <x v="98"/>
    <n v="35"/>
    <s v="Female"/>
    <s v="Ahmedabad"/>
    <s v="Punjab"/>
    <d v="2024-08-12T00:00:00"/>
    <d v="2024-08-16T00:00:00"/>
    <x v="2"/>
    <s v="Accessories"/>
    <n v="3"/>
    <n v="73309"/>
    <n v="10"/>
    <x v="3"/>
    <s v="Priya"/>
    <x v="0"/>
    <s v="vikassingh@gmail.com"/>
    <s v="9202738323"/>
    <x v="4"/>
    <s v="Excellent"/>
    <n v="385"/>
    <s v="Cancelled"/>
    <n v="197934.30000000002"/>
    <n v="4"/>
    <x v="3"/>
    <x v="1"/>
  </r>
  <r>
    <x v="1162"/>
    <x v="85"/>
    <n v="19"/>
    <s v="Female"/>
    <s v="Chandigarh"/>
    <s v="Rajasthan"/>
    <d v="2023-03-10T00:00:00"/>
    <d v="2023-03-13T00:00:00"/>
    <x v="2"/>
    <s v="Accessories"/>
    <n v="4"/>
    <n v="49524"/>
    <n v="10"/>
    <x v="1"/>
    <s v="Neha"/>
    <x v="2"/>
    <s v="rahulkumar@gmail.com"/>
    <s v="9282550634"/>
    <x v="4"/>
    <s v="Bad"/>
    <n v="201"/>
    <s v="Returned"/>
    <n v="178286.4"/>
    <n v="3"/>
    <x v="10"/>
    <x v="0"/>
  </r>
  <r>
    <x v="1163"/>
    <x v="15"/>
    <n v="50"/>
    <s v="Male"/>
    <s v="Amritsar"/>
    <s v="Delhi"/>
    <d v="2024-01-15T00:00:00"/>
    <d v="2024-01-16T00:00:00"/>
    <x v="4"/>
    <s v="Accessories"/>
    <n v="1"/>
    <n v="58077"/>
    <n v="15"/>
    <x v="2"/>
    <s v="Neha"/>
    <x v="0"/>
    <s v="Missing"/>
    <s v="7844585742"/>
    <x v="0"/>
    <s v="Excellent"/>
    <n v="101"/>
    <s v="Delivered"/>
    <n v="49365.45"/>
    <n v="1"/>
    <x v="0"/>
    <x v="1"/>
  </r>
  <r>
    <x v="1164"/>
    <x v="99"/>
    <n v="50"/>
    <s v="Female"/>
    <s v="Ludhiana"/>
    <s v="Rajasthan"/>
    <d v="2024-01-19T00:00:00"/>
    <d v="2024-01-22T00:00:00"/>
    <x v="5"/>
    <s v="Electronics"/>
    <n v="4"/>
    <n v="11292"/>
    <n v="10"/>
    <x v="1"/>
    <s v="Anjali"/>
    <x v="1"/>
    <s v="snehaverma@gmail.com"/>
    <s v="9394029072"/>
    <x v="4"/>
    <s v="Excellent"/>
    <n v="406"/>
    <s v="Cancelled"/>
    <n v="40651.200000000004"/>
    <n v="3"/>
    <x v="0"/>
    <x v="1"/>
  </r>
  <r>
    <x v="1165"/>
    <x v="28"/>
    <n v="33"/>
    <s v="Male"/>
    <s v="Mumbai"/>
    <s v="Rajasthan"/>
    <d v="2023-08-25T00:00:00"/>
    <d v="2023-09-04T00:00:00"/>
    <x v="0"/>
    <s v="Electronics"/>
    <n v="3"/>
    <n v="40410"/>
    <n v="10"/>
    <x v="2"/>
    <s v="Anjali"/>
    <x v="3"/>
    <s v="nehayadav@gmail.com"/>
    <s v="7718294545"/>
    <x v="3"/>
    <s v="Excellent"/>
    <n v="123"/>
    <s v="Returned"/>
    <n v="109107"/>
    <n v="10"/>
    <x v="3"/>
    <x v="0"/>
  </r>
  <r>
    <x v="1166"/>
    <x v="44"/>
    <n v="34"/>
    <s v="Female"/>
    <s v="Delhi"/>
    <s v="Rajasthan"/>
    <d v="2023-02-02T00:00:00"/>
    <d v="2023-02-05T00:00:00"/>
    <x v="5"/>
    <s v="Accessories"/>
    <n v="4"/>
    <n v="72385"/>
    <n v="0"/>
    <x v="3"/>
    <s v="Vikas"/>
    <x v="2"/>
    <s v="karanmehta@gmail.com"/>
    <s v="9074564621"/>
    <x v="0"/>
    <s v="Good"/>
    <n v="378"/>
    <s v="Delivered"/>
    <n v="289540"/>
    <n v="3"/>
    <x v="8"/>
    <x v="0"/>
  </r>
  <r>
    <x v="1167"/>
    <x v="94"/>
    <n v="57"/>
    <s v="Male"/>
    <s v="Chandigarh"/>
    <s v="Rajasthan"/>
    <d v="2024-08-29T00:00:00"/>
    <d v="2024-09-02T00:00:00"/>
    <x v="0"/>
    <s v="Accessories"/>
    <n v="1"/>
    <n v="53313"/>
    <n v="15"/>
    <x v="3"/>
    <s v="Rohit"/>
    <x v="3"/>
    <s v="snehajoshi@gmail.com"/>
    <s v="9847884188"/>
    <x v="0"/>
    <s v="Average"/>
    <n v="258"/>
    <s v="Cancelled"/>
    <n v="45316.049999999996"/>
    <n v="4"/>
    <x v="3"/>
    <x v="1"/>
  </r>
  <r>
    <x v="1168"/>
    <x v="21"/>
    <n v="21"/>
    <s v="Male"/>
    <s v="Amritsar"/>
    <s v="Delhi"/>
    <d v="2023-11-21T00:00:00"/>
    <d v="2023-11-28T00:00:00"/>
    <x v="0"/>
    <s v="Accessories"/>
    <n v="5"/>
    <n v="24240"/>
    <n v="15"/>
    <x v="0"/>
    <s v="Vikas"/>
    <x v="2"/>
    <s v="karansingh@gmail.com"/>
    <s v="8586493869"/>
    <x v="2"/>
    <s v="Excellent"/>
    <n v="155"/>
    <s v="Cancelled"/>
    <n v="103020"/>
    <n v="7"/>
    <x v="7"/>
    <x v="0"/>
  </r>
  <r>
    <x v="1169"/>
    <x v="97"/>
    <n v="32"/>
    <s v="Female"/>
    <s v="Ahmedabad"/>
    <s v="Maharashtra"/>
    <d v="2023-09-11T00:00:00"/>
    <d v="2023-09-19T00:00:00"/>
    <x v="2"/>
    <s v="Electronics"/>
    <n v="5"/>
    <n v="15911"/>
    <n v="5"/>
    <x v="2"/>
    <s v="Pooja"/>
    <x v="0"/>
    <s v="vikasjoshi@gmail.com"/>
    <s v="6404630608"/>
    <x v="2"/>
    <s v="Bad"/>
    <n v="278"/>
    <s v="Cancelled"/>
    <n v="75577.25"/>
    <n v="8"/>
    <x v="2"/>
    <x v="0"/>
  </r>
  <r>
    <x v="1170"/>
    <x v="96"/>
    <n v="23"/>
    <s v="Male"/>
    <s v="Ludhiana"/>
    <s v="Gujarat"/>
    <d v="2024-02-04T00:00:00"/>
    <d v="2024-02-06T00:00:00"/>
    <x v="5"/>
    <s v="Electronics"/>
    <n v="5"/>
    <n v="48876"/>
    <n v="10"/>
    <x v="0"/>
    <s v="Amit"/>
    <x v="3"/>
    <s v="Missing"/>
    <s v="6130831965"/>
    <x v="3"/>
    <s v="Average"/>
    <n v="481"/>
    <s v="Delivered"/>
    <n v="219942"/>
    <n v="2"/>
    <x v="8"/>
    <x v="1"/>
  </r>
  <r>
    <x v="1171"/>
    <x v="5"/>
    <n v="37"/>
    <s v="Male"/>
    <s v="Delhi"/>
    <s v="Rajasthan"/>
    <d v="2024-06-27T00:00:00"/>
    <d v="2024-07-06T00:00:00"/>
    <x v="1"/>
    <s v="Electronics"/>
    <n v="5"/>
    <n v="64534"/>
    <n v="15"/>
    <x v="0"/>
    <s v="Pooja"/>
    <x v="1"/>
    <s v="karanverma@gmail.com"/>
    <s v="Missing"/>
    <x v="0"/>
    <s v="Excellent"/>
    <n v="355"/>
    <s v="Delivered"/>
    <n v="274269.5"/>
    <n v="9"/>
    <x v="9"/>
    <x v="1"/>
  </r>
  <r>
    <x v="1172"/>
    <x v="28"/>
    <n v="32"/>
    <s v="Male"/>
    <s v="Ahmedabad"/>
    <s v="Gujarat"/>
    <d v="2023-09-18T00:00:00"/>
    <d v="2023-09-27T00:00:00"/>
    <x v="5"/>
    <s v="Accessories"/>
    <n v="3"/>
    <n v="35095"/>
    <n v="10"/>
    <x v="1"/>
    <s v="Anjali"/>
    <x v="2"/>
    <s v="nehayadav@gmail.com"/>
    <s v="Missing"/>
    <x v="3"/>
    <s v="Average"/>
    <n v="62"/>
    <s v="Returned"/>
    <n v="94756.5"/>
    <n v="9"/>
    <x v="2"/>
    <x v="0"/>
  </r>
  <r>
    <x v="1173"/>
    <x v="36"/>
    <n v="58"/>
    <s v="Female"/>
    <s v="Ahmedabad"/>
    <s v="Gujarat"/>
    <d v="2023-05-09T00:00:00"/>
    <d v="2023-05-18T00:00:00"/>
    <x v="3"/>
    <s v="Accessories"/>
    <n v="2.9447852760736195"/>
    <n v="42265"/>
    <n v="0"/>
    <x v="1"/>
    <s v="Priya"/>
    <x v="1"/>
    <s v="rahulsharma@gmail.com"/>
    <s v="7672936884"/>
    <x v="1"/>
    <s v="Bad"/>
    <n v="172"/>
    <s v="Returned"/>
    <n v="124461.34969325153"/>
    <n v="9"/>
    <x v="6"/>
    <x v="0"/>
  </r>
  <r>
    <x v="1174"/>
    <x v="57"/>
    <n v="27"/>
    <s v="Male"/>
    <s v="Amritsar"/>
    <s v="Maharashtra"/>
    <d v="2024-06-07T00:00:00"/>
    <d v="2024-06-09T00:00:00"/>
    <x v="3"/>
    <s v="Accessories"/>
    <n v="1"/>
    <n v="24713"/>
    <n v="15"/>
    <x v="0"/>
    <s v="Vikas"/>
    <x v="2"/>
    <s v="nehajoshi@gmail.com"/>
    <s v="Missing"/>
    <x v="3"/>
    <s v="Good"/>
    <n v="356"/>
    <s v="Delivered"/>
    <n v="21006.05"/>
    <n v="2"/>
    <x v="9"/>
    <x v="1"/>
  </r>
  <r>
    <x v="1175"/>
    <x v="63"/>
    <n v="24"/>
    <s v="Male"/>
    <s v="Ahmedabad"/>
    <s v="Punjab"/>
    <d v="2023-06-10T00:00:00"/>
    <d v="2023-06-13T00:00:00"/>
    <x v="2"/>
    <s v="Electronics"/>
    <n v="1"/>
    <n v="6452"/>
    <n v="5"/>
    <x v="0"/>
    <s v="Vikas"/>
    <x v="2"/>
    <s v="priyagupta@gmail.com"/>
    <s v="Missing"/>
    <x v="1"/>
    <s v="Good"/>
    <n v="457"/>
    <s v="Cancelled"/>
    <n v="6129.4"/>
    <n v="3"/>
    <x v="9"/>
    <x v="0"/>
  </r>
  <r>
    <x v="1176"/>
    <x v="26"/>
    <n v="48"/>
    <s v="Female"/>
    <s v="Jaipur"/>
    <s v="Gujarat"/>
    <d v="2024-07-22T00:00:00"/>
    <d v="2024-07-28T00:00:00"/>
    <x v="4"/>
    <s v="Accessories"/>
    <n v="1"/>
    <n v="5012"/>
    <n v="10"/>
    <x v="1"/>
    <s v="Amit"/>
    <x v="1"/>
    <s v="Missing"/>
    <s v="Missing"/>
    <x v="2"/>
    <s v="Bad"/>
    <n v="309"/>
    <s v="Returned"/>
    <n v="4510.8"/>
    <n v="6"/>
    <x v="4"/>
    <x v="1"/>
  </r>
  <r>
    <x v="1177"/>
    <x v="2"/>
    <n v="28"/>
    <s v="Male"/>
    <s v="Delhi"/>
    <s v="Gujarat"/>
    <d v="2024-03-19T00:00:00"/>
    <d v="2024-03-25T00:00:00"/>
    <x v="4"/>
    <s v="Accessories"/>
    <n v="5"/>
    <n v="39315"/>
    <n v="10"/>
    <x v="2"/>
    <s v="Vikas"/>
    <x v="1"/>
    <s v="nehapatel@gmail.com"/>
    <s v="6620490158"/>
    <x v="0"/>
    <s v="Bad"/>
    <n v="109"/>
    <s v="Delivered"/>
    <n v="176917.5"/>
    <n v="6"/>
    <x v="10"/>
    <x v="1"/>
  </r>
  <r>
    <x v="1178"/>
    <x v="26"/>
    <n v="54"/>
    <s v="Female"/>
    <s v="Ludhiana"/>
    <s v="Rajasthan"/>
    <d v="2024-10-16T00:00:00"/>
    <d v="2024-10-25T00:00:00"/>
    <x v="1"/>
    <s v="Accessories"/>
    <n v="4"/>
    <n v="16839"/>
    <n v="5"/>
    <x v="3"/>
    <s v="Priya"/>
    <x v="2"/>
    <s v="Missing"/>
    <s v="6691084578"/>
    <x v="2"/>
    <s v="Excellent"/>
    <n v="166"/>
    <s v="Delivered"/>
    <n v="63988.2"/>
    <n v="9"/>
    <x v="5"/>
    <x v="1"/>
  </r>
  <r>
    <x v="1179"/>
    <x v="10"/>
    <n v="29"/>
    <s v="Male"/>
    <s v="Mumbai"/>
    <s v="Punjab"/>
    <d v="2023-05-10T00:00:00"/>
    <d v="2023-05-16T00:00:00"/>
    <x v="5"/>
    <s v="Accessories"/>
    <n v="1"/>
    <n v="12879"/>
    <n v="0"/>
    <x v="1"/>
    <s v="Vikas"/>
    <x v="3"/>
    <s v="anjalimehta@gmail.com"/>
    <s v="8847005398"/>
    <x v="0"/>
    <s v="Good"/>
    <n v="187"/>
    <s v="Delivered"/>
    <n v="12879"/>
    <n v="6"/>
    <x v="6"/>
    <x v="0"/>
  </r>
  <r>
    <x v="1180"/>
    <x v="55"/>
    <n v="55"/>
    <s v="Male"/>
    <s v="Mumbai"/>
    <s v="Punjab"/>
    <d v="2023-04-26T00:00:00"/>
    <d v="2023-04-28T00:00:00"/>
    <x v="1"/>
    <s v="Electronics"/>
    <n v="4"/>
    <n v="65045"/>
    <n v="15"/>
    <x v="1"/>
    <s v="Sneha"/>
    <x v="0"/>
    <s v="amitverma@gmail.com"/>
    <s v="6848507812"/>
    <x v="0"/>
    <s v="Bad"/>
    <n v="462"/>
    <s v="Delivered"/>
    <n v="221153"/>
    <n v="2"/>
    <x v="1"/>
    <x v="0"/>
  </r>
  <r>
    <x v="1181"/>
    <x v="26"/>
    <n v="60"/>
    <s v="Male"/>
    <s v="Chandigarh"/>
    <s v="Rajasthan"/>
    <d v="2024-11-20T00:00:00"/>
    <d v="2024-11-21T00:00:00"/>
    <x v="1"/>
    <s v="Accessories"/>
    <n v="3"/>
    <n v="36327"/>
    <n v="0"/>
    <x v="0"/>
    <s v="Vikas"/>
    <x v="0"/>
    <s v="karanjoshi@gmail.com"/>
    <s v="9590861916"/>
    <x v="3"/>
    <s v="Good"/>
    <n v="59"/>
    <s v="Returned"/>
    <n v="108981"/>
    <n v="1"/>
    <x v="7"/>
    <x v="1"/>
  </r>
  <r>
    <x v="1182"/>
    <x v="38"/>
    <n v="53"/>
    <s v="Male"/>
    <s v="Pune"/>
    <s v="Gujarat"/>
    <d v="2024-02-15T00:00:00"/>
    <d v="2024-02-21T00:00:00"/>
    <x v="0"/>
    <s v="Accessories"/>
    <n v="1"/>
    <n v="63635"/>
    <n v="0"/>
    <x v="3"/>
    <s v="Sneha"/>
    <x v="3"/>
    <s v="karansharma@gmail.com"/>
    <s v="6390551282"/>
    <x v="1"/>
    <s v="Good"/>
    <n v="56"/>
    <s v="Cancelled"/>
    <n v="63635"/>
    <n v="6"/>
    <x v="8"/>
    <x v="1"/>
  </r>
  <r>
    <x v="1183"/>
    <x v="90"/>
    <n v="49"/>
    <s v="Male"/>
    <s v="Pune"/>
    <s v="Maharashtra"/>
    <d v="2023-03-07T00:00:00"/>
    <d v="2023-03-15T00:00:00"/>
    <x v="5"/>
    <s v="Accessories"/>
    <n v="4"/>
    <n v="31020"/>
    <n v="5"/>
    <x v="1"/>
    <s v="Anjali"/>
    <x v="1"/>
    <s v="vikaspatel@gmail.com"/>
    <s v="8091828765"/>
    <x v="3"/>
    <s v="Bad"/>
    <n v="303"/>
    <s v="Returned"/>
    <n v="117876"/>
    <n v="8"/>
    <x v="10"/>
    <x v="0"/>
  </r>
  <r>
    <x v="1184"/>
    <x v="62"/>
    <n v="26"/>
    <s v="Male"/>
    <s v="Pune"/>
    <s v="Maharashtra"/>
    <d v="2023-06-12T00:00:00"/>
    <d v="2023-06-21T00:00:00"/>
    <x v="5"/>
    <s v="Accessories"/>
    <n v="3"/>
    <n v="19133"/>
    <n v="15"/>
    <x v="3"/>
    <s v="Priya"/>
    <x v="0"/>
    <s v="anjalisingh@gmail.com"/>
    <s v="7497663632"/>
    <x v="1"/>
    <s v="Excellent"/>
    <n v="148"/>
    <s v="Cancelled"/>
    <n v="48789.15"/>
    <n v="9"/>
    <x v="9"/>
    <x v="0"/>
  </r>
  <r>
    <x v="1185"/>
    <x v="98"/>
    <n v="53"/>
    <s v="Male"/>
    <s v="Ludhiana"/>
    <s v="Gujarat"/>
    <d v="2024-04-05T00:00:00"/>
    <d v="2024-04-09T00:00:00"/>
    <x v="5"/>
    <s v="Accessories"/>
    <n v="2"/>
    <n v="66421"/>
    <n v="5"/>
    <x v="2"/>
    <s v="Pooja"/>
    <x v="1"/>
    <s v="vikassingh@gmail.com"/>
    <s v="8649126475"/>
    <x v="1"/>
    <s v="Excellent"/>
    <n v="253"/>
    <s v="Cancelled"/>
    <n v="126199.9"/>
    <n v="4"/>
    <x v="1"/>
    <x v="1"/>
  </r>
  <r>
    <x v="1186"/>
    <x v="4"/>
    <n v="46"/>
    <s v="Male"/>
    <s v="Pune"/>
    <s v="Punjab"/>
    <d v="2024-11-04T00:00:00"/>
    <d v="2024-11-05T00:00:00"/>
    <x v="1"/>
    <s v="Accessories"/>
    <n v="2"/>
    <n v="27291"/>
    <n v="15"/>
    <x v="1"/>
    <s v="Rohit"/>
    <x v="3"/>
    <s v="rahulyadav@gmail.com"/>
    <s v="Missing"/>
    <x v="0"/>
    <s v="Excellent"/>
    <n v="90"/>
    <s v="Cancelled"/>
    <n v="46394.7"/>
    <n v="1"/>
    <x v="7"/>
    <x v="1"/>
  </r>
  <r>
    <x v="1187"/>
    <x v="34"/>
    <n v="24"/>
    <s v="Female"/>
    <s v="Jaipur"/>
    <s v="Gujarat"/>
    <d v="2023-05-27T00:00:00"/>
    <d v="2023-05-31T00:00:00"/>
    <x v="5"/>
    <s v="Accessories"/>
    <n v="4"/>
    <n v="34233"/>
    <n v="15"/>
    <x v="2"/>
    <s v="Priya"/>
    <x v="3"/>
    <s v="snehapatel@gmail.com"/>
    <s v="7801594234"/>
    <x v="2"/>
    <s v="Average"/>
    <n v="300"/>
    <s v="Delivered"/>
    <n v="116392.2"/>
    <n v="4"/>
    <x v="6"/>
    <x v="0"/>
  </r>
  <r>
    <x v="1188"/>
    <x v="76"/>
    <n v="57"/>
    <s v="Female"/>
    <s v="Mumbai"/>
    <s v="Rajasthan"/>
    <d v="2023-04-25T00:00:00"/>
    <d v="2023-04-27T00:00:00"/>
    <x v="0"/>
    <s v="Electronics"/>
    <n v="3"/>
    <n v="79259"/>
    <n v="15"/>
    <x v="2"/>
    <s v="Pooja"/>
    <x v="1"/>
    <s v="rahulverma@gmail.com"/>
    <s v="8872496582"/>
    <x v="0"/>
    <s v="Excellent"/>
    <n v="368"/>
    <s v="Delivered"/>
    <n v="202110.44999999998"/>
    <n v="2"/>
    <x v="1"/>
    <x v="0"/>
  </r>
  <r>
    <x v="1189"/>
    <x v="75"/>
    <n v="46"/>
    <s v="Female"/>
    <s v="Pune"/>
    <s v="Maharashtra"/>
    <d v="2023-08-18T00:00:00"/>
    <d v="2023-08-24T00:00:00"/>
    <x v="1"/>
    <s v="Accessories"/>
    <n v="4"/>
    <n v="66507"/>
    <n v="0"/>
    <x v="2"/>
    <s v="Vikas"/>
    <x v="2"/>
    <s v="rohitmehta@gmail.com"/>
    <s v="Missing"/>
    <x v="2"/>
    <s v="Excellent"/>
    <n v="186"/>
    <s v="Delivered"/>
    <n v="266028"/>
    <n v="6"/>
    <x v="3"/>
    <x v="0"/>
  </r>
  <r>
    <x v="1190"/>
    <x v="54"/>
    <n v="25"/>
    <s v="Male"/>
    <s v="Chandigarh"/>
    <s v="Maharashtra"/>
    <d v="2024-01-19T00:00:00"/>
    <d v="2024-01-21T00:00:00"/>
    <x v="5"/>
    <s v="Electronics"/>
    <n v="5"/>
    <n v="54576"/>
    <n v="15"/>
    <x v="0"/>
    <s v="Karan"/>
    <x v="0"/>
    <s v="karankumar@gmail.com"/>
    <s v="Missing"/>
    <x v="3"/>
    <s v="Average"/>
    <n v="260"/>
    <s v="Returned"/>
    <n v="231948"/>
    <n v="2"/>
    <x v="0"/>
    <x v="1"/>
  </r>
  <r>
    <x v="1191"/>
    <x v="49"/>
    <n v="36"/>
    <s v="Female"/>
    <s v="Amritsar"/>
    <s v="Gujarat"/>
    <d v="2023-07-11T00:00:00"/>
    <d v="2023-07-12T00:00:00"/>
    <x v="2"/>
    <s v="Accessories"/>
    <n v="4"/>
    <n v="36750"/>
    <n v="0"/>
    <x v="2"/>
    <s v="Neha"/>
    <x v="1"/>
    <s v="vikaskumar@gmail.com"/>
    <s v="8207405789"/>
    <x v="1"/>
    <s v="Excellent"/>
    <n v="408"/>
    <s v="Delivered"/>
    <n v="147000"/>
    <n v="1"/>
    <x v="4"/>
    <x v="0"/>
  </r>
  <r>
    <x v="1192"/>
    <x v="70"/>
    <n v="38"/>
    <s v="Male"/>
    <s v="Ludhiana"/>
    <s v="Punjab"/>
    <d v="2023-02-22T00:00:00"/>
    <d v="2023-03-01T00:00:00"/>
    <x v="4"/>
    <s v="Electronics"/>
    <n v="3"/>
    <n v="79613"/>
    <n v="5"/>
    <x v="1"/>
    <s v="Rohit"/>
    <x v="2"/>
    <s v="amityadav@gmail.com"/>
    <s v="8454146255"/>
    <x v="1"/>
    <s v="Average"/>
    <n v="475"/>
    <s v="Returned"/>
    <n v="226897.05"/>
    <n v="7"/>
    <x v="8"/>
    <x v="0"/>
  </r>
  <r>
    <x v="1193"/>
    <x v="27"/>
    <n v="60"/>
    <s v="Male"/>
    <s v="Delhi"/>
    <s v="Delhi"/>
    <d v="2023-10-05T00:00:00"/>
    <d v="2023-10-07T00:00:00"/>
    <x v="3"/>
    <s v="Accessories"/>
    <n v="4"/>
    <n v="47796"/>
    <n v="0"/>
    <x v="3"/>
    <s v="Priya"/>
    <x v="1"/>
    <s v="priyasharma@gmail.com"/>
    <s v="7012987247"/>
    <x v="4"/>
    <s v="Bad"/>
    <n v="377"/>
    <s v="Delivered"/>
    <n v="191184"/>
    <n v="2"/>
    <x v="5"/>
    <x v="0"/>
  </r>
  <r>
    <x v="1194"/>
    <x v="29"/>
    <n v="29"/>
    <s v="Female"/>
    <s v="Pune"/>
    <s v="Delhi"/>
    <d v="2023-01-17T00:00:00"/>
    <d v="2023-01-18T00:00:00"/>
    <x v="4"/>
    <s v="Electronics"/>
    <n v="4"/>
    <n v="52062"/>
    <n v="5"/>
    <x v="2"/>
    <s v="Vikas"/>
    <x v="1"/>
    <s v="vikassharma@gmail.com"/>
    <s v="8004758817"/>
    <x v="0"/>
    <s v="Bad"/>
    <n v="261"/>
    <s v="Delivered"/>
    <n v="197835.59999999998"/>
    <n v="1"/>
    <x v="0"/>
    <x v="0"/>
  </r>
  <r>
    <x v="1195"/>
    <x v="78"/>
    <n v="31"/>
    <s v="Female"/>
    <s v="Pune"/>
    <s v="Rajasthan"/>
    <d v="2023-09-20T00:00:00"/>
    <d v="2023-09-21T00:00:00"/>
    <x v="3"/>
    <s v="Electronics"/>
    <n v="1"/>
    <n v="53970"/>
    <n v="10"/>
    <x v="1"/>
    <s v="Vikas"/>
    <x v="1"/>
    <s v="poojaagarwal@gmail.com"/>
    <s v="Missing"/>
    <x v="2"/>
    <s v="Bad"/>
    <n v="249"/>
    <s v="Cancelled"/>
    <n v="48573"/>
    <n v="1"/>
    <x v="2"/>
    <x v="0"/>
  </r>
  <r>
    <x v="1196"/>
    <x v="86"/>
    <n v="58"/>
    <s v="Female"/>
    <s v="Mumbai"/>
    <s v="Gujarat"/>
    <d v="2024-07-11T00:00:00"/>
    <d v="2024-07-13T00:00:00"/>
    <x v="1"/>
    <s v="Electronics"/>
    <n v="1"/>
    <n v="21878"/>
    <n v="15"/>
    <x v="2"/>
    <s v="Rohit"/>
    <x v="3"/>
    <s v="rohitsingh@gmail.com"/>
    <s v="6497119200"/>
    <x v="3"/>
    <s v="Bad"/>
    <n v="56"/>
    <s v="Cancelled"/>
    <n v="18596.3"/>
    <n v="2"/>
    <x v="4"/>
    <x v="1"/>
  </r>
  <r>
    <x v="1197"/>
    <x v="2"/>
    <n v="38"/>
    <s v="Male"/>
    <s v="Ahmedabad"/>
    <s v="Delhi"/>
    <d v="2023-10-24T00:00:00"/>
    <d v="2023-10-26T00:00:00"/>
    <x v="2"/>
    <s v="Electronics"/>
    <n v="1"/>
    <n v="74355"/>
    <n v="5"/>
    <x v="2"/>
    <s v="Neha"/>
    <x v="3"/>
    <s v="nehapatel@gmail.com"/>
    <s v="6351159275"/>
    <x v="3"/>
    <s v="Bad"/>
    <n v="331"/>
    <s v="Cancelled"/>
    <n v="70637.25"/>
    <n v="2"/>
    <x v="5"/>
    <x v="0"/>
  </r>
  <r>
    <x v="1198"/>
    <x v="48"/>
    <n v="26"/>
    <s v="Female"/>
    <s v="Jaipur"/>
    <s v="Gujarat"/>
    <d v="2024-08-07T00:00:00"/>
    <d v="2024-08-09T00:00:00"/>
    <x v="0"/>
    <s v="Electronics"/>
    <n v="2"/>
    <n v="13180"/>
    <n v="10"/>
    <x v="2"/>
    <s v="Sneha"/>
    <x v="2"/>
    <s v="anjalijoshi@gmail.com"/>
    <s v="Missing"/>
    <x v="4"/>
    <s v="Excellent"/>
    <n v="264"/>
    <s v="Cancelled"/>
    <n v="23724"/>
    <n v="2"/>
    <x v="3"/>
    <x v="1"/>
  </r>
  <r>
    <x v="1199"/>
    <x v="45"/>
    <n v="45"/>
    <s v="Male"/>
    <s v="Delhi"/>
    <s v="Punjab"/>
    <d v="2024-11-15T00:00:00"/>
    <d v="2024-11-18T00:00:00"/>
    <x v="0"/>
    <s v="Electronics"/>
    <n v="1"/>
    <n v="57248"/>
    <n v="15"/>
    <x v="1"/>
    <s v="Rohit"/>
    <x v="1"/>
    <s v="snehakumar@gmail.com"/>
    <s v="Missing"/>
    <x v="1"/>
    <s v="Good"/>
    <n v="332"/>
    <s v="Returned"/>
    <n v="48660.799999999996"/>
    <n v="3"/>
    <x v="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D6FCA7-5FC3-4B3B-9BAE-2BC09658A4C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ayment_Method">
  <location ref="X3:Y8" firstHeaderRow="1" firstDataRow="1" firstDataCol="1"/>
  <pivotFields count="26">
    <pivotField showAll="0"/>
    <pivotField showAll="0"/>
    <pivotField numFmtId="1" showAll="0"/>
    <pivotField showAll="0"/>
    <pivotField showAll="0"/>
    <pivotField showAll="0"/>
    <pivotField numFmtId="14" showAll="0"/>
    <pivotField numFmtId="14" showAll="0"/>
    <pivotField showAll="0">
      <items count="7">
        <item x="1"/>
        <item x="5"/>
        <item x="2"/>
        <item x="0"/>
        <item x="3"/>
        <item x="4"/>
        <item t="default"/>
      </items>
    </pivotField>
    <pivotField showAll="0"/>
    <pivotField numFmtId="1" showAll="0"/>
    <pivotField numFmtId="164" showAll="0"/>
    <pivotField numFmtId="1" showAll="0"/>
    <pivotField axis="axisRow" showAll="0">
      <items count="5">
        <item x="1"/>
        <item x="2"/>
        <item x="3"/>
        <item x="0"/>
        <item t="default"/>
      </items>
    </pivotField>
    <pivotField showAll="0"/>
    <pivotField showAll="0">
      <items count="5">
        <item x="3"/>
        <item x="2"/>
        <item x="0"/>
        <item x="1"/>
        <item t="default"/>
      </items>
    </pivotField>
    <pivotField showAll="0"/>
    <pivotField showAll="0"/>
    <pivotField numFmtId="1" showAll="0"/>
    <pivotField showAll="0"/>
    <pivotField numFmtId="1" showAll="0"/>
    <pivotField showAll="0"/>
    <pivotField dataField="1" showAll="0"/>
    <pivotField showAll="0"/>
    <pivotField showAll="0"/>
    <pivotField showAll="0">
      <items count="3">
        <item x="0"/>
        <item x="1"/>
        <item t="default"/>
      </items>
    </pivotField>
  </pivotFields>
  <rowFields count="1">
    <field x="13"/>
  </rowFields>
  <rowItems count="5">
    <i>
      <x/>
    </i>
    <i>
      <x v="1"/>
    </i>
    <i>
      <x v="2"/>
    </i>
    <i>
      <x v="3"/>
    </i>
    <i t="grand">
      <x/>
    </i>
  </rowItems>
  <colItems count="1">
    <i/>
  </colItems>
  <dataFields count="1">
    <dataField name="Total Sales" fld="22" baseField="13"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0"/>
          </reference>
        </references>
      </pivotArea>
    </chartFormat>
    <chartFormat chart="2" format="8">
      <pivotArea type="data" outline="0" fieldPosition="0">
        <references count="2">
          <reference field="4294967294" count="1" selected="0">
            <x v="0"/>
          </reference>
          <reference field="13" count="1" selected="0">
            <x v="1"/>
          </reference>
        </references>
      </pivotArea>
    </chartFormat>
    <chartFormat chart="2" format="9">
      <pivotArea type="data" outline="0" fieldPosition="0">
        <references count="2">
          <reference field="4294967294" count="1" selected="0">
            <x v="0"/>
          </reference>
          <reference field="13" count="1" selected="0">
            <x v="2"/>
          </reference>
        </references>
      </pivotArea>
    </chartFormat>
    <chartFormat chart="2" format="1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084182-FB46-4E80-A3A9-B499765AE5A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Month">
  <location ref="Q3:R16" firstHeaderRow="1" firstDataRow="1" firstDataCol="1"/>
  <pivotFields count="26">
    <pivotField showAll="0"/>
    <pivotField showAll="0"/>
    <pivotField numFmtId="1" showAll="0"/>
    <pivotField showAll="0"/>
    <pivotField showAll="0"/>
    <pivotField showAll="0"/>
    <pivotField numFmtId="14" showAll="0"/>
    <pivotField numFmtId="14" showAll="0"/>
    <pivotField showAll="0">
      <items count="7">
        <item x="1"/>
        <item x="5"/>
        <item x="2"/>
        <item x="0"/>
        <item x="3"/>
        <item x="4"/>
        <item t="default"/>
      </items>
    </pivotField>
    <pivotField showAll="0"/>
    <pivotField numFmtId="1" showAll="0"/>
    <pivotField numFmtId="164" showAll="0"/>
    <pivotField numFmtId="1" showAll="0"/>
    <pivotField showAll="0"/>
    <pivotField showAll="0"/>
    <pivotField showAll="0">
      <items count="5">
        <item x="3"/>
        <item x="2"/>
        <item x="0"/>
        <item x="1"/>
        <item t="default"/>
      </items>
    </pivotField>
    <pivotField showAll="0"/>
    <pivotField showAll="0"/>
    <pivotField numFmtId="1" showAll="0"/>
    <pivotField showAll="0"/>
    <pivotField numFmtId="1" showAll="0"/>
    <pivotField showAll="0"/>
    <pivotField dataField="1" showAll="0"/>
    <pivotField showAll="0"/>
    <pivotField axis="axisRow" showAll="0">
      <items count="13">
        <item x="0"/>
        <item x="8"/>
        <item x="10"/>
        <item x="1"/>
        <item x="6"/>
        <item x="9"/>
        <item x="4"/>
        <item x="3"/>
        <item x="2"/>
        <item x="5"/>
        <item x="7"/>
        <item x="11"/>
        <item t="default"/>
      </items>
    </pivotField>
    <pivotField showAll="0">
      <items count="3">
        <item x="0"/>
        <item x="1"/>
        <item t="default"/>
      </items>
    </pivotField>
  </pivotFields>
  <rowFields count="1">
    <field x="24"/>
  </rowFields>
  <rowItems count="13">
    <i>
      <x/>
    </i>
    <i>
      <x v="1"/>
    </i>
    <i>
      <x v="2"/>
    </i>
    <i>
      <x v="3"/>
    </i>
    <i>
      <x v="4"/>
    </i>
    <i>
      <x v="5"/>
    </i>
    <i>
      <x v="6"/>
    </i>
    <i>
      <x v="7"/>
    </i>
    <i>
      <x v="8"/>
    </i>
    <i>
      <x v="9"/>
    </i>
    <i>
      <x v="10"/>
    </i>
    <i>
      <x v="11"/>
    </i>
    <i t="grand">
      <x/>
    </i>
  </rowItems>
  <colItems count="1">
    <i/>
  </colItems>
  <dataFields count="1">
    <dataField name="Total Sales" fld="22" baseField="24" baseItem="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6C490-88AC-4E50-88C5-0D753490C37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J3:K10" firstHeaderRow="1" firstDataRow="1" firstDataCol="1"/>
  <pivotFields count="26">
    <pivotField showAll="0"/>
    <pivotField showAll="0"/>
    <pivotField numFmtId="1" showAll="0"/>
    <pivotField showAll="0"/>
    <pivotField showAll="0"/>
    <pivotField showAll="0"/>
    <pivotField numFmtId="14" showAll="0"/>
    <pivotField numFmtId="14" showAll="0"/>
    <pivotField axis="axisRow" showAll="0">
      <items count="7">
        <item x="1"/>
        <item x="5"/>
        <item x="2"/>
        <item x="0"/>
        <item x="3"/>
        <item x="4"/>
        <item t="default"/>
      </items>
    </pivotField>
    <pivotField showAll="0"/>
    <pivotField numFmtId="1" showAll="0"/>
    <pivotField numFmtId="164" showAll="0"/>
    <pivotField numFmtId="1" showAll="0"/>
    <pivotField showAll="0"/>
    <pivotField showAll="0"/>
    <pivotField showAll="0">
      <items count="5">
        <item x="3"/>
        <item x="2"/>
        <item x="0"/>
        <item x="1"/>
        <item t="default"/>
      </items>
    </pivotField>
    <pivotField showAll="0"/>
    <pivotField showAll="0"/>
    <pivotField numFmtId="1" showAll="0"/>
    <pivotField showAll="0"/>
    <pivotField numFmtId="1" showAll="0"/>
    <pivotField showAll="0"/>
    <pivotField dataField="1" showAll="0"/>
    <pivotField showAll="0"/>
    <pivotField showAll="0"/>
    <pivotField showAll="0">
      <items count="3">
        <item x="0"/>
        <item x="1"/>
        <item t="default"/>
      </items>
    </pivotField>
  </pivotFields>
  <rowFields count="1">
    <field x="8"/>
  </rowFields>
  <rowItems count="7">
    <i>
      <x/>
    </i>
    <i>
      <x v="1"/>
    </i>
    <i>
      <x v="2"/>
    </i>
    <i>
      <x v="3"/>
    </i>
    <i>
      <x v="4"/>
    </i>
    <i>
      <x v="5"/>
    </i>
    <i t="grand">
      <x/>
    </i>
  </rowItems>
  <colItems count="1">
    <i/>
  </colItems>
  <dataFields count="1">
    <dataField name="Total_Sales" fld="22"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7DBF3E-66AA-4935-8F3E-4C846C96AB7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Region">
  <location ref="A3:B8" firstHeaderRow="1" firstDataRow="1" firstDataCol="1"/>
  <pivotFields count="26">
    <pivotField showAll="0"/>
    <pivotField showAll="0">
      <items count="101">
        <item x="40"/>
        <item x="82"/>
        <item x="59"/>
        <item x="50"/>
        <item x="24"/>
        <item x="43"/>
        <item x="60"/>
        <item x="30"/>
        <item x="55"/>
        <item x="70"/>
        <item x="11"/>
        <item x="9"/>
        <item x="48"/>
        <item x="61"/>
        <item x="10"/>
        <item x="3"/>
        <item x="56"/>
        <item x="62"/>
        <item x="16"/>
        <item x="92"/>
        <item x="23"/>
        <item x="93"/>
        <item x="26"/>
        <item x="54"/>
        <item x="44"/>
        <item x="69"/>
        <item x="38"/>
        <item x="21"/>
        <item x="5"/>
        <item x="67"/>
        <item x="47"/>
        <item x="31"/>
        <item x="57"/>
        <item x="91"/>
        <item x="35"/>
        <item x="2"/>
        <item x="53"/>
        <item x="66"/>
        <item x="65"/>
        <item x="28"/>
        <item x="78"/>
        <item x="1"/>
        <item x="81"/>
        <item x="22"/>
        <item x="0"/>
        <item x="33"/>
        <item x="25"/>
        <item x="68"/>
        <item x="74"/>
        <item x="6"/>
        <item x="73"/>
        <item x="63"/>
        <item x="15"/>
        <item x="41"/>
        <item x="8"/>
        <item x="84"/>
        <item x="27"/>
        <item x="20"/>
        <item x="51"/>
        <item x="13"/>
        <item x="80"/>
        <item x="42"/>
        <item x="32"/>
        <item x="85"/>
        <item x="96"/>
        <item x="79"/>
        <item x="36"/>
        <item x="39"/>
        <item x="76"/>
        <item x="4"/>
        <item x="89"/>
        <item x="14"/>
        <item x="37"/>
        <item x="77"/>
        <item x="75"/>
        <item x="17"/>
        <item x="52"/>
        <item x="86"/>
        <item x="71"/>
        <item x="46"/>
        <item x="18"/>
        <item x="95"/>
        <item x="94"/>
        <item x="45"/>
        <item x="87"/>
        <item x="34"/>
        <item x="72"/>
        <item x="12"/>
        <item x="99"/>
        <item x="83"/>
        <item x="19"/>
        <item x="58"/>
        <item x="97"/>
        <item x="49"/>
        <item x="88"/>
        <item x="90"/>
        <item x="29"/>
        <item x="98"/>
        <item x="64"/>
        <item x="7"/>
        <item t="default"/>
      </items>
    </pivotField>
    <pivotField numFmtId="1" showAll="0"/>
    <pivotField showAll="0"/>
    <pivotField showAll="0"/>
    <pivotField showAll="0"/>
    <pivotField numFmtId="14" showAll="0"/>
    <pivotField numFmtId="14" showAll="0"/>
    <pivotField showAll="0">
      <items count="7">
        <item x="1"/>
        <item x="5"/>
        <item x="2"/>
        <item x="0"/>
        <item x="3"/>
        <item x="4"/>
        <item t="default"/>
      </items>
    </pivotField>
    <pivotField showAll="0"/>
    <pivotField numFmtId="1" showAll="0"/>
    <pivotField numFmtId="164" showAll="0"/>
    <pivotField numFmtId="1" showAll="0"/>
    <pivotField showAll="0"/>
    <pivotField showAll="0"/>
    <pivotField axis="axisRow" showAll="0">
      <items count="5">
        <item x="3"/>
        <item x="2"/>
        <item x="0"/>
        <item x="1"/>
        <item t="default"/>
      </items>
    </pivotField>
    <pivotField showAll="0"/>
    <pivotField showAll="0"/>
    <pivotField numFmtId="1" showAll="0"/>
    <pivotField showAll="0"/>
    <pivotField numFmtId="1" showAll="0"/>
    <pivotField showAll="0"/>
    <pivotField dataField="1" showAll="0"/>
    <pivotField showAll="0"/>
    <pivotField showAll="0"/>
    <pivotField showAll="0">
      <items count="3">
        <item x="0"/>
        <item x="1"/>
        <item t="default"/>
      </items>
    </pivotField>
  </pivotFields>
  <rowFields count="1">
    <field x="15"/>
  </rowFields>
  <rowItems count="5">
    <i>
      <x/>
    </i>
    <i>
      <x v="1"/>
    </i>
    <i>
      <x v="2"/>
    </i>
    <i>
      <x v="3"/>
    </i>
    <i t="grand">
      <x/>
    </i>
  </rowItems>
  <colItems count="1">
    <i/>
  </colItems>
  <dataFields count="1">
    <dataField name="Total Sales" fld="22" baseField="15"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81F7D5-AFE6-450E-8D38-46AE31D1072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0:D31" firstHeaderRow="0" firstDataRow="1" firstDataCol="0"/>
  <pivotFields count="26">
    <pivotField dataField="1" showAll="0"/>
    <pivotField showAll="0"/>
    <pivotField numFmtId="1" showAll="0"/>
    <pivotField showAll="0"/>
    <pivotField showAll="0"/>
    <pivotField showAll="0"/>
    <pivotField numFmtId="14" showAll="0"/>
    <pivotField numFmtId="14" showAll="0"/>
    <pivotField showAll="0">
      <items count="7">
        <item x="1"/>
        <item x="5"/>
        <item x="2"/>
        <item x="0"/>
        <item x="3"/>
        <item x="4"/>
        <item t="default"/>
      </items>
    </pivotField>
    <pivotField showAll="0"/>
    <pivotField numFmtId="1" showAll="0"/>
    <pivotField numFmtId="164" showAll="0"/>
    <pivotField numFmtId="1" showAll="0"/>
    <pivotField showAll="0"/>
    <pivotField showAll="0"/>
    <pivotField showAll="0">
      <items count="5">
        <item x="3"/>
        <item x="2"/>
        <item x="0"/>
        <item x="1"/>
        <item t="default"/>
      </items>
    </pivotField>
    <pivotField showAll="0"/>
    <pivotField showAll="0"/>
    <pivotField dataField="1" numFmtId="1" showAll="0"/>
    <pivotField showAll="0"/>
    <pivotField numFmtId="1" showAll="0"/>
    <pivotField showAll="0"/>
    <pivotField dataField="1" showAll="0"/>
    <pivotField dataField="1" showAll="0"/>
    <pivotField showAll="0"/>
    <pivotField showAll="0">
      <items count="3">
        <item x="0"/>
        <item x="1"/>
        <item t="default"/>
      </items>
    </pivotField>
  </pivotFields>
  <rowItems count="1">
    <i/>
  </rowItems>
  <colFields count="1">
    <field x="-2"/>
  </colFields>
  <colItems count="4">
    <i>
      <x/>
    </i>
    <i i="1">
      <x v="1"/>
    </i>
    <i i="2">
      <x v="2"/>
    </i>
    <i i="3">
      <x v="3"/>
    </i>
  </colItems>
  <dataFields count="4">
    <dataField name="Sum of TotalSales" fld="22" baseField="0" baseItem="0"/>
    <dataField name="Average of DeliveryTime" fld="23" subtotal="average" baseField="0" baseItem="1"/>
    <dataField name="Count of OrderID" fld="0" subtotal="count" baseField="0" baseItem="0"/>
    <dataField name="Average of Rating" fld="1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B94461-8CC7-4E1A-BD8B-604B9BB433F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ating">
  <location ref="AD3:AE9" firstHeaderRow="1" firstDataRow="1" firstDataCol="1"/>
  <pivotFields count="26">
    <pivotField dataField="1" showAll="0">
      <items count="12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numFmtId="1" showAll="0"/>
    <pivotField showAll="0"/>
    <pivotField showAll="0"/>
    <pivotField showAll="0"/>
    <pivotField numFmtId="14" showAll="0"/>
    <pivotField numFmtId="14" showAll="0"/>
    <pivotField showAll="0">
      <items count="7">
        <item x="1"/>
        <item x="5"/>
        <item x="2"/>
        <item x="0"/>
        <item x="3"/>
        <item x="4"/>
        <item t="default"/>
      </items>
    </pivotField>
    <pivotField showAll="0"/>
    <pivotField numFmtId="1" showAll="0"/>
    <pivotField numFmtId="164" showAll="0"/>
    <pivotField numFmtId="1" showAll="0"/>
    <pivotField showAll="0"/>
    <pivotField showAll="0"/>
    <pivotField showAll="0">
      <items count="5">
        <item x="3"/>
        <item x="2"/>
        <item x="0"/>
        <item x="1"/>
        <item t="default"/>
      </items>
    </pivotField>
    <pivotField showAll="0"/>
    <pivotField showAll="0"/>
    <pivotField axis="axisRow" numFmtId="1" showAll="0">
      <items count="6">
        <item x="2"/>
        <item x="4"/>
        <item x="3"/>
        <item x="0"/>
        <item x="1"/>
        <item t="default"/>
      </items>
    </pivotField>
    <pivotField showAll="0"/>
    <pivotField numFmtId="1" showAll="0"/>
    <pivotField showAll="0"/>
    <pivotField showAll="0"/>
    <pivotField showAll="0"/>
    <pivotField showAll="0"/>
    <pivotField showAll="0">
      <items count="3">
        <item x="0"/>
        <item x="1"/>
        <item t="default"/>
      </items>
    </pivotField>
  </pivotFields>
  <rowFields count="1">
    <field x="18"/>
  </rowFields>
  <rowItems count="6">
    <i>
      <x/>
    </i>
    <i>
      <x v="1"/>
    </i>
    <i>
      <x v="2"/>
    </i>
    <i>
      <x v="3"/>
    </i>
    <i>
      <x v="4"/>
    </i>
    <i t="grand">
      <x/>
    </i>
  </rowItems>
  <colItems count="1">
    <i/>
  </colItems>
  <dataFields count="1">
    <dataField name="Total Orders" fld="0" subtotal="count" baseField="18"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D6F4E5-0DD3-4218-BAD1-C62998345DE8}" sourceName="Region">
  <pivotTables>
    <pivotTable tabId="4" name="PivotTable1"/>
    <pivotTable tabId="4" name="PivotTable2"/>
    <pivotTable tabId="4" name="PivotTable3"/>
    <pivotTable tabId="4" name="PivotTable4"/>
    <pivotTable tabId="4" name="PivotTable5"/>
    <pivotTable tabId="4" name="PivotTable6"/>
  </pivotTables>
  <data>
    <tabular pivotCacheId="10507281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1A44C2-6167-4A19-9D84-F34816E15B32}" sourceName="Product">
  <pivotTables>
    <pivotTable tabId="4" name="PivotTable1"/>
    <pivotTable tabId="4" name="PivotTable2"/>
    <pivotTable tabId="4" name="PivotTable3"/>
    <pivotTable tabId="4" name="PivotTable4"/>
    <pivotTable tabId="4" name="PivotTable5"/>
    <pivotTable tabId="4" name="PivotTable6"/>
  </pivotTables>
  <data>
    <tabular pivotCacheId="105072816">
      <items count="6">
        <i x="1" s="1"/>
        <i x="5" s="1"/>
        <i x="2"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D6560A9B-7692-4948-892F-6E4D4B97089C}" sourceName="OrderYear">
  <pivotTables>
    <pivotTable tabId="4" name="PivotTable1"/>
    <pivotTable tabId="4" name="PivotTable2"/>
    <pivotTable tabId="4" name="PivotTable3"/>
    <pivotTable tabId="4" name="PivotTable4"/>
    <pivotTable tabId="4" name="PivotTable5"/>
    <pivotTable tabId="4" name="PivotTable6"/>
  </pivotTables>
  <data>
    <tabular pivotCacheId="10507281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1173E2-2D3E-4DEA-83B6-A993219238A8}" cache="Slicer_Region" caption="Region" style="SlicerStyleOther1 2" rowHeight="234950"/>
  <slicer name="Product" xr10:uid="{4A55BD2E-DDAD-4881-937A-C2415BEE0F4C}" cache="Slicer_Product" caption="Product" style="SlicerStyleOther1 2" rowHeight="234950"/>
  <slicer name="OrderYear" xr10:uid="{595F7C44-2048-47CB-9036-B0DD8E7F60D5}" cache="Slicer_OrderYear" caption="OrderYear"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4A19FC-FDBE-4C6A-A1A7-C54E090F7995}" name="Table1" displayName="Table1" ref="A1:Z1201" totalsRowShown="0">
  <autoFilter ref="A1:Z1201" xr:uid="{1B4A19FC-FDBE-4C6A-A1A7-C54E090F7995}"/>
  <tableColumns count="26">
    <tableColumn id="1" xr3:uid="{1B8C08CC-B695-460A-9420-18852198109F}" name="OrderID" dataDxfId="24"/>
    <tableColumn id="2" xr3:uid="{19AD1BF5-85EC-4861-9C03-159145E45003}" name="CustomerName"/>
    <tableColumn id="3" xr3:uid="{354DDFD8-A220-4667-9A9E-F412836F6928}" name="Age" dataDxfId="23"/>
    <tableColumn id="4" xr3:uid="{7B1970DC-1EB0-4B82-AB59-E7D988333C1F}" name="Gender" dataDxfId="22"/>
    <tableColumn id="5" xr3:uid="{77312C4C-96E8-4182-A2C8-A9BD28C73906}" name="City" dataDxfId="21"/>
    <tableColumn id="6" xr3:uid="{6777526F-C860-47D2-8D51-CD9DA60576DF}" name="State" dataDxfId="20"/>
    <tableColumn id="7" xr3:uid="{2BF4E817-8DC0-45EC-8F67-B9BE3119456E}" name="OrderDate" dataDxfId="19"/>
    <tableColumn id="8" xr3:uid="{F773AFBE-B3CB-4966-89C6-EC8F8E8894D8}" name="DeliveryDate" dataDxfId="18"/>
    <tableColumn id="9" xr3:uid="{AD296532-DDF0-4603-99EF-6BA866F9B55D}" name="Product" dataDxfId="17"/>
    <tableColumn id="10" xr3:uid="{72159A28-1DF5-4404-9F91-2B49728C7C29}" name="Category" dataDxfId="16"/>
    <tableColumn id="11" xr3:uid="{00DC480E-BB79-4A70-926C-D0C87ED058AE}" name="Quantity" dataDxfId="15"/>
    <tableColumn id="12" xr3:uid="{3505A446-D0C2-46E3-A569-9AE861BE740D}" name="Price" dataDxfId="14"/>
    <tableColumn id="13" xr3:uid="{F97808B0-6323-4822-AE87-E2262F8CBD65}" name="Discount %" dataDxfId="13"/>
    <tableColumn id="14" xr3:uid="{8D45B97F-67A2-4100-929F-D199DF1DBA2E}" name="PaymentMethod" dataDxfId="12"/>
    <tableColumn id="15" xr3:uid="{E0BCB386-69AA-415B-977C-DF02A62CF9DE}" name="SalesRep" dataDxfId="11"/>
    <tableColumn id="16" xr3:uid="{2BE233CC-46E9-462D-B9B2-628A413F6A28}" name="Region" dataDxfId="10"/>
    <tableColumn id="17" xr3:uid="{D1662DA1-2372-4A7B-861E-9647F5481BB7}" name="Email" dataDxfId="9"/>
    <tableColumn id="18" xr3:uid="{362D8AE7-0475-4C07-8EB1-B485A660E5FF}" name="Phone" dataDxfId="8"/>
    <tableColumn id="19" xr3:uid="{C1BF918D-D1DF-4D59-A433-EF371C5029E5}" name="Rating" dataDxfId="7"/>
    <tableColumn id="20" xr3:uid="{1F0F5C2C-CCCA-42B2-BEC1-A48CDFF255EC}" name="Feedback" dataDxfId="6"/>
    <tableColumn id="21" xr3:uid="{572683D0-FB8D-498E-A3B7-8A00FA7FDED1}" name="ShippingCost" dataDxfId="5"/>
    <tableColumn id="22" xr3:uid="{82EC071A-B6E2-4C4F-8959-3D38B7A2AD87}" name="OrderStatus" dataDxfId="4"/>
    <tableColumn id="25" xr3:uid="{A30D252A-4F18-4F5C-BD89-93D342DFD60C}" name="TotalSales" dataDxfId="3">
      <calculatedColumnFormula>Table1[[#This Row],[Quantity]]*Table1[[#This Row],[Price]]*(1-Table1[[#This Row],[Discount %]]/100)</calculatedColumnFormula>
    </tableColumn>
    <tableColumn id="27" xr3:uid="{FA3FC2F6-446E-4DF9-90EF-BA80ED3B1F7E}" name="DeliveryTime" dataDxfId="2">
      <calculatedColumnFormula>Table1[[#This Row],[DeliveryDate]]-Table1[[#This Row],[OrderDate]]</calculatedColumnFormula>
    </tableColumn>
    <tableColumn id="28" xr3:uid="{CCD61E61-D4F5-4A12-A2BF-53A9D6096077}" name="OrderMonth" dataDxfId="1">
      <calculatedColumnFormula>TEXT(Table1[[#This Row],[OrderDate]],"MMMM")</calculatedColumnFormula>
    </tableColumn>
    <tableColumn id="29" xr3:uid="{D7DD2774-FF41-47CB-9A05-C132B7CAFB47}" name="OrderYear" dataDxfId="0">
      <calculatedColumnFormula>YEAR(Table1[[#This Row],[OrderDate]])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3A8A2-0E4D-478A-8F3A-C91460F3E4AC}">
  <dimension ref="A1:V1201"/>
  <sheetViews>
    <sheetView workbookViewId="0"/>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v>27</v>
      </c>
      <c r="D2" t="s">
        <v>24</v>
      </c>
      <c r="E2" t="s">
        <v>25</v>
      </c>
      <c r="F2" t="s">
        <v>26</v>
      </c>
      <c r="G2" t="s">
        <v>27</v>
      </c>
      <c r="H2" t="s">
        <v>28</v>
      </c>
      <c r="I2" t="s">
        <v>29</v>
      </c>
      <c r="J2" t="s">
        <v>30</v>
      </c>
      <c r="K2">
        <v>4</v>
      </c>
      <c r="L2">
        <v>74820</v>
      </c>
      <c r="M2">
        <v>5</v>
      </c>
      <c r="N2" t="s">
        <v>31</v>
      </c>
      <c r="O2" t="s">
        <v>32</v>
      </c>
      <c r="P2" t="s">
        <v>33</v>
      </c>
      <c r="Q2" t="s">
        <v>34</v>
      </c>
      <c r="R2" t="s">
        <v>35</v>
      </c>
      <c r="S2">
        <v>4</v>
      </c>
      <c r="T2" t="s">
        <v>36</v>
      </c>
      <c r="U2">
        <v>91</v>
      </c>
      <c r="V2" t="s">
        <v>37</v>
      </c>
    </row>
    <row r="3" spans="1:22" x14ac:dyDescent="0.3">
      <c r="A3" t="s">
        <v>38</v>
      </c>
      <c r="B3" t="s">
        <v>39</v>
      </c>
      <c r="C3">
        <v>42</v>
      </c>
      <c r="D3" t="s">
        <v>24</v>
      </c>
      <c r="E3" t="s">
        <v>40</v>
      </c>
      <c r="F3" t="s">
        <v>26</v>
      </c>
      <c r="G3" t="s">
        <v>41</v>
      </c>
      <c r="H3" t="s">
        <v>42</v>
      </c>
      <c r="I3" t="s">
        <v>43</v>
      </c>
      <c r="J3" t="s">
        <v>44</v>
      </c>
      <c r="K3">
        <v>1</v>
      </c>
      <c r="L3">
        <v>60823</v>
      </c>
      <c r="M3">
        <v>0</v>
      </c>
      <c r="N3" t="s">
        <v>45</v>
      </c>
      <c r="O3" t="s">
        <v>46</v>
      </c>
      <c r="P3" t="s">
        <v>33</v>
      </c>
      <c r="Q3" t="s">
        <v>47</v>
      </c>
      <c r="R3" t="s">
        <v>48</v>
      </c>
      <c r="S3">
        <v>5</v>
      </c>
      <c r="T3" t="s">
        <v>36</v>
      </c>
      <c r="U3">
        <v>490</v>
      </c>
      <c r="V3" t="s">
        <v>37</v>
      </c>
    </row>
    <row r="4" spans="1:22" x14ac:dyDescent="0.3">
      <c r="A4" t="s">
        <v>49</v>
      </c>
      <c r="B4" t="s">
        <v>50</v>
      </c>
      <c r="C4">
        <v>20</v>
      </c>
      <c r="D4" t="s">
        <v>51</v>
      </c>
      <c r="E4" t="s">
        <v>52</v>
      </c>
      <c r="F4" t="s">
        <v>53</v>
      </c>
      <c r="G4" t="s">
        <v>54</v>
      </c>
      <c r="H4" t="s">
        <v>55</v>
      </c>
      <c r="I4" t="s">
        <v>29</v>
      </c>
      <c r="J4" t="s">
        <v>44</v>
      </c>
      <c r="K4">
        <v>5</v>
      </c>
      <c r="L4">
        <v>19904</v>
      </c>
      <c r="M4">
        <v>0</v>
      </c>
      <c r="N4" t="s">
        <v>56</v>
      </c>
      <c r="O4" t="s">
        <v>57</v>
      </c>
      <c r="P4" t="s">
        <v>58</v>
      </c>
      <c r="Q4" t="s">
        <v>59</v>
      </c>
      <c r="R4" t="s">
        <v>60</v>
      </c>
      <c r="S4">
        <v>1</v>
      </c>
      <c r="T4" t="s">
        <v>61</v>
      </c>
      <c r="U4">
        <v>393</v>
      </c>
      <c r="V4" t="s">
        <v>62</v>
      </c>
    </row>
    <row r="5" spans="1:22" x14ac:dyDescent="0.3">
      <c r="A5" t="s">
        <v>63</v>
      </c>
      <c r="B5" t="s">
        <v>64</v>
      </c>
      <c r="C5">
        <v>45</v>
      </c>
      <c r="D5" t="s">
        <v>51</v>
      </c>
      <c r="E5" t="s">
        <v>26</v>
      </c>
      <c r="F5" t="s">
        <v>65</v>
      </c>
      <c r="G5" t="s">
        <v>66</v>
      </c>
      <c r="H5" t="s">
        <v>67</v>
      </c>
      <c r="I5" t="s">
        <v>43</v>
      </c>
      <c r="J5" t="s">
        <v>44</v>
      </c>
      <c r="K5">
        <v>3</v>
      </c>
      <c r="L5">
        <v>27529</v>
      </c>
      <c r="M5">
        <v>0</v>
      </c>
      <c r="N5" t="s">
        <v>31</v>
      </c>
      <c r="O5" t="s">
        <v>68</v>
      </c>
      <c r="P5" t="s">
        <v>69</v>
      </c>
      <c r="Q5" t="s">
        <v>70</v>
      </c>
      <c r="R5" t="s">
        <v>71</v>
      </c>
      <c r="S5">
        <v>3</v>
      </c>
      <c r="T5" t="s">
        <v>72</v>
      </c>
      <c r="U5">
        <v>258</v>
      </c>
      <c r="V5" t="s">
        <v>62</v>
      </c>
    </row>
    <row r="6" spans="1:22" x14ac:dyDescent="0.3">
      <c r="A6" t="s">
        <v>73</v>
      </c>
      <c r="B6" t="s">
        <v>74</v>
      </c>
      <c r="C6">
        <v>38</v>
      </c>
      <c r="D6" t="s">
        <v>24</v>
      </c>
      <c r="E6" t="s">
        <v>52</v>
      </c>
      <c r="F6" t="s">
        <v>65</v>
      </c>
      <c r="G6" t="s">
        <v>75</v>
      </c>
      <c r="H6" t="s">
        <v>76</v>
      </c>
      <c r="I6" t="s">
        <v>77</v>
      </c>
      <c r="J6" t="s">
        <v>30</v>
      </c>
      <c r="K6">
        <v>1</v>
      </c>
      <c r="L6">
        <v>76158</v>
      </c>
      <c r="M6">
        <v>10</v>
      </c>
      <c r="N6" t="s">
        <v>45</v>
      </c>
      <c r="O6" t="s">
        <v>57</v>
      </c>
      <c r="P6" t="s">
        <v>33</v>
      </c>
      <c r="Q6" t="s">
        <v>78</v>
      </c>
      <c r="S6">
        <v>3</v>
      </c>
      <c r="T6" t="s">
        <v>36</v>
      </c>
      <c r="U6">
        <v>418</v>
      </c>
      <c r="V6" t="s">
        <v>79</v>
      </c>
    </row>
    <row r="7" spans="1:22" x14ac:dyDescent="0.3">
      <c r="A7" t="s">
        <v>80</v>
      </c>
      <c r="B7" t="s">
        <v>81</v>
      </c>
      <c r="C7">
        <v>57</v>
      </c>
      <c r="D7" t="s">
        <v>51</v>
      </c>
      <c r="E7" t="s">
        <v>40</v>
      </c>
      <c r="F7" t="s">
        <v>82</v>
      </c>
      <c r="G7" t="s">
        <v>83</v>
      </c>
      <c r="H7" t="s">
        <v>84</v>
      </c>
      <c r="I7" t="s">
        <v>85</v>
      </c>
      <c r="J7" t="s">
        <v>30</v>
      </c>
      <c r="K7">
        <v>2</v>
      </c>
      <c r="L7">
        <v>58163</v>
      </c>
      <c r="M7">
        <v>0</v>
      </c>
      <c r="N7" t="s">
        <v>56</v>
      </c>
      <c r="O7" t="s">
        <v>86</v>
      </c>
      <c r="P7" t="s">
        <v>69</v>
      </c>
      <c r="Q7" t="s">
        <v>87</v>
      </c>
      <c r="R7" t="s">
        <v>88</v>
      </c>
      <c r="S7">
        <v>3</v>
      </c>
      <c r="T7" t="s">
        <v>72</v>
      </c>
      <c r="U7">
        <v>471</v>
      </c>
      <c r="V7" t="s">
        <v>79</v>
      </c>
    </row>
    <row r="8" spans="1:22" x14ac:dyDescent="0.3">
      <c r="A8" t="s">
        <v>89</v>
      </c>
      <c r="B8" t="s">
        <v>90</v>
      </c>
      <c r="C8">
        <v>44</v>
      </c>
      <c r="D8" t="s">
        <v>51</v>
      </c>
      <c r="E8" t="s">
        <v>25</v>
      </c>
      <c r="F8" t="s">
        <v>91</v>
      </c>
      <c r="G8" t="s">
        <v>92</v>
      </c>
      <c r="H8" t="s">
        <v>42</v>
      </c>
      <c r="I8" t="s">
        <v>93</v>
      </c>
      <c r="J8" t="s">
        <v>30</v>
      </c>
      <c r="K8">
        <v>4</v>
      </c>
      <c r="L8">
        <v>69041</v>
      </c>
      <c r="M8">
        <v>10</v>
      </c>
      <c r="N8" t="s">
        <v>56</v>
      </c>
      <c r="O8" t="s">
        <v>57</v>
      </c>
      <c r="P8" t="s">
        <v>69</v>
      </c>
      <c r="Q8" t="s">
        <v>94</v>
      </c>
      <c r="R8" t="s">
        <v>95</v>
      </c>
      <c r="S8">
        <v>5</v>
      </c>
      <c r="T8" t="s">
        <v>96</v>
      </c>
      <c r="U8">
        <v>91</v>
      </c>
      <c r="V8" t="s">
        <v>62</v>
      </c>
    </row>
    <row r="9" spans="1:22" x14ac:dyDescent="0.3">
      <c r="A9" t="s">
        <v>97</v>
      </c>
      <c r="B9" t="s">
        <v>98</v>
      </c>
      <c r="C9">
        <v>32</v>
      </c>
      <c r="D9" t="s">
        <v>24</v>
      </c>
      <c r="E9" t="s">
        <v>99</v>
      </c>
      <c r="F9" t="s">
        <v>91</v>
      </c>
      <c r="G9" t="s">
        <v>100</v>
      </c>
      <c r="H9" t="s">
        <v>101</v>
      </c>
      <c r="I9" t="s">
        <v>43</v>
      </c>
      <c r="J9" t="s">
        <v>30</v>
      </c>
      <c r="K9">
        <v>1</v>
      </c>
      <c r="L9">
        <v>41555</v>
      </c>
      <c r="M9">
        <v>0</v>
      </c>
      <c r="N9" t="s">
        <v>45</v>
      </c>
      <c r="O9" t="s">
        <v>102</v>
      </c>
      <c r="P9" t="s">
        <v>33</v>
      </c>
      <c r="Q9" t="s">
        <v>103</v>
      </c>
      <c r="S9">
        <v>4</v>
      </c>
      <c r="T9" t="s">
        <v>61</v>
      </c>
      <c r="U9">
        <v>387</v>
      </c>
      <c r="V9" t="s">
        <v>62</v>
      </c>
    </row>
    <row r="10" spans="1:22" x14ac:dyDescent="0.3">
      <c r="A10" t="s">
        <v>104</v>
      </c>
      <c r="B10" t="s">
        <v>105</v>
      </c>
      <c r="C10">
        <v>30</v>
      </c>
      <c r="D10" t="s">
        <v>24</v>
      </c>
      <c r="E10" t="s">
        <v>52</v>
      </c>
      <c r="F10" t="s">
        <v>82</v>
      </c>
      <c r="G10" t="s">
        <v>106</v>
      </c>
      <c r="H10" t="s">
        <v>107</v>
      </c>
      <c r="I10" t="s">
        <v>108</v>
      </c>
      <c r="J10" t="s">
        <v>44</v>
      </c>
      <c r="K10">
        <v>1</v>
      </c>
      <c r="L10">
        <v>70341</v>
      </c>
      <c r="M10">
        <v>15</v>
      </c>
      <c r="N10" t="s">
        <v>45</v>
      </c>
      <c r="O10" t="s">
        <v>109</v>
      </c>
      <c r="P10" t="s">
        <v>69</v>
      </c>
      <c r="Q10" t="s">
        <v>110</v>
      </c>
      <c r="R10" t="s">
        <v>111</v>
      </c>
      <c r="S10">
        <v>5</v>
      </c>
      <c r="T10" t="s">
        <v>61</v>
      </c>
      <c r="U10">
        <v>216</v>
      </c>
      <c r="V10" t="s">
        <v>62</v>
      </c>
    </row>
    <row r="11" spans="1:22" x14ac:dyDescent="0.3">
      <c r="A11" t="s">
        <v>112</v>
      </c>
      <c r="B11" t="s">
        <v>113</v>
      </c>
      <c r="C11">
        <v>20</v>
      </c>
      <c r="D11" t="s">
        <v>51</v>
      </c>
      <c r="E11" t="s">
        <v>99</v>
      </c>
      <c r="F11" t="s">
        <v>65</v>
      </c>
      <c r="G11" t="s">
        <v>114</v>
      </c>
      <c r="H11" t="s">
        <v>115</v>
      </c>
      <c r="I11" t="s">
        <v>85</v>
      </c>
      <c r="J11" t="s">
        <v>30</v>
      </c>
      <c r="K11">
        <v>2</v>
      </c>
      <c r="L11">
        <v>35515</v>
      </c>
      <c r="M11">
        <v>5</v>
      </c>
      <c r="N11" t="s">
        <v>56</v>
      </c>
      <c r="O11" t="s">
        <v>102</v>
      </c>
      <c r="P11" t="s">
        <v>69</v>
      </c>
      <c r="Q11" t="s">
        <v>116</v>
      </c>
      <c r="R11" t="s">
        <v>117</v>
      </c>
      <c r="S11">
        <v>4</v>
      </c>
      <c r="T11" t="s">
        <v>61</v>
      </c>
      <c r="U11">
        <v>482</v>
      </c>
      <c r="V11" t="s">
        <v>79</v>
      </c>
    </row>
    <row r="12" spans="1:22" x14ac:dyDescent="0.3">
      <c r="A12" t="s">
        <v>118</v>
      </c>
      <c r="B12" t="s">
        <v>119</v>
      </c>
      <c r="C12">
        <v>51</v>
      </c>
      <c r="D12" t="s">
        <v>24</v>
      </c>
      <c r="E12" t="s">
        <v>40</v>
      </c>
      <c r="F12" t="s">
        <v>91</v>
      </c>
      <c r="G12" t="s">
        <v>120</v>
      </c>
      <c r="H12" t="s">
        <v>121</v>
      </c>
      <c r="I12" t="s">
        <v>93</v>
      </c>
      <c r="J12" t="s">
        <v>30</v>
      </c>
      <c r="K12">
        <v>5</v>
      </c>
      <c r="L12">
        <v>5663</v>
      </c>
      <c r="M12">
        <v>5</v>
      </c>
      <c r="N12" t="s">
        <v>45</v>
      </c>
      <c r="O12" t="s">
        <v>86</v>
      </c>
      <c r="P12" t="s">
        <v>33</v>
      </c>
      <c r="Q12" t="s">
        <v>122</v>
      </c>
      <c r="R12" t="s">
        <v>123</v>
      </c>
      <c r="S12">
        <v>5</v>
      </c>
      <c r="T12" t="s">
        <v>36</v>
      </c>
      <c r="U12">
        <v>456</v>
      </c>
      <c r="V12" t="s">
        <v>79</v>
      </c>
    </row>
    <row r="13" spans="1:22" x14ac:dyDescent="0.3">
      <c r="A13" t="s">
        <v>124</v>
      </c>
      <c r="B13" t="s">
        <v>125</v>
      </c>
      <c r="C13">
        <v>37</v>
      </c>
      <c r="D13" t="s">
        <v>24</v>
      </c>
      <c r="E13" t="s">
        <v>25</v>
      </c>
      <c r="F13" t="s">
        <v>82</v>
      </c>
      <c r="G13" t="s">
        <v>126</v>
      </c>
      <c r="H13" t="s">
        <v>127</v>
      </c>
      <c r="I13" t="s">
        <v>43</v>
      </c>
      <c r="J13" t="s">
        <v>30</v>
      </c>
      <c r="K13">
        <v>4</v>
      </c>
      <c r="L13">
        <v>34012</v>
      </c>
      <c r="M13">
        <v>5</v>
      </c>
      <c r="N13" t="s">
        <v>45</v>
      </c>
      <c r="O13" t="s">
        <v>32</v>
      </c>
      <c r="P13" t="s">
        <v>33</v>
      </c>
      <c r="R13" t="s">
        <v>128</v>
      </c>
      <c r="S13">
        <v>2</v>
      </c>
      <c r="T13" t="s">
        <v>96</v>
      </c>
      <c r="U13">
        <v>272</v>
      </c>
      <c r="V13" t="s">
        <v>79</v>
      </c>
    </row>
    <row r="14" spans="1:22" x14ac:dyDescent="0.3">
      <c r="A14" t="s">
        <v>129</v>
      </c>
      <c r="B14" t="s">
        <v>130</v>
      </c>
      <c r="C14">
        <v>42</v>
      </c>
      <c r="D14" t="s">
        <v>24</v>
      </c>
      <c r="E14" t="s">
        <v>131</v>
      </c>
      <c r="F14" t="s">
        <v>82</v>
      </c>
      <c r="G14" t="s">
        <v>132</v>
      </c>
      <c r="H14" t="s">
        <v>107</v>
      </c>
      <c r="I14" t="s">
        <v>93</v>
      </c>
      <c r="J14" t="s">
        <v>44</v>
      </c>
      <c r="K14">
        <v>2</v>
      </c>
      <c r="L14">
        <v>50358</v>
      </c>
      <c r="M14">
        <v>5</v>
      </c>
      <c r="N14" t="s">
        <v>31</v>
      </c>
      <c r="O14" t="s">
        <v>133</v>
      </c>
      <c r="P14" t="s">
        <v>58</v>
      </c>
      <c r="R14" t="s">
        <v>134</v>
      </c>
      <c r="S14">
        <v>3</v>
      </c>
      <c r="T14" t="s">
        <v>72</v>
      </c>
      <c r="U14">
        <v>82</v>
      </c>
      <c r="V14" t="s">
        <v>79</v>
      </c>
    </row>
    <row r="15" spans="1:22" x14ac:dyDescent="0.3">
      <c r="A15" t="s">
        <v>135</v>
      </c>
      <c r="B15" t="s">
        <v>136</v>
      </c>
      <c r="C15">
        <v>34</v>
      </c>
      <c r="D15" t="s">
        <v>24</v>
      </c>
      <c r="E15" t="s">
        <v>26</v>
      </c>
      <c r="F15" t="s">
        <v>65</v>
      </c>
      <c r="G15" t="s">
        <v>137</v>
      </c>
      <c r="H15" t="s">
        <v>138</v>
      </c>
      <c r="I15" t="s">
        <v>29</v>
      </c>
      <c r="J15" t="s">
        <v>30</v>
      </c>
      <c r="K15">
        <v>4</v>
      </c>
      <c r="L15">
        <v>60856</v>
      </c>
      <c r="M15">
        <v>15</v>
      </c>
      <c r="N15" t="s">
        <v>56</v>
      </c>
      <c r="O15" t="s">
        <v>46</v>
      </c>
      <c r="P15" t="s">
        <v>69</v>
      </c>
      <c r="R15" t="s">
        <v>139</v>
      </c>
      <c r="S15">
        <v>1</v>
      </c>
      <c r="T15" t="s">
        <v>96</v>
      </c>
      <c r="U15">
        <v>467</v>
      </c>
      <c r="V15" t="s">
        <v>37</v>
      </c>
    </row>
    <row r="16" spans="1:22" x14ac:dyDescent="0.3">
      <c r="A16" t="s">
        <v>140</v>
      </c>
      <c r="B16" t="s">
        <v>141</v>
      </c>
      <c r="C16">
        <v>53</v>
      </c>
      <c r="D16" t="s">
        <v>51</v>
      </c>
      <c r="E16" t="s">
        <v>142</v>
      </c>
      <c r="F16" t="s">
        <v>82</v>
      </c>
      <c r="G16" t="s">
        <v>84</v>
      </c>
      <c r="H16" t="s">
        <v>143</v>
      </c>
      <c r="I16" t="s">
        <v>108</v>
      </c>
      <c r="J16" t="s">
        <v>44</v>
      </c>
      <c r="K16">
        <v>3</v>
      </c>
      <c r="M16">
        <v>15</v>
      </c>
      <c r="N16" t="s">
        <v>31</v>
      </c>
      <c r="O16" t="s">
        <v>102</v>
      </c>
      <c r="P16" t="s">
        <v>33</v>
      </c>
      <c r="Q16" t="s">
        <v>144</v>
      </c>
      <c r="S16">
        <v>5</v>
      </c>
      <c r="T16" t="s">
        <v>36</v>
      </c>
      <c r="U16">
        <v>161</v>
      </c>
      <c r="V16" t="s">
        <v>37</v>
      </c>
    </row>
    <row r="17" spans="1:22" x14ac:dyDescent="0.3">
      <c r="A17" t="s">
        <v>145</v>
      </c>
      <c r="B17" t="s">
        <v>141</v>
      </c>
      <c r="C17">
        <v>36</v>
      </c>
      <c r="D17" t="s">
        <v>24</v>
      </c>
      <c r="E17" t="s">
        <v>99</v>
      </c>
      <c r="F17" t="s">
        <v>65</v>
      </c>
      <c r="G17" t="s">
        <v>146</v>
      </c>
      <c r="H17" t="s">
        <v>147</v>
      </c>
      <c r="I17" t="s">
        <v>29</v>
      </c>
      <c r="J17" t="s">
        <v>44</v>
      </c>
      <c r="K17">
        <v>4</v>
      </c>
      <c r="L17">
        <v>67350</v>
      </c>
      <c r="M17">
        <v>0</v>
      </c>
      <c r="N17" t="s">
        <v>45</v>
      </c>
      <c r="O17" t="s">
        <v>68</v>
      </c>
      <c r="P17" t="s">
        <v>33</v>
      </c>
      <c r="Q17" t="s">
        <v>144</v>
      </c>
      <c r="R17" t="s">
        <v>148</v>
      </c>
      <c r="S17">
        <v>3</v>
      </c>
      <c r="T17" t="s">
        <v>36</v>
      </c>
      <c r="U17">
        <v>141</v>
      </c>
      <c r="V17" t="s">
        <v>79</v>
      </c>
    </row>
    <row r="18" spans="1:22" x14ac:dyDescent="0.3">
      <c r="A18" t="s">
        <v>149</v>
      </c>
      <c r="B18" t="s">
        <v>150</v>
      </c>
      <c r="C18">
        <v>51</v>
      </c>
      <c r="D18" t="s">
        <v>24</v>
      </c>
      <c r="E18" t="s">
        <v>26</v>
      </c>
      <c r="F18" t="s">
        <v>26</v>
      </c>
      <c r="G18" t="s">
        <v>151</v>
      </c>
      <c r="H18" t="s">
        <v>152</v>
      </c>
      <c r="I18" t="s">
        <v>108</v>
      </c>
      <c r="J18" t="s">
        <v>30</v>
      </c>
      <c r="K18">
        <v>3</v>
      </c>
      <c r="L18">
        <v>5673</v>
      </c>
      <c r="M18">
        <v>10</v>
      </c>
      <c r="N18" t="s">
        <v>56</v>
      </c>
      <c r="O18" t="s">
        <v>46</v>
      </c>
      <c r="P18" t="s">
        <v>33</v>
      </c>
      <c r="Q18" t="s">
        <v>153</v>
      </c>
      <c r="R18" t="s">
        <v>154</v>
      </c>
      <c r="S18">
        <v>2</v>
      </c>
      <c r="T18" t="s">
        <v>72</v>
      </c>
      <c r="U18">
        <v>459</v>
      </c>
      <c r="V18" t="s">
        <v>37</v>
      </c>
    </row>
    <row r="19" spans="1:22" x14ac:dyDescent="0.3">
      <c r="A19" t="s">
        <v>155</v>
      </c>
      <c r="B19" t="s">
        <v>156</v>
      </c>
      <c r="C19">
        <v>48</v>
      </c>
      <c r="D19" t="s">
        <v>51</v>
      </c>
      <c r="E19" t="s">
        <v>99</v>
      </c>
      <c r="F19" t="s">
        <v>65</v>
      </c>
      <c r="G19" t="s">
        <v>157</v>
      </c>
      <c r="H19" t="s">
        <v>158</v>
      </c>
      <c r="I19" t="s">
        <v>77</v>
      </c>
      <c r="J19" t="s">
        <v>44</v>
      </c>
      <c r="K19">
        <v>4</v>
      </c>
      <c r="L19">
        <v>35069</v>
      </c>
      <c r="M19">
        <v>5</v>
      </c>
      <c r="N19" t="s">
        <v>31</v>
      </c>
      <c r="O19" t="s">
        <v>68</v>
      </c>
      <c r="P19" t="s">
        <v>33</v>
      </c>
      <c r="Q19" t="s">
        <v>159</v>
      </c>
      <c r="R19" t="s">
        <v>160</v>
      </c>
      <c r="S19">
        <v>3</v>
      </c>
      <c r="T19" t="s">
        <v>96</v>
      </c>
      <c r="U19">
        <v>263</v>
      </c>
      <c r="V19" t="s">
        <v>62</v>
      </c>
    </row>
    <row r="20" spans="1:22" x14ac:dyDescent="0.3">
      <c r="A20" t="s">
        <v>161</v>
      </c>
      <c r="B20" t="s">
        <v>162</v>
      </c>
      <c r="C20">
        <v>53</v>
      </c>
      <c r="D20" t="s">
        <v>163</v>
      </c>
      <c r="E20" t="s">
        <v>131</v>
      </c>
      <c r="F20" t="s">
        <v>82</v>
      </c>
      <c r="G20" t="s">
        <v>164</v>
      </c>
      <c r="H20" t="s">
        <v>165</v>
      </c>
      <c r="I20" t="s">
        <v>77</v>
      </c>
      <c r="J20" t="s">
        <v>30</v>
      </c>
      <c r="K20">
        <v>1</v>
      </c>
      <c r="L20">
        <v>28582</v>
      </c>
      <c r="M20">
        <v>0</v>
      </c>
      <c r="N20" t="s">
        <v>166</v>
      </c>
      <c r="O20" t="s">
        <v>57</v>
      </c>
      <c r="P20" t="s">
        <v>69</v>
      </c>
      <c r="Q20" t="s">
        <v>167</v>
      </c>
      <c r="R20" t="s">
        <v>168</v>
      </c>
      <c r="S20">
        <v>5</v>
      </c>
      <c r="T20" t="s">
        <v>96</v>
      </c>
      <c r="U20">
        <v>95</v>
      </c>
      <c r="V20" t="s">
        <v>37</v>
      </c>
    </row>
    <row r="21" spans="1:22" x14ac:dyDescent="0.3">
      <c r="A21" t="s">
        <v>169</v>
      </c>
      <c r="B21" t="s">
        <v>170</v>
      </c>
      <c r="C21">
        <v>37</v>
      </c>
      <c r="D21" t="s">
        <v>51</v>
      </c>
      <c r="E21" t="s">
        <v>131</v>
      </c>
      <c r="F21" t="s">
        <v>82</v>
      </c>
      <c r="G21" t="s">
        <v>171</v>
      </c>
      <c r="H21" t="s">
        <v>172</v>
      </c>
      <c r="I21" t="s">
        <v>93</v>
      </c>
      <c r="J21" t="s">
        <v>30</v>
      </c>
      <c r="K21">
        <v>2</v>
      </c>
      <c r="L21">
        <v>42817</v>
      </c>
      <c r="M21">
        <v>0</v>
      </c>
      <c r="N21" t="s">
        <v>166</v>
      </c>
      <c r="O21" t="s">
        <v>173</v>
      </c>
      <c r="P21" t="s">
        <v>174</v>
      </c>
      <c r="Q21" t="s">
        <v>175</v>
      </c>
      <c r="R21" t="s">
        <v>176</v>
      </c>
      <c r="S21">
        <v>5</v>
      </c>
      <c r="T21" t="s">
        <v>36</v>
      </c>
      <c r="U21">
        <v>312</v>
      </c>
      <c r="V21" t="s">
        <v>62</v>
      </c>
    </row>
    <row r="22" spans="1:22" x14ac:dyDescent="0.3">
      <c r="A22" t="s">
        <v>177</v>
      </c>
      <c r="B22" t="s">
        <v>98</v>
      </c>
      <c r="C22">
        <v>60</v>
      </c>
      <c r="D22" t="s">
        <v>163</v>
      </c>
      <c r="E22" t="s">
        <v>25</v>
      </c>
      <c r="F22" t="s">
        <v>26</v>
      </c>
      <c r="G22" t="s">
        <v>178</v>
      </c>
      <c r="H22" t="s">
        <v>179</v>
      </c>
      <c r="I22" t="s">
        <v>29</v>
      </c>
      <c r="J22" t="s">
        <v>44</v>
      </c>
      <c r="K22">
        <v>3</v>
      </c>
      <c r="L22">
        <v>45158</v>
      </c>
      <c r="M22">
        <v>0</v>
      </c>
      <c r="N22" t="s">
        <v>31</v>
      </c>
      <c r="O22" t="s">
        <v>109</v>
      </c>
      <c r="P22" t="s">
        <v>174</v>
      </c>
      <c r="R22" t="s">
        <v>180</v>
      </c>
      <c r="S22">
        <v>4</v>
      </c>
      <c r="T22" t="s">
        <v>72</v>
      </c>
      <c r="U22">
        <v>274</v>
      </c>
      <c r="V22" t="s">
        <v>37</v>
      </c>
    </row>
    <row r="23" spans="1:22" x14ac:dyDescent="0.3">
      <c r="A23" t="s">
        <v>181</v>
      </c>
      <c r="B23" t="s">
        <v>182</v>
      </c>
      <c r="C23">
        <v>37</v>
      </c>
      <c r="D23" t="s">
        <v>183</v>
      </c>
      <c r="E23" t="s">
        <v>52</v>
      </c>
      <c r="F23" t="s">
        <v>53</v>
      </c>
      <c r="G23" t="s">
        <v>184</v>
      </c>
      <c r="H23" t="s">
        <v>185</v>
      </c>
      <c r="I23" t="s">
        <v>85</v>
      </c>
      <c r="J23" t="s">
        <v>44</v>
      </c>
      <c r="K23">
        <v>1</v>
      </c>
      <c r="L23">
        <v>56566</v>
      </c>
      <c r="M23">
        <v>10</v>
      </c>
      <c r="N23" t="s">
        <v>166</v>
      </c>
      <c r="O23" t="s">
        <v>32</v>
      </c>
      <c r="P23" t="s">
        <v>33</v>
      </c>
      <c r="Q23" t="s">
        <v>186</v>
      </c>
      <c r="R23" t="s">
        <v>187</v>
      </c>
      <c r="S23">
        <v>3</v>
      </c>
      <c r="T23" t="s">
        <v>96</v>
      </c>
      <c r="U23">
        <v>134</v>
      </c>
      <c r="V23" t="s">
        <v>79</v>
      </c>
    </row>
    <row r="24" spans="1:22" x14ac:dyDescent="0.3">
      <c r="A24" t="s">
        <v>188</v>
      </c>
      <c r="B24" t="s">
        <v>189</v>
      </c>
      <c r="C24">
        <v>25</v>
      </c>
      <c r="D24" t="s">
        <v>51</v>
      </c>
      <c r="E24" t="s">
        <v>99</v>
      </c>
      <c r="F24" t="s">
        <v>82</v>
      </c>
      <c r="G24" t="s">
        <v>115</v>
      </c>
      <c r="H24" t="s">
        <v>190</v>
      </c>
      <c r="I24" t="s">
        <v>93</v>
      </c>
      <c r="J24" t="s">
        <v>44</v>
      </c>
      <c r="K24">
        <v>5</v>
      </c>
      <c r="L24">
        <v>14757</v>
      </c>
      <c r="M24">
        <v>0</v>
      </c>
      <c r="N24" t="s">
        <v>31</v>
      </c>
      <c r="O24" t="s">
        <v>57</v>
      </c>
      <c r="P24" t="s">
        <v>33</v>
      </c>
      <c r="Q24" t="s">
        <v>191</v>
      </c>
      <c r="S24">
        <v>1</v>
      </c>
      <c r="T24" t="s">
        <v>96</v>
      </c>
      <c r="U24">
        <v>341</v>
      </c>
      <c r="V24" t="s">
        <v>62</v>
      </c>
    </row>
    <row r="25" spans="1:22" x14ac:dyDescent="0.3">
      <c r="A25" t="s">
        <v>192</v>
      </c>
      <c r="B25" t="s">
        <v>193</v>
      </c>
      <c r="C25">
        <v>23</v>
      </c>
      <c r="D25" t="s">
        <v>51</v>
      </c>
      <c r="E25" t="s">
        <v>25</v>
      </c>
      <c r="F25" t="s">
        <v>53</v>
      </c>
      <c r="G25" t="s">
        <v>194</v>
      </c>
      <c r="H25" t="s">
        <v>146</v>
      </c>
      <c r="I25" t="s">
        <v>43</v>
      </c>
      <c r="J25" t="s">
        <v>44</v>
      </c>
      <c r="K25">
        <v>5</v>
      </c>
      <c r="L25">
        <v>16091</v>
      </c>
      <c r="M25">
        <v>15</v>
      </c>
      <c r="N25" t="s">
        <v>166</v>
      </c>
      <c r="O25" t="s">
        <v>86</v>
      </c>
      <c r="P25" t="s">
        <v>174</v>
      </c>
      <c r="Q25" t="s">
        <v>195</v>
      </c>
      <c r="R25" t="s">
        <v>196</v>
      </c>
      <c r="S25">
        <v>3</v>
      </c>
      <c r="T25" t="s">
        <v>36</v>
      </c>
      <c r="U25">
        <v>421</v>
      </c>
      <c r="V25" t="s">
        <v>37</v>
      </c>
    </row>
    <row r="26" spans="1:22" x14ac:dyDescent="0.3">
      <c r="A26" t="s">
        <v>197</v>
      </c>
      <c r="B26" t="s">
        <v>198</v>
      </c>
      <c r="C26">
        <v>47</v>
      </c>
      <c r="D26" t="s">
        <v>51</v>
      </c>
      <c r="E26" t="s">
        <v>99</v>
      </c>
      <c r="F26" t="s">
        <v>53</v>
      </c>
      <c r="G26" t="s">
        <v>199</v>
      </c>
      <c r="H26" t="s">
        <v>200</v>
      </c>
      <c r="I26" t="s">
        <v>108</v>
      </c>
      <c r="J26" t="s">
        <v>30</v>
      </c>
      <c r="K26">
        <v>1</v>
      </c>
      <c r="L26">
        <v>38597</v>
      </c>
      <c r="M26">
        <v>15</v>
      </c>
      <c r="N26" t="s">
        <v>56</v>
      </c>
      <c r="O26" t="s">
        <v>133</v>
      </c>
      <c r="P26" t="s">
        <v>174</v>
      </c>
      <c r="Q26" t="s">
        <v>201</v>
      </c>
      <c r="R26" t="s">
        <v>202</v>
      </c>
      <c r="S26">
        <v>4</v>
      </c>
      <c r="T26" t="s">
        <v>36</v>
      </c>
      <c r="U26">
        <v>466</v>
      </c>
      <c r="V26" t="s">
        <v>79</v>
      </c>
    </row>
    <row r="27" spans="1:22" x14ac:dyDescent="0.3">
      <c r="A27" t="s">
        <v>203</v>
      </c>
      <c r="B27" t="s">
        <v>204</v>
      </c>
      <c r="C27">
        <v>24</v>
      </c>
      <c r="D27" t="s">
        <v>24</v>
      </c>
      <c r="E27" t="s">
        <v>26</v>
      </c>
      <c r="F27" t="s">
        <v>26</v>
      </c>
      <c r="G27" t="s">
        <v>205</v>
      </c>
      <c r="H27" t="s">
        <v>206</v>
      </c>
      <c r="I27" t="s">
        <v>85</v>
      </c>
      <c r="J27" t="s">
        <v>30</v>
      </c>
      <c r="K27">
        <v>3</v>
      </c>
      <c r="L27">
        <v>16895</v>
      </c>
      <c r="M27">
        <v>5</v>
      </c>
      <c r="N27" t="s">
        <v>166</v>
      </c>
      <c r="O27" t="s">
        <v>86</v>
      </c>
      <c r="P27" t="s">
        <v>69</v>
      </c>
      <c r="Q27" t="s">
        <v>207</v>
      </c>
      <c r="S27">
        <v>4</v>
      </c>
      <c r="T27" t="s">
        <v>96</v>
      </c>
      <c r="U27">
        <v>318</v>
      </c>
      <c r="V27" t="s">
        <v>79</v>
      </c>
    </row>
    <row r="28" spans="1:22" x14ac:dyDescent="0.3">
      <c r="A28" t="s">
        <v>208</v>
      </c>
      <c r="B28" t="s">
        <v>209</v>
      </c>
      <c r="C28">
        <v>39</v>
      </c>
      <c r="D28" t="s">
        <v>51</v>
      </c>
      <c r="E28" t="s">
        <v>142</v>
      </c>
      <c r="F28" t="s">
        <v>26</v>
      </c>
      <c r="G28" t="s">
        <v>55</v>
      </c>
      <c r="H28" t="s">
        <v>210</v>
      </c>
      <c r="I28" t="s">
        <v>77</v>
      </c>
      <c r="J28" t="s">
        <v>30</v>
      </c>
      <c r="K28">
        <v>1</v>
      </c>
      <c r="L28">
        <v>25660</v>
      </c>
      <c r="M28">
        <v>5</v>
      </c>
      <c r="N28" t="s">
        <v>45</v>
      </c>
      <c r="O28" t="s">
        <v>173</v>
      </c>
      <c r="P28" t="s">
        <v>33</v>
      </c>
      <c r="S28">
        <v>4</v>
      </c>
      <c r="T28" t="s">
        <v>36</v>
      </c>
      <c r="U28">
        <v>212</v>
      </c>
      <c r="V28" t="s">
        <v>79</v>
      </c>
    </row>
    <row r="29" spans="1:22" x14ac:dyDescent="0.3">
      <c r="A29" t="s">
        <v>211</v>
      </c>
      <c r="B29" t="s">
        <v>74</v>
      </c>
      <c r="C29">
        <v>59</v>
      </c>
      <c r="D29" t="s">
        <v>51</v>
      </c>
      <c r="E29" t="s">
        <v>142</v>
      </c>
      <c r="F29" t="s">
        <v>53</v>
      </c>
      <c r="G29" t="s">
        <v>212</v>
      </c>
      <c r="H29" t="s">
        <v>213</v>
      </c>
      <c r="I29" t="s">
        <v>108</v>
      </c>
      <c r="J29" t="s">
        <v>30</v>
      </c>
      <c r="K29">
        <v>2</v>
      </c>
      <c r="L29">
        <v>17174</v>
      </c>
      <c r="M29">
        <v>15</v>
      </c>
      <c r="N29" t="s">
        <v>31</v>
      </c>
      <c r="O29" t="s">
        <v>57</v>
      </c>
      <c r="P29" t="s">
        <v>69</v>
      </c>
      <c r="Q29" t="s">
        <v>78</v>
      </c>
      <c r="R29" t="s">
        <v>214</v>
      </c>
      <c r="S29">
        <v>3</v>
      </c>
      <c r="T29" t="s">
        <v>61</v>
      </c>
      <c r="U29">
        <v>383</v>
      </c>
      <c r="V29" t="s">
        <v>79</v>
      </c>
    </row>
    <row r="30" spans="1:22" x14ac:dyDescent="0.3">
      <c r="A30" t="s">
        <v>215</v>
      </c>
      <c r="B30" t="s">
        <v>216</v>
      </c>
      <c r="C30">
        <v>47</v>
      </c>
      <c r="D30" t="s">
        <v>51</v>
      </c>
      <c r="E30" t="s">
        <v>52</v>
      </c>
      <c r="F30" t="s">
        <v>26</v>
      </c>
      <c r="G30" t="s">
        <v>217</v>
      </c>
      <c r="H30" t="s">
        <v>218</v>
      </c>
      <c r="I30" t="s">
        <v>93</v>
      </c>
      <c r="J30" t="s">
        <v>30</v>
      </c>
      <c r="K30">
        <v>5</v>
      </c>
      <c r="L30">
        <v>57424</v>
      </c>
      <c r="M30">
        <v>5</v>
      </c>
      <c r="N30" t="s">
        <v>166</v>
      </c>
      <c r="O30" t="s">
        <v>133</v>
      </c>
      <c r="P30" t="s">
        <v>69</v>
      </c>
      <c r="Q30" t="s">
        <v>219</v>
      </c>
      <c r="R30" t="s">
        <v>220</v>
      </c>
      <c r="S30">
        <v>2</v>
      </c>
      <c r="T30" t="s">
        <v>36</v>
      </c>
      <c r="U30">
        <v>290</v>
      </c>
      <c r="V30" t="s">
        <v>37</v>
      </c>
    </row>
    <row r="31" spans="1:22" x14ac:dyDescent="0.3">
      <c r="A31" t="s">
        <v>221</v>
      </c>
      <c r="B31" t="s">
        <v>222</v>
      </c>
      <c r="C31">
        <v>24</v>
      </c>
      <c r="D31" t="s">
        <v>24</v>
      </c>
      <c r="E31" t="s">
        <v>142</v>
      </c>
      <c r="F31" t="s">
        <v>91</v>
      </c>
      <c r="G31" t="s">
        <v>223</v>
      </c>
      <c r="H31" t="s">
        <v>224</v>
      </c>
      <c r="I31" t="s">
        <v>29</v>
      </c>
      <c r="J31" t="s">
        <v>44</v>
      </c>
      <c r="K31">
        <v>1</v>
      </c>
      <c r="L31">
        <v>48390</v>
      </c>
      <c r="M31">
        <v>10</v>
      </c>
      <c r="N31" t="s">
        <v>45</v>
      </c>
      <c r="O31" t="s">
        <v>68</v>
      </c>
      <c r="P31" t="s">
        <v>174</v>
      </c>
      <c r="Q31" t="s">
        <v>225</v>
      </c>
      <c r="R31" t="s">
        <v>226</v>
      </c>
      <c r="S31">
        <v>5</v>
      </c>
      <c r="T31" t="s">
        <v>61</v>
      </c>
      <c r="U31">
        <v>63</v>
      </c>
      <c r="V31" t="s">
        <v>37</v>
      </c>
    </row>
    <row r="32" spans="1:22" x14ac:dyDescent="0.3">
      <c r="A32" t="s">
        <v>227</v>
      </c>
      <c r="B32" t="s">
        <v>228</v>
      </c>
      <c r="C32">
        <v>24</v>
      </c>
      <c r="D32" t="s">
        <v>51</v>
      </c>
      <c r="E32" t="s">
        <v>229</v>
      </c>
      <c r="F32" t="s">
        <v>82</v>
      </c>
      <c r="G32" t="s">
        <v>230</v>
      </c>
      <c r="H32" t="s">
        <v>231</v>
      </c>
      <c r="I32" t="s">
        <v>77</v>
      </c>
      <c r="J32" t="s">
        <v>44</v>
      </c>
      <c r="K32">
        <v>5</v>
      </c>
      <c r="L32">
        <v>71901</v>
      </c>
      <c r="M32">
        <v>15</v>
      </c>
      <c r="N32" t="s">
        <v>56</v>
      </c>
      <c r="O32" t="s">
        <v>109</v>
      </c>
      <c r="P32" t="s">
        <v>174</v>
      </c>
      <c r="Q32" t="s">
        <v>232</v>
      </c>
      <c r="R32" t="s">
        <v>233</v>
      </c>
      <c r="S32">
        <v>4</v>
      </c>
      <c r="T32" t="s">
        <v>72</v>
      </c>
      <c r="U32">
        <v>371</v>
      </c>
      <c r="V32" t="s">
        <v>37</v>
      </c>
    </row>
    <row r="33" spans="1:22" x14ac:dyDescent="0.3">
      <c r="A33" t="s">
        <v>234</v>
      </c>
      <c r="B33" t="s">
        <v>235</v>
      </c>
      <c r="C33">
        <v>36</v>
      </c>
      <c r="D33" t="s">
        <v>24</v>
      </c>
      <c r="E33" t="s">
        <v>131</v>
      </c>
      <c r="F33" t="s">
        <v>91</v>
      </c>
      <c r="G33" t="s">
        <v>236</v>
      </c>
      <c r="H33" t="s">
        <v>237</v>
      </c>
      <c r="I33" t="s">
        <v>43</v>
      </c>
      <c r="J33" t="s">
        <v>30</v>
      </c>
      <c r="K33">
        <v>1</v>
      </c>
      <c r="L33">
        <v>48189</v>
      </c>
      <c r="M33">
        <v>15</v>
      </c>
      <c r="N33" t="s">
        <v>31</v>
      </c>
      <c r="O33" t="s">
        <v>32</v>
      </c>
      <c r="P33" t="s">
        <v>69</v>
      </c>
      <c r="R33" t="s">
        <v>238</v>
      </c>
      <c r="S33">
        <v>2</v>
      </c>
      <c r="T33" t="s">
        <v>61</v>
      </c>
      <c r="U33">
        <v>88</v>
      </c>
      <c r="V33" t="s">
        <v>37</v>
      </c>
    </row>
    <row r="34" spans="1:22" x14ac:dyDescent="0.3">
      <c r="A34" t="s">
        <v>239</v>
      </c>
      <c r="B34" t="s">
        <v>90</v>
      </c>
      <c r="C34">
        <v>23</v>
      </c>
      <c r="D34" t="s">
        <v>51</v>
      </c>
      <c r="E34" t="s">
        <v>25</v>
      </c>
      <c r="F34" t="s">
        <v>91</v>
      </c>
      <c r="G34" t="s">
        <v>240</v>
      </c>
      <c r="H34" t="s">
        <v>224</v>
      </c>
      <c r="I34" t="s">
        <v>108</v>
      </c>
      <c r="J34" t="s">
        <v>30</v>
      </c>
      <c r="K34">
        <v>1</v>
      </c>
      <c r="M34">
        <v>15</v>
      </c>
      <c r="N34" t="s">
        <v>56</v>
      </c>
      <c r="O34" t="s">
        <v>109</v>
      </c>
      <c r="P34" t="s">
        <v>58</v>
      </c>
      <c r="Q34" t="s">
        <v>94</v>
      </c>
      <c r="R34" t="s">
        <v>241</v>
      </c>
      <c r="S34">
        <v>3</v>
      </c>
      <c r="T34" t="s">
        <v>36</v>
      </c>
      <c r="U34">
        <v>421</v>
      </c>
      <c r="V34" t="s">
        <v>62</v>
      </c>
    </row>
    <row r="35" spans="1:22" x14ac:dyDescent="0.3">
      <c r="A35" t="s">
        <v>242</v>
      </c>
      <c r="B35" t="s">
        <v>243</v>
      </c>
      <c r="C35">
        <v>46</v>
      </c>
      <c r="D35" t="s">
        <v>51</v>
      </c>
      <c r="E35" t="s">
        <v>142</v>
      </c>
      <c r="F35" t="s">
        <v>53</v>
      </c>
      <c r="G35" t="s">
        <v>244</v>
      </c>
      <c r="H35" t="s">
        <v>245</v>
      </c>
      <c r="I35" t="s">
        <v>85</v>
      </c>
      <c r="J35" t="s">
        <v>30</v>
      </c>
      <c r="K35">
        <v>4</v>
      </c>
      <c r="M35">
        <v>10</v>
      </c>
      <c r="N35" t="s">
        <v>45</v>
      </c>
      <c r="O35" t="s">
        <v>173</v>
      </c>
      <c r="P35" t="s">
        <v>33</v>
      </c>
      <c r="Q35" t="s">
        <v>246</v>
      </c>
      <c r="R35" t="s">
        <v>247</v>
      </c>
      <c r="S35">
        <v>3</v>
      </c>
      <c r="T35" t="s">
        <v>96</v>
      </c>
      <c r="U35">
        <v>237</v>
      </c>
      <c r="V35" t="s">
        <v>79</v>
      </c>
    </row>
    <row r="36" spans="1:22" x14ac:dyDescent="0.3">
      <c r="A36" t="s">
        <v>248</v>
      </c>
      <c r="B36" t="s">
        <v>249</v>
      </c>
      <c r="C36">
        <v>48</v>
      </c>
      <c r="D36" t="s">
        <v>24</v>
      </c>
      <c r="E36" t="s">
        <v>40</v>
      </c>
      <c r="F36" t="s">
        <v>53</v>
      </c>
      <c r="G36" t="s">
        <v>250</v>
      </c>
      <c r="H36" t="s">
        <v>251</v>
      </c>
      <c r="I36" t="s">
        <v>77</v>
      </c>
      <c r="J36" t="s">
        <v>44</v>
      </c>
      <c r="K36">
        <v>5</v>
      </c>
      <c r="L36">
        <v>5317</v>
      </c>
      <c r="M36">
        <v>5</v>
      </c>
      <c r="N36" t="s">
        <v>31</v>
      </c>
      <c r="O36" t="s">
        <v>86</v>
      </c>
      <c r="P36" t="s">
        <v>69</v>
      </c>
      <c r="Q36" t="s">
        <v>252</v>
      </c>
      <c r="R36" t="s">
        <v>253</v>
      </c>
      <c r="S36">
        <v>1</v>
      </c>
      <c r="T36" t="s">
        <v>72</v>
      </c>
      <c r="U36">
        <v>299</v>
      </c>
      <c r="V36" t="s">
        <v>62</v>
      </c>
    </row>
    <row r="37" spans="1:22" x14ac:dyDescent="0.3">
      <c r="A37" t="s">
        <v>254</v>
      </c>
      <c r="B37" t="s">
        <v>255</v>
      </c>
      <c r="C37">
        <v>32</v>
      </c>
      <c r="D37" t="s">
        <v>24</v>
      </c>
      <c r="E37" t="s">
        <v>142</v>
      </c>
      <c r="F37" t="s">
        <v>65</v>
      </c>
      <c r="G37" t="s">
        <v>256</v>
      </c>
      <c r="H37" t="s">
        <v>257</v>
      </c>
      <c r="I37" t="s">
        <v>93</v>
      </c>
      <c r="J37" t="s">
        <v>30</v>
      </c>
      <c r="K37">
        <v>1</v>
      </c>
      <c r="L37">
        <v>42221</v>
      </c>
      <c r="M37">
        <v>0</v>
      </c>
      <c r="N37" t="s">
        <v>56</v>
      </c>
      <c r="O37" t="s">
        <v>109</v>
      </c>
      <c r="P37" t="s">
        <v>69</v>
      </c>
      <c r="Q37" t="s">
        <v>258</v>
      </c>
      <c r="R37" t="s">
        <v>259</v>
      </c>
      <c r="S37">
        <v>4</v>
      </c>
      <c r="T37" t="s">
        <v>72</v>
      </c>
      <c r="U37">
        <v>153</v>
      </c>
      <c r="V37" t="s">
        <v>79</v>
      </c>
    </row>
    <row r="38" spans="1:22" x14ac:dyDescent="0.3">
      <c r="A38" t="s">
        <v>260</v>
      </c>
      <c r="B38" t="s">
        <v>261</v>
      </c>
      <c r="C38">
        <v>49</v>
      </c>
      <c r="D38" t="s">
        <v>24</v>
      </c>
      <c r="E38" t="s">
        <v>26</v>
      </c>
      <c r="F38" t="s">
        <v>65</v>
      </c>
      <c r="G38" t="s">
        <v>262</v>
      </c>
      <c r="H38" t="s">
        <v>263</v>
      </c>
      <c r="I38" t="s">
        <v>43</v>
      </c>
      <c r="J38" t="s">
        <v>30</v>
      </c>
      <c r="K38">
        <v>1</v>
      </c>
      <c r="L38">
        <v>12673</v>
      </c>
      <c r="M38">
        <v>10</v>
      </c>
      <c r="N38" t="s">
        <v>56</v>
      </c>
      <c r="O38" t="s">
        <v>86</v>
      </c>
      <c r="P38" t="s">
        <v>174</v>
      </c>
      <c r="Q38" t="s">
        <v>264</v>
      </c>
      <c r="R38" t="s">
        <v>265</v>
      </c>
      <c r="S38">
        <v>1</v>
      </c>
      <c r="T38" t="s">
        <v>72</v>
      </c>
      <c r="U38">
        <v>466</v>
      </c>
      <c r="V38" t="s">
        <v>62</v>
      </c>
    </row>
    <row r="39" spans="1:22" x14ac:dyDescent="0.3">
      <c r="A39" t="s">
        <v>266</v>
      </c>
      <c r="B39" t="s">
        <v>136</v>
      </c>
      <c r="C39">
        <v>55</v>
      </c>
      <c r="D39" t="s">
        <v>24</v>
      </c>
      <c r="E39" t="s">
        <v>229</v>
      </c>
      <c r="F39" t="s">
        <v>26</v>
      </c>
      <c r="G39" t="s">
        <v>267</v>
      </c>
      <c r="H39" t="s">
        <v>268</v>
      </c>
      <c r="I39" t="s">
        <v>108</v>
      </c>
      <c r="J39" t="s">
        <v>30</v>
      </c>
      <c r="K39">
        <v>4</v>
      </c>
      <c r="L39">
        <v>39376</v>
      </c>
      <c r="M39">
        <v>0</v>
      </c>
      <c r="N39" t="s">
        <v>45</v>
      </c>
      <c r="O39" t="s">
        <v>173</v>
      </c>
      <c r="P39" t="s">
        <v>33</v>
      </c>
      <c r="Q39" t="s">
        <v>269</v>
      </c>
      <c r="R39" t="s">
        <v>270</v>
      </c>
      <c r="S39">
        <v>1</v>
      </c>
      <c r="T39" t="s">
        <v>96</v>
      </c>
      <c r="U39">
        <v>236</v>
      </c>
      <c r="V39" t="s">
        <v>37</v>
      </c>
    </row>
    <row r="40" spans="1:22" x14ac:dyDescent="0.3">
      <c r="A40" t="s">
        <v>271</v>
      </c>
      <c r="B40" t="s">
        <v>272</v>
      </c>
      <c r="C40">
        <v>31</v>
      </c>
      <c r="D40" t="s">
        <v>24</v>
      </c>
      <c r="E40" t="s">
        <v>142</v>
      </c>
      <c r="F40" t="s">
        <v>65</v>
      </c>
      <c r="G40" t="s">
        <v>273</v>
      </c>
      <c r="H40" t="s">
        <v>274</v>
      </c>
      <c r="I40" t="s">
        <v>77</v>
      </c>
      <c r="J40" t="s">
        <v>30</v>
      </c>
      <c r="K40">
        <v>3</v>
      </c>
      <c r="L40">
        <v>49128</v>
      </c>
      <c r="M40">
        <v>0</v>
      </c>
      <c r="N40" t="s">
        <v>45</v>
      </c>
      <c r="O40" t="s">
        <v>102</v>
      </c>
      <c r="P40" t="s">
        <v>69</v>
      </c>
      <c r="Q40" t="s">
        <v>275</v>
      </c>
      <c r="R40" t="s">
        <v>276</v>
      </c>
      <c r="S40">
        <v>3</v>
      </c>
      <c r="T40" t="s">
        <v>96</v>
      </c>
      <c r="U40">
        <v>285</v>
      </c>
      <c r="V40" t="s">
        <v>79</v>
      </c>
    </row>
    <row r="41" spans="1:22" x14ac:dyDescent="0.3">
      <c r="A41" t="s">
        <v>277</v>
      </c>
      <c r="B41" t="s">
        <v>278</v>
      </c>
      <c r="C41">
        <v>57</v>
      </c>
      <c r="D41" t="s">
        <v>24</v>
      </c>
      <c r="E41" t="s">
        <v>25</v>
      </c>
      <c r="F41" t="s">
        <v>26</v>
      </c>
      <c r="G41" t="s">
        <v>279</v>
      </c>
      <c r="H41" t="s">
        <v>280</v>
      </c>
      <c r="I41" t="s">
        <v>43</v>
      </c>
      <c r="J41" t="s">
        <v>30</v>
      </c>
      <c r="K41">
        <v>4</v>
      </c>
      <c r="M41">
        <v>0</v>
      </c>
      <c r="N41" t="s">
        <v>45</v>
      </c>
      <c r="O41" t="s">
        <v>281</v>
      </c>
      <c r="P41" t="s">
        <v>174</v>
      </c>
      <c r="Q41" t="s">
        <v>282</v>
      </c>
      <c r="R41" t="s">
        <v>283</v>
      </c>
      <c r="S41">
        <v>4</v>
      </c>
      <c r="T41" t="s">
        <v>96</v>
      </c>
      <c r="U41">
        <v>351</v>
      </c>
      <c r="V41" t="s">
        <v>79</v>
      </c>
    </row>
    <row r="42" spans="1:22" x14ac:dyDescent="0.3">
      <c r="A42" t="s">
        <v>284</v>
      </c>
      <c r="B42" t="s">
        <v>285</v>
      </c>
      <c r="C42">
        <v>57</v>
      </c>
      <c r="D42" t="s">
        <v>51</v>
      </c>
      <c r="E42" t="s">
        <v>229</v>
      </c>
      <c r="F42" t="s">
        <v>26</v>
      </c>
      <c r="G42" t="s">
        <v>286</v>
      </c>
      <c r="H42" t="s">
        <v>287</v>
      </c>
      <c r="I42" t="s">
        <v>85</v>
      </c>
      <c r="J42" t="s">
        <v>44</v>
      </c>
      <c r="K42">
        <v>1</v>
      </c>
      <c r="M42">
        <v>10</v>
      </c>
      <c r="N42" t="s">
        <v>56</v>
      </c>
      <c r="O42" t="s">
        <v>133</v>
      </c>
      <c r="P42" t="s">
        <v>174</v>
      </c>
      <c r="R42" t="s">
        <v>288</v>
      </c>
      <c r="S42">
        <v>4</v>
      </c>
      <c r="T42" t="s">
        <v>36</v>
      </c>
      <c r="U42">
        <v>204</v>
      </c>
      <c r="V42" t="s">
        <v>62</v>
      </c>
    </row>
    <row r="43" spans="1:22" x14ac:dyDescent="0.3">
      <c r="A43" t="s">
        <v>289</v>
      </c>
      <c r="B43" t="s">
        <v>290</v>
      </c>
      <c r="C43">
        <v>23</v>
      </c>
      <c r="D43" t="s">
        <v>51</v>
      </c>
      <c r="E43" t="s">
        <v>229</v>
      </c>
      <c r="F43" t="s">
        <v>82</v>
      </c>
      <c r="G43" t="s">
        <v>137</v>
      </c>
      <c r="H43" t="s">
        <v>76</v>
      </c>
      <c r="I43" t="s">
        <v>108</v>
      </c>
      <c r="J43" t="s">
        <v>30</v>
      </c>
      <c r="K43">
        <v>4</v>
      </c>
      <c r="L43">
        <v>7537</v>
      </c>
      <c r="M43">
        <v>15</v>
      </c>
      <c r="N43" t="s">
        <v>166</v>
      </c>
      <c r="O43" t="s">
        <v>102</v>
      </c>
      <c r="P43" t="s">
        <v>33</v>
      </c>
      <c r="Q43" t="s">
        <v>269</v>
      </c>
      <c r="R43" t="s">
        <v>291</v>
      </c>
      <c r="S43">
        <v>1</v>
      </c>
      <c r="T43" t="s">
        <v>72</v>
      </c>
      <c r="U43">
        <v>397</v>
      </c>
      <c r="V43" t="s">
        <v>79</v>
      </c>
    </row>
    <row r="44" spans="1:22" x14ac:dyDescent="0.3">
      <c r="A44" t="s">
        <v>292</v>
      </c>
      <c r="B44" t="s">
        <v>293</v>
      </c>
      <c r="C44">
        <v>44</v>
      </c>
      <c r="D44" t="s">
        <v>183</v>
      </c>
      <c r="E44" t="s">
        <v>142</v>
      </c>
      <c r="F44" t="s">
        <v>26</v>
      </c>
      <c r="G44" t="s">
        <v>294</v>
      </c>
      <c r="H44" t="s">
        <v>295</v>
      </c>
      <c r="I44" t="s">
        <v>29</v>
      </c>
      <c r="J44" t="s">
        <v>44</v>
      </c>
      <c r="K44">
        <v>5</v>
      </c>
      <c r="L44">
        <v>10734</v>
      </c>
      <c r="M44">
        <v>15</v>
      </c>
      <c r="N44" t="s">
        <v>56</v>
      </c>
      <c r="O44" t="s">
        <v>68</v>
      </c>
      <c r="P44" t="s">
        <v>33</v>
      </c>
      <c r="S44">
        <v>3</v>
      </c>
      <c r="T44" t="s">
        <v>36</v>
      </c>
      <c r="U44">
        <v>431</v>
      </c>
      <c r="V44" t="s">
        <v>37</v>
      </c>
    </row>
    <row r="45" spans="1:22" x14ac:dyDescent="0.3">
      <c r="A45" t="s">
        <v>296</v>
      </c>
      <c r="B45" t="s">
        <v>297</v>
      </c>
      <c r="C45">
        <v>27</v>
      </c>
      <c r="D45" t="s">
        <v>51</v>
      </c>
      <c r="E45" t="s">
        <v>142</v>
      </c>
      <c r="F45" t="s">
        <v>82</v>
      </c>
      <c r="G45" t="s">
        <v>298</v>
      </c>
      <c r="H45" t="s">
        <v>299</v>
      </c>
      <c r="I45" t="s">
        <v>43</v>
      </c>
      <c r="J45" t="s">
        <v>30</v>
      </c>
      <c r="K45">
        <v>4</v>
      </c>
      <c r="L45">
        <v>73419</v>
      </c>
      <c r="M45">
        <v>10</v>
      </c>
      <c r="N45" t="s">
        <v>166</v>
      </c>
      <c r="O45" t="s">
        <v>133</v>
      </c>
      <c r="P45" t="s">
        <v>33</v>
      </c>
      <c r="Q45" t="s">
        <v>300</v>
      </c>
      <c r="R45" t="s">
        <v>301</v>
      </c>
      <c r="S45">
        <v>2</v>
      </c>
      <c r="T45" t="s">
        <v>72</v>
      </c>
      <c r="U45">
        <v>479</v>
      </c>
      <c r="V45" t="s">
        <v>62</v>
      </c>
    </row>
    <row r="46" spans="1:22" x14ac:dyDescent="0.3">
      <c r="A46" t="s">
        <v>302</v>
      </c>
      <c r="B46" t="s">
        <v>303</v>
      </c>
      <c r="C46">
        <v>47</v>
      </c>
      <c r="D46" t="s">
        <v>183</v>
      </c>
      <c r="E46" t="s">
        <v>25</v>
      </c>
      <c r="F46" t="s">
        <v>82</v>
      </c>
      <c r="G46" t="s">
        <v>304</v>
      </c>
      <c r="H46" t="s">
        <v>305</v>
      </c>
      <c r="I46" t="s">
        <v>29</v>
      </c>
      <c r="J46" t="s">
        <v>44</v>
      </c>
      <c r="K46">
        <v>3</v>
      </c>
      <c r="L46">
        <v>68209</v>
      </c>
      <c r="M46">
        <v>5</v>
      </c>
      <c r="N46" t="s">
        <v>166</v>
      </c>
      <c r="O46" t="s">
        <v>173</v>
      </c>
      <c r="P46" t="s">
        <v>33</v>
      </c>
      <c r="Q46" t="s">
        <v>306</v>
      </c>
      <c r="R46" t="s">
        <v>307</v>
      </c>
      <c r="S46">
        <v>3</v>
      </c>
      <c r="T46" t="s">
        <v>36</v>
      </c>
      <c r="U46">
        <v>124</v>
      </c>
      <c r="V46" t="s">
        <v>79</v>
      </c>
    </row>
    <row r="47" spans="1:22" x14ac:dyDescent="0.3">
      <c r="A47" t="s">
        <v>308</v>
      </c>
      <c r="B47" t="s">
        <v>309</v>
      </c>
      <c r="C47">
        <v>48</v>
      </c>
      <c r="D47" t="s">
        <v>51</v>
      </c>
      <c r="E47" t="s">
        <v>40</v>
      </c>
      <c r="F47" t="s">
        <v>82</v>
      </c>
      <c r="G47" t="s">
        <v>310</v>
      </c>
      <c r="H47" t="s">
        <v>311</v>
      </c>
      <c r="I47" t="s">
        <v>43</v>
      </c>
      <c r="J47" t="s">
        <v>30</v>
      </c>
      <c r="K47">
        <v>5</v>
      </c>
      <c r="L47">
        <v>58638</v>
      </c>
      <c r="M47">
        <v>0</v>
      </c>
      <c r="N47" t="s">
        <v>56</v>
      </c>
      <c r="O47" t="s">
        <v>68</v>
      </c>
      <c r="P47" t="s">
        <v>58</v>
      </c>
      <c r="Q47" t="s">
        <v>312</v>
      </c>
      <c r="R47" t="s">
        <v>313</v>
      </c>
      <c r="S47">
        <v>1</v>
      </c>
      <c r="T47" t="s">
        <v>72</v>
      </c>
      <c r="U47">
        <v>483</v>
      </c>
      <c r="V47" t="s">
        <v>37</v>
      </c>
    </row>
    <row r="48" spans="1:22" x14ac:dyDescent="0.3">
      <c r="A48" t="s">
        <v>314</v>
      </c>
      <c r="B48" t="s">
        <v>315</v>
      </c>
      <c r="C48">
        <v>34</v>
      </c>
      <c r="D48" t="s">
        <v>24</v>
      </c>
      <c r="E48" t="s">
        <v>40</v>
      </c>
      <c r="F48" t="s">
        <v>65</v>
      </c>
      <c r="G48" t="s">
        <v>316</v>
      </c>
      <c r="H48" t="s">
        <v>317</v>
      </c>
      <c r="I48" t="s">
        <v>85</v>
      </c>
      <c r="J48" t="s">
        <v>30</v>
      </c>
      <c r="K48">
        <v>3</v>
      </c>
      <c r="L48">
        <v>70545</v>
      </c>
      <c r="M48">
        <v>5</v>
      </c>
      <c r="N48" t="s">
        <v>45</v>
      </c>
      <c r="O48" t="s">
        <v>173</v>
      </c>
      <c r="P48" t="s">
        <v>69</v>
      </c>
      <c r="Q48" t="s">
        <v>318</v>
      </c>
      <c r="R48" t="s">
        <v>319</v>
      </c>
      <c r="S48">
        <v>5</v>
      </c>
      <c r="T48" t="s">
        <v>36</v>
      </c>
      <c r="U48">
        <v>232</v>
      </c>
      <c r="V48" t="s">
        <v>37</v>
      </c>
    </row>
    <row r="49" spans="1:22" x14ac:dyDescent="0.3">
      <c r="A49" t="s">
        <v>320</v>
      </c>
      <c r="B49" t="s">
        <v>321</v>
      </c>
      <c r="C49">
        <v>57</v>
      </c>
      <c r="D49" t="s">
        <v>24</v>
      </c>
      <c r="E49" t="s">
        <v>131</v>
      </c>
      <c r="F49" t="s">
        <v>53</v>
      </c>
      <c r="G49" t="s">
        <v>322</v>
      </c>
      <c r="H49" t="s">
        <v>323</v>
      </c>
      <c r="I49" t="s">
        <v>43</v>
      </c>
      <c r="J49" t="s">
        <v>44</v>
      </c>
      <c r="K49">
        <v>1</v>
      </c>
      <c r="L49">
        <v>77979</v>
      </c>
      <c r="M49">
        <v>10</v>
      </c>
      <c r="N49" t="s">
        <v>56</v>
      </c>
      <c r="O49" t="s">
        <v>133</v>
      </c>
      <c r="P49" t="s">
        <v>174</v>
      </c>
      <c r="Q49" t="s">
        <v>324</v>
      </c>
      <c r="R49" t="s">
        <v>325</v>
      </c>
      <c r="S49">
        <v>2</v>
      </c>
      <c r="T49" t="s">
        <v>96</v>
      </c>
      <c r="U49">
        <v>147</v>
      </c>
      <c r="V49" t="s">
        <v>37</v>
      </c>
    </row>
    <row r="50" spans="1:22" x14ac:dyDescent="0.3">
      <c r="A50" t="s">
        <v>326</v>
      </c>
      <c r="B50" t="s">
        <v>327</v>
      </c>
      <c r="C50">
        <v>43</v>
      </c>
      <c r="D50" t="s">
        <v>24</v>
      </c>
      <c r="E50" t="s">
        <v>229</v>
      </c>
      <c r="F50" t="s">
        <v>65</v>
      </c>
      <c r="G50" t="s">
        <v>328</v>
      </c>
      <c r="H50" t="s">
        <v>329</v>
      </c>
      <c r="I50" t="s">
        <v>93</v>
      </c>
      <c r="J50" t="s">
        <v>30</v>
      </c>
      <c r="K50">
        <v>4</v>
      </c>
      <c r="L50">
        <v>66660</v>
      </c>
      <c r="M50">
        <v>10</v>
      </c>
      <c r="N50" t="s">
        <v>45</v>
      </c>
      <c r="O50" t="s">
        <v>133</v>
      </c>
      <c r="P50" t="s">
        <v>33</v>
      </c>
      <c r="Q50" t="s">
        <v>330</v>
      </c>
      <c r="R50" t="s">
        <v>331</v>
      </c>
      <c r="S50">
        <v>2</v>
      </c>
      <c r="T50" t="s">
        <v>61</v>
      </c>
      <c r="U50">
        <v>442</v>
      </c>
      <c r="V50" t="s">
        <v>79</v>
      </c>
    </row>
    <row r="51" spans="1:22" x14ac:dyDescent="0.3">
      <c r="A51" t="s">
        <v>332</v>
      </c>
      <c r="B51" t="s">
        <v>333</v>
      </c>
      <c r="C51">
        <v>55</v>
      </c>
      <c r="D51" t="s">
        <v>24</v>
      </c>
      <c r="E51" t="s">
        <v>99</v>
      </c>
      <c r="F51" t="s">
        <v>53</v>
      </c>
      <c r="G51" t="s">
        <v>334</v>
      </c>
      <c r="H51" t="s">
        <v>335</v>
      </c>
      <c r="I51" t="s">
        <v>29</v>
      </c>
      <c r="J51" t="s">
        <v>30</v>
      </c>
      <c r="K51">
        <v>2</v>
      </c>
      <c r="L51">
        <v>55227</v>
      </c>
      <c r="M51">
        <v>0</v>
      </c>
      <c r="N51" t="s">
        <v>166</v>
      </c>
      <c r="O51" t="s">
        <v>109</v>
      </c>
      <c r="P51" t="s">
        <v>69</v>
      </c>
      <c r="Q51" t="s">
        <v>336</v>
      </c>
      <c r="S51">
        <v>5</v>
      </c>
      <c r="T51" t="s">
        <v>96</v>
      </c>
      <c r="U51">
        <v>290</v>
      </c>
      <c r="V51" t="s">
        <v>62</v>
      </c>
    </row>
    <row r="52" spans="1:22" x14ac:dyDescent="0.3">
      <c r="A52" t="s">
        <v>337</v>
      </c>
      <c r="B52" t="s">
        <v>338</v>
      </c>
      <c r="C52">
        <v>18</v>
      </c>
      <c r="D52" t="s">
        <v>51</v>
      </c>
      <c r="E52" t="s">
        <v>26</v>
      </c>
      <c r="F52" t="s">
        <v>82</v>
      </c>
      <c r="G52" t="s">
        <v>339</v>
      </c>
      <c r="H52" t="s">
        <v>340</v>
      </c>
      <c r="I52" t="s">
        <v>108</v>
      </c>
      <c r="J52" t="s">
        <v>44</v>
      </c>
      <c r="K52">
        <v>4</v>
      </c>
      <c r="L52">
        <v>31119</v>
      </c>
      <c r="M52">
        <v>0</v>
      </c>
      <c r="N52" t="s">
        <v>45</v>
      </c>
      <c r="O52" t="s">
        <v>57</v>
      </c>
      <c r="P52" t="s">
        <v>58</v>
      </c>
      <c r="Q52" t="s">
        <v>341</v>
      </c>
      <c r="R52" t="s">
        <v>342</v>
      </c>
      <c r="S52">
        <v>4</v>
      </c>
      <c r="T52" t="s">
        <v>36</v>
      </c>
      <c r="U52">
        <v>239</v>
      </c>
      <c r="V52" t="s">
        <v>79</v>
      </c>
    </row>
    <row r="53" spans="1:22" x14ac:dyDescent="0.3">
      <c r="A53" t="s">
        <v>343</v>
      </c>
      <c r="B53" t="s">
        <v>344</v>
      </c>
      <c r="C53">
        <v>33</v>
      </c>
      <c r="D53" t="s">
        <v>24</v>
      </c>
      <c r="E53" t="s">
        <v>25</v>
      </c>
      <c r="F53" t="s">
        <v>82</v>
      </c>
      <c r="G53" t="s">
        <v>345</v>
      </c>
      <c r="H53" t="s">
        <v>346</v>
      </c>
      <c r="I53" t="s">
        <v>93</v>
      </c>
      <c r="J53" t="s">
        <v>44</v>
      </c>
      <c r="K53">
        <v>3</v>
      </c>
      <c r="L53">
        <v>70143</v>
      </c>
      <c r="M53">
        <v>0</v>
      </c>
      <c r="N53" t="s">
        <v>31</v>
      </c>
      <c r="O53" t="s">
        <v>86</v>
      </c>
      <c r="P53" t="s">
        <v>69</v>
      </c>
      <c r="Q53" t="s">
        <v>347</v>
      </c>
      <c r="R53" t="s">
        <v>348</v>
      </c>
      <c r="S53">
        <v>3</v>
      </c>
      <c r="T53" t="s">
        <v>72</v>
      </c>
      <c r="U53">
        <v>166</v>
      </c>
      <c r="V53" t="s">
        <v>62</v>
      </c>
    </row>
    <row r="54" spans="1:22" x14ac:dyDescent="0.3">
      <c r="A54" t="s">
        <v>349</v>
      </c>
      <c r="B54" t="s">
        <v>261</v>
      </c>
      <c r="C54">
        <v>55</v>
      </c>
      <c r="D54" t="s">
        <v>24</v>
      </c>
      <c r="E54" t="s">
        <v>142</v>
      </c>
      <c r="F54" t="s">
        <v>82</v>
      </c>
      <c r="G54" t="s">
        <v>350</v>
      </c>
      <c r="H54" t="s">
        <v>351</v>
      </c>
      <c r="I54" t="s">
        <v>43</v>
      </c>
      <c r="J54" t="s">
        <v>30</v>
      </c>
      <c r="K54">
        <v>4</v>
      </c>
      <c r="L54">
        <v>60188</v>
      </c>
      <c r="M54">
        <v>10</v>
      </c>
      <c r="N54" t="s">
        <v>166</v>
      </c>
      <c r="O54" t="s">
        <v>281</v>
      </c>
      <c r="P54" t="s">
        <v>174</v>
      </c>
      <c r="Q54" t="s">
        <v>264</v>
      </c>
      <c r="S54">
        <v>3</v>
      </c>
      <c r="T54" t="s">
        <v>36</v>
      </c>
      <c r="U54">
        <v>265</v>
      </c>
      <c r="V54" t="s">
        <v>79</v>
      </c>
    </row>
    <row r="55" spans="1:22" x14ac:dyDescent="0.3">
      <c r="A55" t="s">
        <v>352</v>
      </c>
      <c r="B55" t="s">
        <v>74</v>
      </c>
      <c r="C55">
        <v>30</v>
      </c>
      <c r="D55" t="s">
        <v>24</v>
      </c>
      <c r="E55" t="s">
        <v>40</v>
      </c>
      <c r="F55" t="s">
        <v>91</v>
      </c>
      <c r="G55" t="s">
        <v>353</v>
      </c>
      <c r="H55" t="s">
        <v>354</v>
      </c>
      <c r="I55" t="s">
        <v>43</v>
      </c>
      <c r="J55" t="s">
        <v>44</v>
      </c>
      <c r="K55">
        <v>3</v>
      </c>
      <c r="L55">
        <v>35964</v>
      </c>
      <c r="M55">
        <v>15</v>
      </c>
      <c r="N55" t="s">
        <v>45</v>
      </c>
      <c r="O55" t="s">
        <v>109</v>
      </c>
      <c r="P55" t="s">
        <v>69</v>
      </c>
      <c r="Q55" t="s">
        <v>78</v>
      </c>
      <c r="R55" t="s">
        <v>355</v>
      </c>
      <c r="S55">
        <v>1</v>
      </c>
      <c r="T55" t="s">
        <v>72</v>
      </c>
      <c r="U55">
        <v>410</v>
      </c>
      <c r="V55" t="s">
        <v>62</v>
      </c>
    </row>
    <row r="56" spans="1:22" x14ac:dyDescent="0.3">
      <c r="A56" t="s">
        <v>356</v>
      </c>
      <c r="B56" t="s">
        <v>141</v>
      </c>
      <c r="C56">
        <v>57</v>
      </c>
      <c r="D56" t="s">
        <v>51</v>
      </c>
      <c r="E56" t="s">
        <v>26</v>
      </c>
      <c r="F56" t="s">
        <v>91</v>
      </c>
      <c r="G56" t="s">
        <v>357</v>
      </c>
      <c r="H56" t="s">
        <v>358</v>
      </c>
      <c r="I56" t="s">
        <v>108</v>
      </c>
      <c r="J56" t="s">
        <v>30</v>
      </c>
      <c r="L56">
        <v>23925</v>
      </c>
      <c r="M56">
        <v>0</v>
      </c>
      <c r="N56" t="s">
        <v>31</v>
      </c>
      <c r="O56" t="s">
        <v>281</v>
      </c>
      <c r="P56" t="s">
        <v>174</v>
      </c>
      <c r="Q56" t="s">
        <v>144</v>
      </c>
      <c r="R56" t="s">
        <v>359</v>
      </c>
      <c r="S56">
        <v>3</v>
      </c>
      <c r="T56" t="s">
        <v>36</v>
      </c>
      <c r="U56">
        <v>470</v>
      </c>
      <c r="V56" t="s">
        <v>62</v>
      </c>
    </row>
    <row r="57" spans="1:22" x14ac:dyDescent="0.3">
      <c r="A57" t="s">
        <v>360</v>
      </c>
      <c r="B57" t="s">
        <v>361</v>
      </c>
      <c r="C57">
        <v>18</v>
      </c>
      <c r="D57" t="s">
        <v>51</v>
      </c>
      <c r="E57" t="s">
        <v>26</v>
      </c>
      <c r="F57" t="s">
        <v>82</v>
      </c>
      <c r="G57" t="s">
        <v>362</v>
      </c>
      <c r="H57" t="s">
        <v>363</v>
      </c>
      <c r="I57" t="s">
        <v>108</v>
      </c>
      <c r="J57" t="s">
        <v>44</v>
      </c>
      <c r="K57">
        <v>5</v>
      </c>
      <c r="L57">
        <v>62214</v>
      </c>
      <c r="M57">
        <v>10</v>
      </c>
      <c r="N57" t="s">
        <v>45</v>
      </c>
      <c r="O57" t="s">
        <v>57</v>
      </c>
      <c r="P57" t="s">
        <v>58</v>
      </c>
      <c r="Q57" t="s">
        <v>364</v>
      </c>
      <c r="R57" t="s">
        <v>365</v>
      </c>
      <c r="S57">
        <v>5</v>
      </c>
      <c r="T57" t="s">
        <v>96</v>
      </c>
      <c r="U57">
        <v>492</v>
      </c>
      <c r="V57" t="s">
        <v>62</v>
      </c>
    </row>
    <row r="58" spans="1:22" x14ac:dyDescent="0.3">
      <c r="A58" t="s">
        <v>366</v>
      </c>
      <c r="B58" t="s">
        <v>222</v>
      </c>
      <c r="C58">
        <v>19</v>
      </c>
      <c r="D58" t="s">
        <v>24</v>
      </c>
      <c r="E58" t="s">
        <v>25</v>
      </c>
      <c r="F58" t="s">
        <v>26</v>
      </c>
      <c r="G58" t="s">
        <v>367</v>
      </c>
      <c r="H58" t="s">
        <v>368</v>
      </c>
      <c r="I58" t="s">
        <v>93</v>
      </c>
      <c r="J58" t="s">
        <v>44</v>
      </c>
      <c r="K58">
        <v>1</v>
      </c>
      <c r="L58">
        <v>9227</v>
      </c>
      <c r="M58">
        <v>5</v>
      </c>
      <c r="N58" t="s">
        <v>56</v>
      </c>
      <c r="O58" t="s">
        <v>32</v>
      </c>
      <c r="P58" t="s">
        <v>58</v>
      </c>
      <c r="Q58" t="s">
        <v>225</v>
      </c>
      <c r="R58" t="s">
        <v>369</v>
      </c>
      <c r="S58">
        <v>1</v>
      </c>
      <c r="T58" t="s">
        <v>72</v>
      </c>
      <c r="U58">
        <v>272</v>
      </c>
      <c r="V58" t="s">
        <v>62</v>
      </c>
    </row>
    <row r="59" spans="1:22" x14ac:dyDescent="0.3">
      <c r="A59" t="s">
        <v>370</v>
      </c>
      <c r="B59" t="s">
        <v>243</v>
      </c>
      <c r="C59">
        <v>27</v>
      </c>
      <c r="D59" t="s">
        <v>51</v>
      </c>
      <c r="E59" t="s">
        <v>40</v>
      </c>
      <c r="F59" t="s">
        <v>53</v>
      </c>
      <c r="G59" t="s">
        <v>199</v>
      </c>
      <c r="H59" t="s">
        <v>371</v>
      </c>
      <c r="I59" t="s">
        <v>77</v>
      </c>
      <c r="J59" t="s">
        <v>44</v>
      </c>
      <c r="K59">
        <v>5</v>
      </c>
      <c r="M59">
        <v>10</v>
      </c>
      <c r="N59" t="s">
        <v>31</v>
      </c>
      <c r="O59" t="s">
        <v>173</v>
      </c>
      <c r="P59" t="s">
        <v>58</v>
      </c>
      <c r="Q59" t="s">
        <v>246</v>
      </c>
      <c r="R59" t="s">
        <v>372</v>
      </c>
      <c r="S59">
        <v>4</v>
      </c>
      <c r="T59" t="s">
        <v>72</v>
      </c>
      <c r="U59">
        <v>82</v>
      </c>
      <c r="V59" t="s">
        <v>79</v>
      </c>
    </row>
    <row r="60" spans="1:22" x14ac:dyDescent="0.3">
      <c r="A60" t="s">
        <v>373</v>
      </c>
      <c r="B60" t="s">
        <v>309</v>
      </c>
      <c r="C60">
        <v>24</v>
      </c>
      <c r="D60" t="s">
        <v>51</v>
      </c>
      <c r="E60" t="s">
        <v>99</v>
      </c>
      <c r="F60" t="s">
        <v>82</v>
      </c>
      <c r="G60" t="s">
        <v>374</v>
      </c>
      <c r="H60" t="s">
        <v>375</v>
      </c>
      <c r="I60" t="s">
        <v>77</v>
      </c>
      <c r="J60" t="s">
        <v>30</v>
      </c>
      <c r="K60">
        <v>3</v>
      </c>
      <c r="L60">
        <v>73631</v>
      </c>
      <c r="M60">
        <v>10</v>
      </c>
      <c r="N60" t="s">
        <v>56</v>
      </c>
      <c r="O60" t="s">
        <v>133</v>
      </c>
      <c r="P60" t="s">
        <v>33</v>
      </c>
      <c r="Q60" t="s">
        <v>312</v>
      </c>
      <c r="R60" t="s">
        <v>376</v>
      </c>
      <c r="S60">
        <v>4</v>
      </c>
      <c r="T60" t="s">
        <v>36</v>
      </c>
      <c r="U60">
        <v>167</v>
      </c>
      <c r="V60" t="s">
        <v>62</v>
      </c>
    </row>
    <row r="61" spans="1:22" x14ac:dyDescent="0.3">
      <c r="A61" t="s">
        <v>377</v>
      </c>
      <c r="B61" t="s">
        <v>321</v>
      </c>
      <c r="C61">
        <v>35</v>
      </c>
      <c r="D61" t="s">
        <v>24</v>
      </c>
      <c r="E61" t="s">
        <v>26</v>
      </c>
      <c r="F61" t="s">
        <v>82</v>
      </c>
      <c r="G61" t="s">
        <v>378</v>
      </c>
      <c r="H61" t="s">
        <v>379</v>
      </c>
      <c r="I61" t="s">
        <v>29</v>
      </c>
      <c r="J61" t="s">
        <v>30</v>
      </c>
      <c r="K61">
        <v>4</v>
      </c>
      <c r="L61">
        <v>66562</v>
      </c>
      <c r="M61">
        <v>0</v>
      </c>
      <c r="N61" t="s">
        <v>166</v>
      </c>
      <c r="O61" t="s">
        <v>46</v>
      </c>
      <c r="P61" t="s">
        <v>69</v>
      </c>
      <c r="Q61" t="s">
        <v>324</v>
      </c>
      <c r="R61" t="s">
        <v>380</v>
      </c>
      <c r="S61">
        <v>2</v>
      </c>
      <c r="T61" t="s">
        <v>61</v>
      </c>
      <c r="U61">
        <v>477</v>
      </c>
      <c r="V61" t="s">
        <v>79</v>
      </c>
    </row>
    <row r="62" spans="1:22" x14ac:dyDescent="0.3">
      <c r="A62" t="s">
        <v>381</v>
      </c>
      <c r="B62" t="s">
        <v>382</v>
      </c>
      <c r="C62">
        <v>51</v>
      </c>
      <c r="D62" t="s">
        <v>24</v>
      </c>
      <c r="E62" t="s">
        <v>131</v>
      </c>
      <c r="F62" t="s">
        <v>91</v>
      </c>
      <c r="G62" t="s">
        <v>383</v>
      </c>
      <c r="H62" t="s">
        <v>384</v>
      </c>
      <c r="I62" t="s">
        <v>77</v>
      </c>
      <c r="J62" t="s">
        <v>30</v>
      </c>
      <c r="K62">
        <v>5</v>
      </c>
      <c r="L62">
        <v>8296</v>
      </c>
      <c r="M62">
        <v>0</v>
      </c>
      <c r="N62" t="s">
        <v>45</v>
      </c>
      <c r="O62" t="s">
        <v>57</v>
      </c>
      <c r="P62" t="s">
        <v>174</v>
      </c>
      <c r="Q62" t="s">
        <v>385</v>
      </c>
      <c r="R62" t="s">
        <v>386</v>
      </c>
      <c r="S62">
        <v>1</v>
      </c>
      <c r="T62" t="s">
        <v>96</v>
      </c>
      <c r="U62">
        <v>117</v>
      </c>
      <c r="V62" t="s">
        <v>62</v>
      </c>
    </row>
    <row r="63" spans="1:22" x14ac:dyDescent="0.3">
      <c r="A63" t="s">
        <v>387</v>
      </c>
      <c r="B63" t="s">
        <v>98</v>
      </c>
      <c r="C63">
        <v>22</v>
      </c>
      <c r="D63" t="s">
        <v>24</v>
      </c>
      <c r="E63" t="s">
        <v>25</v>
      </c>
      <c r="F63" t="s">
        <v>82</v>
      </c>
      <c r="G63" t="s">
        <v>388</v>
      </c>
      <c r="H63" t="s">
        <v>389</v>
      </c>
      <c r="I63" t="s">
        <v>29</v>
      </c>
      <c r="J63" t="s">
        <v>44</v>
      </c>
      <c r="K63">
        <v>2</v>
      </c>
      <c r="L63">
        <v>41685</v>
      </c>
      <c r="M63">
        <v>10</v>
      </c>
      <c r="N63" t="s">
        <v>45</v>
      </c>
      <c r="O63" t="s">
        <v>32</v>
      </c>
      <c r="P63" t="s">
        <v>174</v>
      </c>
      <c r="Q63" t="s">
        <v>103</v>
      </c>
      <c r="S63">
        <v>5</v>
      </c>
      <c r="T63" t="s">
        <v>72</v>
      </c>
      <c r="U63">
        <v>179</v>
      </c>
      <c r="V63" t="s">
        <v>79</v>
      </c>
    </row>
    <row r="64" spans="1:22" x14ac:dyDescent="0.3">
      <c r="A64" t="s">
        <v>390</v>
      </c>
      <c r="B64" t="s">
        <v>182</v>
      </c>
      <c r="C64">
        <v>55</v>
      </c>
      <c r="D64" t="s">
        <v>51</v>
      </c>
      <c r="E64" t="s">
        <v>40</v>
      </c>
      <c r="F64" t="s">
        <v>53</v>
      </c>
      <c r="G64" t="s">
        <v>115</v>
      </c>
      <c r="H64" t="s">
        <v>190</v>
      </c>
      <c r="I64" t="s">
        <v>29</v>
      </c>
      <c r="J64" t="s">
        <v>30</v>
      </c>
      <c r="K64">
        <v>5</v>
      </c>
      <c r="L64">
        <v>30845</v>
      </c>
      <c r="M64">
        <v>15</v>
      </c>
      <c r="N64" t="s">
        <v>166</v>
      </c>
      <c r="O64" t="s">
        <v>46</v>
      </c>
      <c r="P64" t="s">
        <v>33</v>
      </c>
      <c r="R64" t="s">
        <v>391</v>
      </c>
      <c r="S64">
        <v>2</v>
      </c>
      <c r="T64" t="s">
        <v>61</v>
      </c>
      <c r="U64">
        <v>406</v>
      </c>
      <c r="V64" t="s">
        <v>79</v>
      </c>
    </row>
    <row r="65" spans="1:22" x14ac:dyDescent="0.3">
      <c r="A65" t="s">
        <v>392</v>
      </c>
      <c r="B65" t="s">
        <v>105</v>
      </c>
      <c r="C65">
        <v>33</v>
      </c>
      <c r="D65" t="s">
        <v>24</v>
      </c>
      <c r="E65" t="s">
        <v>142</v>
      </c>
      <c r="F65" t="s">
        <v>53</v>
      </c>
      <c r="G65" t="s">
        <v>393</v>
      </c>
      <c r="H65" t="s">
        <v>394</v>
      </c>
      <c r="I65" t="s">
        <v>43</v>
      </c>
      <c r="J65" t="s">
        <v>44</v>
      </c>
      <c r="K65">
        <v>1</v>
      </c>
      <c r="L65">
        <v>25123</v>
      </c>
      <c r="M65">
        <v>0</v>
      </c>
      <c r="N65" t="s">
        <v>56</v>
      </c>
      <c r="O65" t="s">
        <v>57</v>
      </c>
      <c r="P65" t="s">
        <v>58</v>
      </c>
      <c r="R65" t="s">
        <v>395</v>
      </c>
      <c r="S65">
        <v>1</v>
      </c>
      <c r="T65" t="s">
        <v>61</v>
      </c>
      <c r="U65">
        <v>172</v>
      </c>
      <c r="V65" t="s">
        <v>79</v>
      </c>
    </row>
    <row r="66" spans="1:22" x14ac:dyDescent="0.3">
      <c r="A66" t="s">
        <v>396</v>
      </c>
      <c r="B66" t="s">
        <v>397</v>
      </c>
      <c r="C66">
        <v>50</v>
      </c>
      <c r="D66" t="s">
        <v>24</v>
      </c>
      <c r="E66" t="s">
        <v>142</v>
      </c>
      <c r="F66" t="s">
        <v>53</v>
      </c>
      <c r="G66" t="s">
        <v>398</v>
      </c>
      <c r="H66" t="s">
        <v>399</v>
      </c>
      <c r="I66" t="s">
        <v>93</v>
      </c>
      <c r="J66" t="s">
        <v>44</v>
      </c>
      <c r="K66">
        <v>5</v>
      </c>
      <c r="L66">
        <v>75059</v>
      </c>
      <c r="M66">
        <v>5</v>
      </c>
      <c r="N66" t="s">
        <v>31</v>
      </c>
      <c r="O66" t="s">
        <v>32</v>
      </c>
      <c r="P66" t="s">
        <v>58</v>
      </c>
      <c r="Q66" t="s">
        <v>400</v>
      </c>
      <c r="R66" t="s">
        <v>401</v>
      </c>
      <c r="S66">
        <v>5</v>
      </c>
      <c r="T66" t="s">
        <v>36</v>
      </c>
      <c r="U66">
        <v>309</v>
      </c>
      <c r="V66" t="s">
        <v>62</v>
      </c>
    </row>
    <row r="67" spans="1:22" x14ac:dyDescent="0.3">
      <c r="A67" t="s">
        <v>402</v>
      </c>
      <c r="B67" t="s">
        <v>285</v>
      </c>
      <c r="C67">
        <v>54</v>
      </c>
      <c r="D67" t="s">
        <v>51</v>
      </c>
      <c r="E67" t="s">
        <v>131</v>
      </c>
      <c r="F67" t="s">
        <v>53</v>
      </c>
      <c r="G67" t="s">
        <v>403</v>
      </c>
      <c r="H67" t="s">
        <v>404</v>
      </c>
      <c r="I67" t="s">
        <v>108</v>
      </c>
      <c r="J67" t="s">
        <v>30</v>
      </c>
      <c r="K67">
        <v>5</v>
      </c>
      <c r="L67">
        <v>40232</v>
      </c>
      <c r="M67">
        <v>5</v>
      </c>
      <c r="N67" t="s">
        <v>166</v>
      </c>
      <c r="O67" t="s">
        <v>173</v>
      </c>
      <c r="P67" t="s">
        <v>69</v>
      </c>
      <c r="R67" t="s">
        <v>405</v>
      </c>
      <c r="S67">
        <v>5</v>
      </c>
      <c r="T67" t="s">
        <v>36</v>
      </c>
      <c r="U67">
        <v>369</v>
      </c>
      <c r="V67" t="s">
        <v>37</v>
      </c>
    </row>
    <row r="68" spans="1:22" x14ac:dyDescent="0.3">
      <c r="A68" t="s">
        <v>406</v>
      </c>
      <c r="B68" t="s">
        <v>156</v>
      </c>
      <c r="C68">
        <v>54</v>
      </c>
      <c r="D68" t="s">
        <v>24</v>
      </c>
      <c r="E68" t="s">
        <v>52</v>
      </c>
      <c r="F68" t="s">
        <v>91</v>
      </c>
      <c r="G68" t="s">
        <v>407</v>
      </c>
      <c r="H68" t="s">
        <v>408</v>
      </c>
      <c r="I68" t="s">
        <v>43</v>
      </c>
      <c r="J68" t="s">
        <v>44</v>
      </c>
      <c r="K68">
        <v>4</v>
      </c>
      <c r="L68">
        <v>62735</v>
      </c>
      <c r="M68">
        <v>0</v>
      </c>
      <c r="N68" t="s">
        <v>56</v>
      </c>
      <c r="O68" t="s">
        <v>68</v>
      </c>
      <c r="P68" t="s">
        <v>58</v>
      </c>
      <c r="Q68" t="s">
        <v>159</v>
      </c>
      <c r="R68" t="s">
        <v>409</v>
      </c>
      <c r="S68">
        <v>5</v>
      </c>
      <c r="T68" t="s">
        <v>96</v>
      </c>
      <c r="U68">
        <v>235</v>
      </c>
      <c r="V68" t="s">
        <v>62</v>
      </c>
    </row>
    <row r="69" spans="1:22" x14ac:dyDescent="0.3">
      <c r="A69" t="s">
        <v>410</v>
      </c>
      <c r="B69" t="s">
        <v>411</v>
      </c>
      <c r="C69">
        <v>30</v>
      </c>
      <c r="D69" t="s">
        <v>24</v>
      </c>
      <c r="E69" t="s">
        <v>52</v>
      </c>
      <c r="F69" t="s">
        <v>53</v>
      </c>
      <c r="G69" t="s">
        <v>412</v>
      </c>
      <c r="H69" t="s">
        <v>413</v>
      </c>
      <c r="I69" t="s">
        <v>43</v>
      </c>
      <c r="J69" t="s">
        <v>44</v>
      </c>
      <c r="K69">
        <v>2</v>
      </c>
      <c r="L69">
        <v>49367</v>
      </c>
      <c r="M69">
        <v>5</v>
      </c>
      <c r="N69" t="s">
        <v>45</v>
      </c>
      <c r="O69" t="s">
        <v>46</v>
      </c>
      <c r="P69" t="s">
        <v>58</v>
      </c>
      <c r="Q69" t="s">
        <v>414</v>
      </c>
      <c r="R69" t="s">
        <v>415</v>
      </c>
      <c r="S69">
        <v>2</v>
      </c>
      <c r="T69" t="s">
        <v>96</v>
      </c>
      <c r="U69">
        <v>58</v>
      </c>
      <c r="V69" t="s">
        <v>79</v>
      </c>
    </row>
    <row r="70" spans="1:22" x14ac:dyDescent="0.3">
      <c r="A70" t="s">
        <v>416</v>
      </c>
      <c r="B70" t="s">
        <v>198</v>
      </c>
      <c r="C70">
        <v>54</v>
      </c>
      <c r="D70" t="s">
        <v>51</v>
      </c>
      <c r="E70" t="s">
        <v>26</v>
      </c>
      <c r="F70" t="s">
        <v>53</v>
      </c>
      <c r="G70" t="s">
        <v>417</v>
      </c>
      <c r="H70" t="s">
        <v>418</v>
      </c>
      <c r="I70" t="s">
        <v>77</v>
      </c>
      <c r="J70" t="s">
        <v>30</v>
      </c>
      <c r="K70">
        <v>1</v>
      </c>
      <c r="L70">
        <v>40316</v>
      </c>
      <c r="M70">
        <v>15</v>
      </c>
      <c r="N70" t="s">
        <v>45</v>
      </c>
      <c r="O70" t="s">
        <v>46</v>
      </c>
      <c r="P70" t="s">
        <v>33</v>
      </c>
      <c r="Q70" t="s">
        <v>201</v>
      </c>
      <c r="R70" t="s">
        <v>419</v>
      </c>
      <c r="S70">
        <v>1</v>
      </c>
      <c r="T70" t="s">
        <v>36</v>
      </c>
      <c r="U70">
        <v>342</v>
      </c>
      <c r="V70" t="s">
        <v>37</v>
      </c>
    </row>
    <row r="71" spans="1:22" x14ac:dyDescent="0.3">
      <c r="A71" t="s">
        <v>420</v>
      </c>
      <c r="B71" t="s">
        <v>255</v>
      </c>
      <c r="C71">
        <v>37</v>
      </c>
      <c r="D71" t="s">
        <v>51</v>
      </c>
      <c r="E71" t="s">
        <v>25</v>
      </c>
      <c r="F71" t="s">
        <v>53</v>
      </c>
      <c r="G71" t="s">
        <v>421</v>
      </c>
      <c r="H71" t="s">
        <v>257</v>
      </c>
      <c r="I71" t="s">
        <v>77</v>
      </c>
      <c r="J71" t="s">
        <v>30</v>
      </c>
      <c r="K71">
        <v>4</v>
      </c>
      <c r="L71">
        <v>68250</v>
      </c>
      <c r="M71">
        <v>5</v>
      </c>
      <c r="N71" t="s">
        <v>31</v>
      </c>
      <c r="O71" t="s">
        <v>102</v>
      </c>
      <c r="P71" t="s">
        <v>174</v>
      </c>
      <c r="Q71" t="s">
        <v>258</v>
      </c>
      <c r="R71" t="s">
        <v>422</v>
      </c>
      <c r="S71">
        <v>1</v>
      </c>
      <c r="T71" t="s">
        <v>61</v>
      </c>
      <c r="U71">
        <v>286</v>
      </c>
      <c r="V71" t="s">
        <v>62</v>
      </c>
    </row>
    <row r="72" spans="1:22" x14ac:dyDescent="0.3">
      <c r="A72" t="s">
        <v>423</v>
      </c>
      <c r="B72" t="s">
        <v>424</v>
      </c>
      <c r="C72">
        <v>41</v>
      </c>
      <c r="D72" t="s">
        <v>51</v>
      </c>
      <c r="E72" t="s">
        <v>52</v>
      </c>
      <c r="F72" t="s">
        <v>82</v>
      </c>
      <c r="G72" t="s">
        <v>425</v>
      </c>
      <c r="H72" t="s">
        <v>426</v>
      </c>
      <c r="I72" t="s">
        <v>93</v>
      </c>
      <c r="J72" t="s">
        <v>30</v>
      </c>
      <c r="K72">
        <v>2</v>
      </c>
      <c r="L72">
        <v>26344</v>
      </c>
      <c r="M72">
        <v>15</v>
      </c>
      <c r="N72" t="s">
        <v>166</v>
      </c>
      <c r="O72" t="s">
        <v>57</v>
      </c>
      <c r="P72" t="s">
        <v>33</v>
      </c>
      <c r="Q72" t="s">
        <v>427</v>
      </c>
      <c r="R72" t="s">
        <v>428</v>
      </c>
      <c r="S72">
        <v>5</v>
      </c>
      <c r="T72" t="s">
        <v>36</v>
      </c>
      <c r="U72">
        <v>406</v>
      </c>
      <c r="V72" t="s">
        <v>62</v>
      </c>
    </row>
    <row r="73" spans="1:22" x14ac:dyDescent="0.3">
      <c r="A73" t="s">
        <v>429</v>
      </c>
      <c r="B73" t="s">
        <v>90</v>
      </c>
      <c r="C73">
        <v>60</v>
      </c>
      <c r="D73" t="s">
        <v>24</v>
      </c>
      <c r="E73" t="s">
        <v>25</v>
      </c>
      <c r="F73" t="s">
        <v>91</v>
      </c>
      <c r="G73" t="s">
        <v>430</v>
      </c>
      <c r="H73" t="s">
        <v>431</v>
      </c>
      <c r="I73" t="s">
        <v>77</v>
      </c>
      <c r="J73" t="s">
        <v>30</v>
      </c>
      <c r="K73">
        <v>4</v>
      </c>
      <c r="L73">
        <v>26242</v>
      </c>
      <c r="M73">
        <v>0</v>
      </c>
      <c r="N73" t="s">
        <v>56</v>
      </c>
      <c r="O73" t="s">
        <v>68</v>
      </c>
      <c r="P73" t="s">
        <v>174</v>
      </c>
      <c r="Q73" t="s">
        <v>94</v>
      </c>
      <c r="S73">
        <v>3</v>
      </c>
      <c r="T73" t="s">
        <v>36</v>
      </c>
      <c r="U73">
        <v>186</v>
      </c>
      <c r="V73" t="s">
        <v>62</v>
      </c>
    </row>
    <row r="74" spans="1:22" x14ac:dyDescent="0.3">
      <c r="A74" t="s">
        <v>432</v>
      </c>
      <c r="B74" t="s">
        <v>150</v>
      </c>
      <c r="C74">
        <v>52</v>
      </c>
      <c r="D74" t="s">
        <v>24</v>
      </c>
      <c r="E74" t="s">
        <v>131</v>
      </c>
      <c r="F74" t="s">
        <v>82</v>
      </c>
      <c r="G74" t="s">
        <v>287</v>
      </c>
      <c r="H74" t="s">
        <v>412</v>
      </c>
      <c r="I74" t="s">
        <v>43</v>
      </c>
      <c r="J74" t="s">
        <v>30</v>
      </c>
      <c r="K74">
        <v>1</v>
      </c>
      <c r="L74">
        <v>78615</v>
      </c>
      <c r="M74">
        <v>5</v>
      </c>
      <c r="N74" t="s">
        <v>56</v>
      </c>
      <c r="O74" t="s">
        <v>133</v>
      </c>
      <c r="P74" t="s">
        <v>58</v>
      </c>
      <c r="Q74" t="s">
        <v>153</v>
      </c>
      <c r="S74">
        <v>4</v>
      </c>
      <c r="T74" t="s">
        <v>61</v>
      </c>
      <c r="U74">
        <v>385</v>
      </c>
      <c r="V74" t="s">
        <v>62</v>
      </c>
    </row>
    <row r="75" spans="1:22" x14ac:dyDescent="0.3">
      <c r="A75" t="s">
        <v>433</v>
      </c>
      <c r="B75" t="s">
        <v>434</v>
      </c>
      <c r="C75">
        <v>23</v>
      </c>
      <c r="D75" t="s">
        <v>183</v>
      </c>
      <c r="E75" t="s">
        <v>52</v>
      </c>
      <c r="F75" t="s">
        <v>26</v>
      </c>
      <c r="G75" t="s">
        <v>435</v>
      </c>
      <c r="H75" t="s">
        <v>436</v>
      </c>
      <c r="I75" t="s">
        <v>108</v>
      </c>
      <c r="J75" t="s">
        <v>30</v>
      </c>
      <c r="K75">
        <v>2</v>
      </c>
      <c r="L75">
        <v>6684</v>
      </c>
      <c r="M75">
        <v>5</v>
      </c>
      <c r="N75" t="s">
        <v>166</v>
      </c>
      <c r="O75" t="s">
        <v>46</v>
      </c>
      <c r="P75" t="s">
        <v>33</v>
      </c>
      <c r="Q75" t="s">
        <v>437</v>
      </c>
      <c r="R75" t="s">
        <v>438</v>
      </c>
      <c r="S75">
        <v>3</v>
      </c>
      <c r="T75" t="s">
        <v>96</v>
      </c>
      <c r="U75">
        <v>298</v>
      </c>
      <c r="V75" t="s">
        <v>37</v>
      </c>
    </row>
    <row r="76" spans="1:22" x14ac:dyDescent="0.3">
      <c r="A76" t="s">
        <v>439</v>
      </c>
      <c r="B76" t="s">
        <v>440</v>
      </c>
      <c r="C76">
        <v>47</v>
      </c>
      <c r="D76" t="s">
        <v>24</v>
      </c>
      <c r="E76" t="s">
        <v>52</v>
      </c>
      <c r="F76" t="s">
        <v>65</v>
      </c>
      <c r="G76" t="s">
        <v>441</v>
      </c>
      <c r="H76" t="s">
        <v>442</v>
      </c>
      <c r="I76" t="s">
        <v>43</v>
      </c>
      <c r="J76" t="s">
        <v>44</v>
      </c>
      <c r="K76">
        <v>5</v>
      </c>
      <c r="L76">
        <v>64527</v>
      </c>
      <c r="M76">
        <v>15</v>
      </c>
      <c r="N76" t="s">
        <v>166</v>
      </c>
      <c r="O76" t="s">
        <v>133</v>
      </c>
      <c r="P76" t="s">
        <v>69</v>
      </c>
      <c r="Q76" t="s">
        <v>437</v>
      </c>
      <c r="R76" t="s">
        <v>443</v>
      </c>
      <c r="S76">
        <v>3</v>
      </c>
      <c r="T76" t="s">
        <v>61</v>
      </c>
      <c r="U76">
        <v>499</v>
      </c>
      <c r="V76" t="s">
        <v>79</v>
      </c>
    </row>
    <row r="77" spans="1:22" x14ac:dyDescent="0.3">
      <c r="A77" t="s">
        <v>444</v>
      </c>
      <c r="B77" t="s">
        <v>182</v>
      </c>
      <c r="C77">
        <v>30</v>
      </c>
      <c r="D77" t="s">
        <v>24</v>
      </c>
      <c r="E77" t="s">
        <v>26</v>
      </c>
      <c r="F77" t="s">
        <v>82</v>
      </c>
      <c r="G77" t="s">
        <v>445</v>
      </c>
      <c r="H77" t="s">
        <v>446</v>
      </c>
      <c r="I77" t="s">
        <v>93</v>
      </c>
      <c r="J77" t="s">
        <v>30</v>
      </c>
      <c r="K77">
        <v>3</v>
      </c>
      <c r="L77">
        <v>38262</v>
      </c>
      <c r="M77">
        <v>10</v>
      </c>
      <c r="N77" t="s">
        <v>31</v>
      </c>
      <c r="O77" t="s">
        <v>133</v>
      </c>
      <c r="P77" t="s">
        <v>174</v>
      </c>
      <c r="Q77" t="s">
        <v>186</v>
      </c>
      <c r="R77" t="s">
        <v>447</v>
      </c>
      <c r="S77">
        <v>5</v>
      </c>
      <c r="T77" t="s">
        <v>96</v>
      </c>
      <c r="U77">
        <v>166</v>
      </c>
      <c r="V77" t="s">
        <v>79</v>
      </c>
    </row>
    <row r="78" spans="1:22" x14ac:dyDescent="0.3">
      <c r="A78" t="s">
        <v>448</v>
      </c>
      <c r="B78" t="s">
        <v>361</v>
      </c>
      <c r="C78">
        <v>47</v>
      </c>
      <c r="D78" t="s">
        <v>24</v>
      </c>
      <c r="E78" t="s">
        <v>131</v>
      </c>
      <c r="F78" t="s">
        <v>82</v>
      </c>
      <c r="G78" t="s">
        <v>449</v>
      </c>
      <c r="H78" t="s">
        <v>450</v>
      </c>
      <c r="I78" t="s">
        <v>108</v>
      </c>
      <c r="J78" t="s">
        <v>44</v>
      </c>
      <c r="K78">
        <v>2</v>
      </c>
      <c r="L78">
        <v>39244</v>
      </c>
      <c r="M78">
        <v>15</v>
      </c>
      <c r="N78" t="s">
        <v>56</v>
      </c>
      <c r="O78" t="s">
        <v>173</v>
      </c>
      <c r="P78" t="s">
        <v>58</v>
      </c>
      <c r="Q78" t="s">
        <v>364</v>
      </c>
      <c r="R78" t="s">
        <v>451</v>
      </c>
      <c r="S78">
        <v>5</v>
      </c>
      <c r="T78" t="s">
        <v>96</v>
      </c>
      <c r="U78">
        <v>194</v>
      </c>
      <c r="V78" t="s">
        <v>79</v>
      </c>
    </row>
    <row r="79" spans="1:22" x14ac:dyDescent="0.3">
      <c r="A79" t="s">
        <v>452</v>
      </c>
      <c r="B79" t="s">
        <v>193</v>
      </c>
      <c r="C79">
        <v>38</v>
      </c>
      <c r="D79" t="s">
        <v>51</v>
      </c>
      <c r="E79" t="s">
        <v>52</v>
      </c>
      <c r="F79" t="s">
        <v>53</v>
      </c>
      <c r="G79" t="s">
        <v>453</v>
      </c>
      <c r="H79" t="s">
        <v>454</v>
      </c>
      <c r="I79" t="s">
        <v>29</v>
      </c>
      <c r="J79" t="s">
        <v>30</v>
      </c>
      <c r="L79">
        <v>34461</v>
      </c>
      <c r="M79">
        <v>15</v>
      </c>
      <c r="N79" t="s">
        <v>45</v>
      </c>
      <c r="O79" t="s">
        <v>133</v>
      </c>
      <c r="P79" t="s">
        <v>58</v>
      </c>
      <c r="R79" t="s">
        <v>455</v>
      </c>
      <c r="S79">
        <v>4</v>
      </c>
      <c r="T79" t="s">
        <v>96</v>
      </c>
      <c r="U79">
        <v>448</v>
      </c>
      <c r="V79" t="s">
        <v>37</v>
      </c>
    </row>
    <row r="80" spans="1:22" x14ac:dyDescent="0.3">
      <c r="A80" t="s">
        <v>456</v>
      </c>
      <c r="B80" t="s">
        <v>457</v>
      </c>
      <c r="C80">
        <v>56</v>
      </c>
      <c r="D80" t="s">
        <v>183</v>
      </c>
      <c r="E80" t="s">
        <v>26</v>
      </c>
      <c r="F80" t="s">
        <v>82</v>
      </c>
      <c r="G80" t="s">
        <v>384</v>
      </c>
      <c r="H80" t="s">
        <v>458</v>
      </c>
      <c r="I80" t="s">
        <v>85</v>
      </c>
      <c r="J80" t="s">
        <v>30</v>
      </c>
      <c r="K80">
        <v>5</v>
      </c>
      <c r="L80">
        <v>65108</v>
      </c>
      <c r="M80">
        <v>10</v>
      </c>
      <c r="N80" t="s">
        <v>45</v>
      </c>
      <c r="O80" t="s">
        <v>173</v>
      </c>
      <c r="P80" t="s">
        <v>174</v>
      </c>
      <c r="R80" t="s">
        <v>459</v>
      </c>
      <c r="S80">
        <v>3</v>
      </c>
      <c r="T80" t="s">
        <v>36</v>
      </c>
      <c r="U80">
        <v>482</v>
      </c>
      <c r="V80" t="s">
        <v>79</v>
      </c>
    </row>
    <row r="81" spans="1:22" x14ac:dyDescent="0.3">
      <c r="A81" t="s">
        <v>460</v>
      </c>
      <c r="B81" t="s">
        <v>461</v>
      </c>
      <c r="C81">
        <v>45</v>
      </c>
      <c r="D81" t="s">
        <v>51</v>
      </c>
      <c r="E81" t="s">
        <v>99</v>
      </c>
      <c r="F81" t="s">
        <v>26</v>
      </c>
      <c r="G81" t="s">
        <v>462</v>
      </c>
      <c r="H81" t="s">
        <v>463</v>
      </c>
      <c r="I81" t="s">
        <v>29</v>
      </c>
      <c r="J81" t="s">
        <v>44</v>
      </c>
      <c r="K81">
        <v>2</v>
      </c>
      <c r="L81">
        <v>13900</v>
      </c>
      <c r="M81">
        <v>10</v>
      </c>
      <c r="N81" t="s">
        <v>31</v>
      </c>
      <c r="O81" t="s">
        <v>281</v>
      </c>
      <c r="P81" t="s">
        <v>174</v>
      </c>
      <c r="R81" t="s">
        <v>464</v>
      </c>
      <c r="S81">
        <v>5</v>
      </c>
      <c r="T81" t="s">
        <v>72</v>
      </c>
      <c r="U81">
        <v>152</v>
      </c>
      <c r="V81" t="s">
        <v>62</v>
      </c>
    </row>
    <row r="82" spans="1:22" x14ac:dyDescent="0.3">
      <c r="A82" t="s">
        <v>465</v>
      </c>
      <c r="B82" t="s">
        <v>466</v>
      </c>
      <c r="C82">
        <v>50</v>
      </c>
      <c r="D82" t="s">
        <v>24</v>
      </c>
      <c r="E82" t="s">
        <v>25</v>
      </c>
      <c r="F82" t="s">
        <v>53</v>
      </c>
      <c r="G82" t="s">
        <v>230</v>
      </c>
      <c r="H82" t="s">
        <v>467</v>
      </c>
      <c r="I82" t="s">
        <v>77</v>
      </c>
      <c r="J82" t="s">
        <v>30</v>
      </c>
      <c r="L82">
        <v>54993</v>
      </c>
      <c r="M82">
        <v>5</v>
      </c>
      <c r="N82" t="s">
        <v>45</v>
      </c>
      <c r="O82" t="s">
        <v>32</v>
      </c>
      <c r="P82" t="s">
        <v>174</v>
      </c>
      <c r="Q82" t="s">
        <v>468</v>
      </c>
      <c r="R82" t="s">
        <v>469</v>
      </c>
      <c r="S82">
        <v>2</v>
      </c>
      <c r="T82" t="s">
        <v>96</v>
      </c>
      <c r="U82">
        <v>401</v>
      </c>
      <c r="V82" t="s">
        <v>37</v>
      </c>
    </row>
    <row r="83" spans="1:22" x14ac:dyDescent="0.3">
      <c r="A83" t="s">
        <v>470</v>
      </c>
      <c r="B83" t="s">
        <v>471</v>
      </c>
      <c r="C83">
        <v>36</v>
      </c>
      <c r="D83" t="s">
        <v>24</v>
      </c>
      <c r="E83" t="s">
        <v>26</v>
      </c>
      <c r="F83" t="s">
        <v>26</v>
      </c>
      <c r="G83" t="s">
        <v>472</v>
      </c>
      <c r="H83" t="s">
        <v>473</v>
      </c>
      <c r="I83" t="s">
        <v>43</v>
      </c>
      <c r="J83" t="s">
        <v>30</v>
      </c>
      <c r="K83">
        <v>3</v>
      </c>
      <c r="L83">
        <v>26105</v>
      </c>
      <c r="M83">
        <v>10</v>
      </c>
      <c r="N83" t="s">
        <v>166</v>
      </c>
      <c r="O83" t="s">
        <v>57</v>
      </c>
      <c r="P83" t="s">
        <v>69</v>
      </c>
      <c r="R83" t="s">
        <v>474</v>
      </c>
      <c r="S83">
        <v>4</v>
      </c>
      <c r="T83" t="s">
        <v>96</v>
      </c>
      <c r="U83">
        <v>185</v>
      </c>
      <c r="V83" t="s">
        <v>62</v>
      </c>
    </row>
    <row r="84" spans="1:22" x14ac:dyDescent="0.3">
      <c r="A84" t="s">
        <v>475</v>
      </c>
      <c r="B84" t="s">
        <v>476</v>
      </c>
      <c r="C84">
        <v>39</v>
      </c>
      <c r="D84" t="s">
        <v>51</v>
      </c>
      <c r="E84" t="s">
        <v>52</v>
      </c>
      <c r="F84" t="s">
        <v>65</v>
      </c>
      <c r="G84" t="s">
        <v>449</v>
      </c>
      <c r="H84" t="s">
        <v>477</v>
      </c>
      <c r="I84" t="s">
        <v>85</v>
      </c>
      <c r="J84" t="s">
        <v>30</v>
      </c>
      <c r="K84">
        <v>3</v>
      </c>
      <c r="L84">
        <v>47367</v>
      </c>
      <c r="M84">
        <v>0</v>
      </c>
      <c r="N84" t="s">
        <v>56</v>
      </c>
      <c r="O84" t="s">
        <v>102</v>
      </c>
      <c r="P84" t="s">
        <v>33</v>
      </c>
      <c r="Q84" t="s">
        <v>478</v>
      </c>
      <c r="R84" t="s">
        <v>479</v>
      </c>
      <c r="S84">
        <v>2</v>
      </c>
      <c r="T84" t="s">
        <v>72</v>
      </c>
      <c r="U84">
        <v>267</v>
      </c>
      <c r="V84" t="s">
        <v>79</v>
      </c>
    </row>
    <row r="85" spans="1:22" x14ac:dyDescent="0.3">
      <c r="A85" t="s">
        <v>480</v>
      </c>
      <c r="B85" t="s">
        <v>105</v>
      </c>
      <c r="C85">
        <v>36</v>
      </c>
      <c r="D85" t="s">
        <v>24</v>
      </c>
      <c r="E85" t="s">
        <v>142</v>
      </c>
      <c r="F85" t="s">
        <v>53</v>
      </c>
      <c r="G85" t="s">
        <v>354</v>
      </c>
      <c r="H85" t="s">
        <v>481</v>
      </c>
      <c r="I85" t="s">
        <v>85</v>
      </c>
      <c r="J85" t="s">
        <v>44</v>
      </c>
      <c r="K85">
        <v>5</v>
      </c>
      <c r="L85">
        <v>57171</v>
      </c>
      <c r="M85">
        <v>15</v>
      </c>
      <c r="N85" t="s">
        <v>166</v>
      </c>
      <c r="O85" t="s">
        <v>46</v>
      </c>
      <c r="P85" t="s">
        <v>33</v>
      </c>
      <c r="R85" t="s">
        <v>482</v>
      </c>
      <c r="S85">
        <v>1</v>
      </c>
      <c r="T85" t="s">
        <v>36</v>
      </c>
      <c r="U85">
        <v>89</v>
      </c>
      <c r="V85" t="s">
        <v>37</v>
      </c>
    </row>
    <row r="86" spans="1:22" x14ac:dyDescent="0.3">
      <c r="A86" t="s">
        <v>483</v>
      </c>
      <c r="B86" t="s">
        <v>484</v>
      </c>
      <c r="C86">
        <v>50</v>
      </c>
      <c r="D86" t="s">
        <v>51</v>
      </c>
      <c r="E86" t="s">
        <v>99</v>
      </c>
      <c r="F86" t="s">
        <v>53</v>
      </c>
      <c r="G86" t="s">
        <v>485</v>
      </c>
      <c r="H86" t="s">
        <v>486</v>
      </c>
      <c r="I86" t="s">
        <v>77</v>
      </c>
      <c r="J86" t="s">
        <v>30</v>
      </c>
      <c r="K86">
        <v>2</v>
      </c>
      <c r="L86">
        <v>54558</v>
      </c>
      <c r="M86">
        <v>0</v>
      </c>
      <c r="N86" t="s">
        <v>45</v>
      </c>
      <c r="O86" t="s">
        <v>102</v>
      </c>
      <c r="P86" t="s">
        <v>174</v>
      </c>
      <c r="Q86" t="s">
        <v>487</v>
      </c>
      <c r="R86" t="s">
        <v>488</v>
      </c>
      <c r="S86">
        <v>1</v>
      </c>
      <c r="T86" t="s">
        <v>36</v>
      </c>
      <c r="U86">
        <v>114</v>
      </c>
      <c r="V86" t="s">
        <v>37</v>
      </c>
    </row>
    <row r="87" spans="1:22" x14ac:dyDescent="0.3">
      <c r="A87" t="s">
        <v>489</v>
      </c>
      <c r="B87" t="s">
        <v>344</v>
      </c>
      <c r="C87">
        <v>19</v>
      </c>
      <c r="D87" t="s">
        <v>24</v>
      </c>
      <c r="E87" t="s">
        <v>25</v>
      </c>
      <c r="F87" t="s">
        <v>82</v>
      </c>
      <c r="G87" t="s">
        <v>490</v>
      </c>
      <c r="H87" t="s">
        <v>473</v>
      </c>
      <c r="I87" t="s">
        <v>108</v>
      </c>
      <c r="J87" t="s">
        <v>44</v>
      </c>
      <c r="K87">
        <v>5</v>
      </c>
      <c r="L87">
        <v>19728</v>
      </c>
      <c r="M87">
        <v>15</v>
      </c>
      <c r="N87" t="s">
        <v>166</v>
      </c>
      <c r="O87" t="s">
        <v>32</v>
      </c>
      <c r="P87" t="s">
        <v>58</v>
      </c>
      <c r="Q87" t="s">
        <v>347</v>
      </c>
      <c r="R87" t="s">
        <v>491</v>
      </c>
      <c r="S87">
        <v>2</v>
      </c>
      <c r="T87" t="s">
        <v>96</v>
      </c>
      <c r="U87">
        <v>162</v>
      </c>
      <c r="V87" t="s">
        <v>79</v>
      </c>
    </row>
    <row r="88" spans="1:22" x14ac:dyDescent="0.3">
      <c r="A88" t="s">
        <v>492</v>
      </c>
      <c r="B88" t="s">
        <v>471</v>
      </c>
      <c r="C88">
        <v>51</v>
      </c>
      <c r="D88" t="s">
        <v>24</v>
      </c>
      <c r="E88" t="s">
        <v>26</v>
      </c>
      <c r="F88" t="s">
        <v>53</v>
      </c>
      <c r="G88" t="s">
        <v>493</v>
      </c>
      <c r="H88" t="s">
        <v>494</v>
      </c>
      <c r="I88" t="s">
        <v>43</v>
      </c>
      <c r="J88" t="s">
        <v>30</v>
      </c>
      <c r="K88">
        <v>5</v>
      </c>
      <c r="L88">
        <v>43480</v>
      </c>
      <c r="M88">
        <v>0</v>
      </c>
      <c r="N88" t="s">
        <v>56</v>
      </c>
      <c r="O88" t="s">
        <v>173</v>
      </c>
      <c r="P88" t="s">
        <v>58</v>
      </c>
      <c r="Q88" t="s">
        <v>495</v>
      </c>
      <c r="R88" t="s">
        <v>496</v>
      </c>
      <c r="S88">
        <v>5</v>
      </c>
      <c r="T88" t="s">
        <v>72</v>
      </c>
      <c r="U88">
        <v>163</v>
      </c>
      <c r="V88" t="s">
        <v>37</v>
      </c>
    </row>
    <row r="89" spans="1:22" x14ac:dyDescent="0.3">
      <c r="A89" t="s">
        <v>497</v>
      </c>
      <c r="B89" t="s">
        <v>498</v>
      </c>
      <c r="C89">
        <v>59</v>
      </c>
      <c r="D89" t="s">
        <v>24</v>
      </c>
      <c r="E89" t="s">
        <v>229</v>
      </c>
      <c r="F89" t="s">
        <v>26</v>
      </c>
      <c r="G89" t="s">
        <v>316</v>
      </c>
      <c r="H89" t="s">
        <v>499</v>
      </c>
      <c r="I89" t="s">
        <v>77</v>
      </c>
      <c r="J89" t="s">
        <v>44</v>
      </c>
      <c r="K89">
        <v>1</v>
      </c>
      <c r="L89">
        <v>5062</v>
      </c>
      <c r="M89">
        <v>15</v>
      </c>
      <c r="N89" t="s">
        <v>45</v>
      </c>
      <c r="O89" t="s">
        <v>102</v>
      </c>
      <c r="P89" t="s">
        <v>69</v>
      </c>
      <c r="Q89" t="s">
        <v>500</v>
      </c>
      <c r="R89" t="s">
        <v>501</v>
      </c>
      <c r="S89">
        <v>4</v>
      </c>
      <c r="T89" t="s">
        <v>36</v>
      </c>
      <c r="U89">
        <v>318</v>
      </c>
      <c r="V89" t="s">
        <v>79</v>
      </c>
    </row>
    <row r="90" spans="1:22" x14ac:dyDescent="0.3">
      <c r="A90" t="s">
        <v>502</v>
      </c>
      <c r="B90" t="s">
        <v>503</v>
      </c>
      <c r="C90">
        <v>41</v>
      </c>
      <c r="D90" t="s">
        <v>24</v>
      </c>
      <c r="E90" t="s">
        <v>142</v>
      </c>
      <c r="F90" t="s">
        <v>82</v>
      </c>
      <c r="G90" t="s">
        <v>504</v>
      </c>
      <c r="H90" t="s">
        <v>505</v>
      </c>
      <c r="I90" t="s">
        <v>85</v>
      </c>
      <c r="J90" t="s">
        <v>30</v>
      </c>
      <c r="K90">
        <v>2</v>
      </c>
      <c r="L90">
        <v>19664</v>
      </c>
      <c r="M90">
        <v>5</v>
      </c>
      <c r="N90" t="s">
        <v>45</v>
      </c>
      <c r="O90" t="s">
        <v>68</v>
      </c>
      <c r="P90" t="s">
        <v>69</v>
      </c>
      <c r="Q90" t="s">
        <v>506</v>
      </c>
      <c r="R90" t="s">
        <v>507</v>
      </c>
      <c r="S90">
        <v>1</v>
      </c>
      <c r="T90" t="s">
        <v>61</v>
      </c>
      <c r="U90">
        <v>474</v>
      </c>
      <c r="V90" t="s">
        <v>37</v>
      </c>
    </row>
    <row r="91" spans="1:22" x14ac:dyDescent="0.3">
      <c r="A91" t="s">
        <v>508</v>
      </c>
      <c r="B91" t="s">
        <v>509</v>
      </c>
      <c r="C91">
        <v>32</v>
      </c>
      <c r="D91" t="s">
        <v>24</v>
      </c>
      <c r="E91" t="s">
        <v>142</v>
      </c>
      <c r="F91" t="s">
        <v>26</v>
      </c>
      <c r="G91" t="s">
        <v>510</v>
      </c>
      <c r="H91" t="s">
        <v>511</v>
      </c>
      <c r="I91" t="s">
        <v>108</v>
      </c>
      <c r="J91" t="s">
        <v>44</v>
      </c>
      <c r="K91">
        <v>5</v>
      </c>
      <c r="L91">
        <v>38540</v>
      </c>
      <c r="M91">
        <v>0</v>
      </c>
      <c r="N91" t="s">
        <v>56</v>
      </c>
      <c r="O91" t="s">
        <v>68</v>
      </c>
      <c r="P91" t="s">
        <v>174</v>
      </c>
      <c r="Q91" t="s">
        <v>512</v>
      </c>
      <c r="R91" t="s">
        <v>513</v>
      </c>
      <c r="S91">
        <v>4</v>
      </c>
      <c r="T91" t="s">
        <v>61</v>
      </c>
      <c r="U91">
        <v>284</v>
      </c>
      <c r="V91" t="s">
        <v>37</v>
      </c>
    </row>
    <row r="92" spans="1:22" x14ac:dyDescent="0.3">
      <c r="A92" t="s">
        <v>514</v>
      </c>
      <c r="B92" t="s">
        <v>411</v>
      </c>
      <c r="C92">
        <v>32</v>
      </c>
      <c r="D92" t="s">
        <v>24</v>
      </c>
      <c r="E92" t="s">
        <v>40</v>
      </c>
      <c r="F92" t="s">
        <v>82</v>
      </c>
      <c r="G92" t="s">
        <v>515</v>
      </c>
      <c r="H92" t="s">
        <v>516</v>
      </c>
      <c r="I92" t="s">
        <v>77</v>
      </c>
      <c r="J92" t="s">
        <v>44</v>
      </c>
      <c r="K92">
        <v>4</v>
      </c>
      <c r="M92">
        <v>10</v>
      </c>
      <c r="N92" t="s">
        <v>166</v>
      </c>
      <c r="O92" t="s">
        <v>57</v>
      </c>
      <c r="P92" t="s">
        <v>33</v>
      </c>
      <c r="Q92" t="s">
        <v>414</v>
      </c>
      <c r="R92" t="s">
        <v>517</v>
      </c>
      <c r="S92">
        <v>1</v>
      </c>
      <c r="T92" t="s">
        <v>96</v>
      </c>
      <c r="U92">
        <v>54</v>
      </c>
      <c r="V92" t="s">
        <v>79</v>
      </c>
    </row>
    <row r="93" spans="1:22" x14ac:dyDescent="0.3">
      <c r="A93" t="s">
        <v>518</v>
      </c>
      <c r="B93" t="s">
        <v>519</v>
      </c>
      <c r="C93">
        <v>22</v>
      </c>
      <c r="D93" t="s">
        <v>24</v>
      </c>
      <c r="E93" t="s">
        <v>25</v>
      </c>
      <c r="F93" t="s">
        <v>26</v>
      </c>
      <c r="G93" t="s">
        <v>520</v>
      </c>
      <c r="H93" t="s">
        <v>521</v>
      </c>
      <c r="I93" t="s">
        <v>43</v>
      </c>
      <c r="J93" t="s">
        <v>30</v>
      </c>
      <c r="K93">
        <v>1</v>
      </c>
      <c r="L93">
        <v>44210</v>
      </c>
      <c r="M93">
        <v>15</v>
      </c>
      <c r="N93" t="s">
        <v>166</v>
      </c>
      <c r="O93" t="s">
        <v>133</v>
      </c>
      <c r="P93" t="s">
        <v>33</v>
      </c>
      <c r="Q93" t="s">
        <v>312</v>
      </c>
      <c r="S93">
        <v>2</v>
      </c>
      <c r="T93" t="s">
        <v>72</v>
      </c>
      <c r="U93">
        <v>270</v>
      </c>
      <c r="V93" t="s">
        <v>37</v>
      </c>
    </row>
    <row r="94" spans="1:22" x14ac:dyDescent="0.3">
      <c r="A94" t="s">
        <v>522</v>
      </c>
      <c r="B94" t="s">
        <v>90</v>
      </c>
      <c r="C94">
        <v>36</v>
      </c>
      <c r="D94" t="s">
        <v>51</v>
      </c>
      <c r="E94" t="s">
        <v>40</v>
      </c>
      <c r="F94" t="s">
        <v>26</v>
      </c>
      <c r="G94" t="s">
        <v>523</v>
      </c>
      <c r="H94" t="s">
        <v>524</v>
      </c>
      <c r="I94" t="s">
        <v>108</v>
      </c>
      <c r="J94" t="s">
        <v>30</v>
      </c>
      <c r="K94">
        <v>1</v>
      </c>
      <c r="L94">
        <v>21287</v>
      </c>
      <c r="M94">
        <v>15</v>
      </c>
      <c r="N94" t="s">
        <v>56</v>
      </c>
      <c r="O94" t="s">
        <v>46</v>
      </c>
      <c r="P94" t="s">
        <v>174</v>
      </c>
      <c r="Q94" t="s">
        <v>94</v>
      </c>
      <c r="R94" t="s">
        <v>525</v>
      </c>
      <c r="S94">
        <v>4</v>
      </c>
      <c r="T94" t="s">
        <v>36</v>
      </c>
      <c r="U94">
        <v>263</v>
      </c>
      <c r="V94" t="s">
        <v>62</v>
      </c>
    </row>
    <row r="95" spans="1:22" x14ac:dyDescent="0.3">
      <c r="A95" t="s">
        <v>526</v>
      </c>
      <c r="B95" t="s">
        <v>527</v>
      </c>
      <c r="C95">
        <v>45</v>
      </c>
      <c r="D95" t="s">
        <v>24</v>
      </c>
      <c r="E95" t="s">
        <v>142</v>
      </c>
      <c r="F95" t="s">
        <v>65</v>
      </c>
      <c r="G95" t="s">
        <v>528</v>
      </c>
      <c r="H95" t="s">
        <v>529</v>
      </c>
      <c r="I95" t="s">
        <v>85</v>
      </c>
      <c r="J95" t="s">
        <v>44</v>
      </c>
      <c r="K95">
        <v>3</v>
      </c>
      <c r="L95">
        <v>78099</v>
      </c>
      <c r="M95">
        <v>0</v>
      </c>
      <c r="N95" t="s">
        <v>31</v>
      </c>
      <c r="O95" t="s">
        <v>133</v>
      </c>
      <c r="P95" t="s">
        <v>33</v>
      </c>
      <c r="Q95" t="s">
        <v>530</v>
      </c>
      <c r="R95" t="s">
        <v>531</v>
      </c>
      <c r="S95">
        <v>1</v>
      </c>
      <c r="T95" t="s">
        <v>72</v>
      </c>
      <c r="U95">
        <v>398</v>
      </c>
      <c r="V95" t="s">
        <v>62</v>
      </c>
    </row>
    <row r="96" spans="1:22" x14ac:dyDescent="0.3">
      <c r="A96" t="s">
        <v>532</v>
      </c>
      <c r="B96" t="s">
        <v>533</v>
      </c>
      <c r="C96">
        <v>25</v>
      </c>
      <c r="D96" t="s">
        <v>183</v>
      </c>
      <c r="E96" t="s">
        <v>25</v>
      </c>
      <c r="F96" t="s">
        <v>26</v>
      </c>
      <c r="G96" t="s">
        <v>534</v>
      </c>
      <c r="H96" t="s">
        <v>535</v>
      </c>
      <c r="I96" t="s">
        <v>29</v>
      </c>
      <c r="J96" t="s">
        <v>30</v>
      </c>
      <c r="K96">
        <v>2</v>
      </c>
      <c r="L96">
        <v>39105</v>
      </c>
      <c r="M96">
        <v>10</v>
      </c>
      <c r="N96" t="s">
        <v>31</v>
      </c>
      <c r="O96" t="s">
        <v>102</v>
      </c>
      <c r="P96" t="s">
        <v>174</v>
      </c>
      <c r="Q96" t="s">
        <v>536</v>
      </c>
      <c r="S96">
        <v>5</v>
      </c>
      <c r="T96" t="s">
        <v>72</v>
      </c>
      <c r="U96">
        <v>214</v>
      </c>
      <c r="V96" t="s">
        <v>37</v>
      </c>
    </row>
    <row r="97" spans="1:22" x14ac:dyDescent="0.3">
      <c r="A97" t="s">
        <v>537</v>
      </c>
      <c r="B97" t="s">
        <v>189</v>
      </c>
      <c r="C97">
        <v>31</v>
      </c>
      <c r="D97" t="s">
        <v>24</v>
      </c>
      <c r="E97" t="s">
        <v>40</v>
      </c>
      <c r="F97" t="s">
        <v>65</v>
      </c>
      <c r="G97" t="s">
        <v>538</v>
      </c>
      <c r="H97" t="s">
        <v>67</v>
      </c>
      <c r="I97" t="s">
        <v>29</v>
      </c>
      <c r="J97" t="s">
        <v>44</v>
      </c>
      <c r="K97">
        <v>4</v>
      </c>
      <c r="L97">
        <v>15586</v>
      </c>
      <c r="M97">
        <v>10</v>
      </c>
      <c r="N97" t="s">
        <v>166</v>
      </c>
      <c r="O97" t="s">
        <v>173</v>
      </c>
      <c r="P97" t="s">
        <v>33</v>
      </c>
      <c r="Q97" t="s">
        <v>191</v>
      </c>
      <c r="R97" t="s">
        <v>539</v>
      </c>
      <c r="S97">
        <v>4</v>
      </c>
      <c r="T97" t="s">
        <v>36</v>
      </c>
      <c r="U97">
        <v>153</v>
      </c>
      <c r="V97" t="s">
        <v>62</v>
      </c>
    </row>
    <row r="98" spans="1:22" x14ac:dyDescent="0.3">
      <c r="A98" t="s">
        <v>540</v>
      </c>
      <c r="B98" t="s">
        <v>541</v>
      </c>
      <c r="C98">
        <v>26</v>
      </c>
      <c r="D98" t="s">
        <v>51</v>
      </c>
      <c r="E98" t="s">
        <v>99</v>
      </c>
      <c r="F98" t="s">
        <v>26</v>
      </c>
      <c r="G98" t="s">
        <v>542</v>
      </c>
      <c r="H98" t="s">
        <v>543</v>
      </c>
      <c r="I98" t="s">
        <v>93</v>
      </c>
      <c r="J98" t="s">
        <v>44</v>
      </c>
      <c r="K98">
        <v>3</v>
      </c>
      <c r="L98">
        <v>49835</v>
      </c>
      <c r="M98">
        <v>10</v>
      </c>
      <c r="N98" t="s">
        <v>166</v>
      </c>
      <c r="O98" t="s">
        <v>102</v>
      </c>
      <c r="P98" t="s">
        <v>69</v>
      </c>
      <c r="Q98" t="s">
        <v>544</v>
      </c>
      <c r="R98" t="s">
        <v>545</v>
      </c>
      <c r="S98">
        <v>1</v>
      </c>
      <c r="T98" t="s">
        <v>61</v>
      </c>
      <c r="U98">
        <v>167</v>
      </c>
      <c r="V98" t="s">
        <v>37</v>
      </c>
    </row>
    <row r="99" spans="1:22" x14ac:dyDescent="0.3">
      <c r="A99" t="s">
        <v>546</v>
      </c>
      <c r="B99" t="s">
        <v>547</v>
      </c>
      <c r="C99">
        <v>48</v>
      </c>
      <c r="D99" t="s">
        <v>51</v>
      </c>
      <c r="E99" t="s">
        <v>229</v>
      </c>
      <c r="F99" t="s">
        <v>65</v>
      </c>
      <c r="G99" t="s">
        <v>274</v>
      </c>
      <c r="H99" t="s">
        <v>548</v>
      </c>
      <c r="I99" t="s">
        <v>43</v>
      </c>
      <c r="J99" t="s">
        <v>44</v>
      </c>
      <c r="K99">
        <v>3</v>
      </c>
      <c r="L99">
        <v>77630</v>
      </c>
      <c r="M99">
        <v>5</v>
      </c>
      <c r="N99" t="s">
        <v>166</v>
      </c>
      <c r="O99" t="s">
        <v>68</v>
      </c>
      <c r="P99" t="s">
        <v>174</v>
      </c>
      <c r="Q99" t="s">
        <v>549</v>
      </c>
      <c r="R99" t="s">
        <v>550</v>
      </c>
      <c r="S99">
        <v>3</v>
      </c>
      <c r="T99" t="s">
        <v>36</v>
      </c>
      <c r="U99">
        <v>441</v>
      </c>
      <c r="V99" t="s">
        <v>37</v>
      </c>
    </row>
    <row r="100" spans="1:22" x14ac:dyDescent="0.3">
      <c r="A100" t="s">
        <v>551</v>
      </c>
      <c r="B100" t="s">
        <v>261</v>
      </c>
      <c r="C100">
        <v>38</v>
      </c>
      <c r="D100" t="s">
        <v>24</v>
      </c>
      <c r="E100" t="s">
        <v>40</v>
      </c>
      <c r="F100" t="s">
        <v>53</v>
      </c>
      <c r="G100" t="s">
        <v>552</v>
      </c>
      <c r="H100" t="s">
        <v>490</v>
      </c>
      <c r="I100" t="s">
        <v>108</v>
      </c>
      <c r="J100" t="s">
        <v>44</v>
      </c>
      <c r="K100">
        <v>3</v>
      </c>
      <c r="M100">
        <v>10</v>
      </c>
      <c r="N100" t="s">
        <v>31</v>
      </c>
      <c r="O100" t="s">
        <v>68</v>
      </c>
      <c r="P100" t="s">
        <v>33</v>
      </c>
      <c r="Q100" t="s">
        <v>264</v>
      </c>
      <c r="R100" t="s">
        <v>553</v>
      </c>
      <c r="S100">
        <v>5</v>
      </c>
      <c r="T100" t="s">
        <v>61</v>
      </c>
      <c r="U100">
        <v>379</v>
      </c>
      <c r="V100" t="s">
        <v>37</v>
      </c>
    </row>
    <row r="101" spans="1:22" x14ac:dyDescent="0.3">
      <c r="A101" t="s">
        <v>554</v>
      </c>
      <c r="B101" t="s">
        <v>555</v>
      </c>
      <c r="C101">
        <v>46</v>
      </c>
      <c r="D101" t="s">
        <v>24</v>
      </c>
      <c r="E101" t="s">
        <v>26</v>
      </c>
      <c r="F101" t="s">
        <v>26</v>
      </c>
      <c r="G101" t="s">
        <v>556</v>
      </c>
      <c r="H101" t="s">
        <v>557</v>
      </c>
      <c r="I101" t="s">
        <v>93</v>
      </c>
      <c r="J101" t="s">
        <v>44</v>
      </c>
      <c r="L101">
        <v>16725</v>
      </c>
      <c r="M101">
        <v>5</v>
      </c>
      <c r="N101" t="s">
        <v>45</v>
      </c>
      <c r="O101" t="s">
        <v>109</v>
      </c>
      <c r="P101" t="s">
        <v>174</v>
      </c>
      <c r="Q101" t="s">
        <v>558</v>
      </c>
      <c r="R101" t="s">
        <v>559</v>
      </c>
      <c r="S101">
        <v>3</v>
      </c>
      <c r="T101" t="s">
        <v>61</v>
      </c>
      <c r="U101">
        <v>337</v>
      </c>
      <c r="V101" t="s">
        <v>37</v>
      </c>
    </row>
    <row r="102" spans="1:22" x14ac:dyDescent="0.3">
      <c r="A102" t="s">
        <v>560</v>
      </c>
      <c r="B102" t="s">
        <v>461</v>
      </c>
      <c r="C102">
        <v>57</v>
      </c>
      <c r="D102" t="s">
        <v>51</v>
      </c>
      <c r="E102" t="s">
        <v>142</v>
      </c>
      <c r="F102" t="s">
        <v>82</v>
      </c>
      <c r="G102" t="s">
        <v>561</v>
      </c>
      <c r="H102" t="s">
        <v>562</v>
      </c>
      <c r="I102" t="s">
        <v>108</v>
      </c>
      <c r="J102" t="s">
        <v>30</v>
      </c>
      <c r="K102">
        <v>5</v>
      </c>
      <c r="L102">
        <v>7146</v>
      </c>
      <c r="M102">
        <v>5</v>
      </c>
      <c r="N102" t="s">
        <v>31</v>
      </c>
      <c r="O102" t="s">
        <v>173</v>
      </c>
      <c r="P102" t="s">
        <v>58</v>
      </c>
      <c r="Q102" t="s">
        <v>563</v>
      </c>
      <c r="R102" t="s">
        <v>564</v>
      </c>
      <c r="S102">
        <v>2</v>
      </c>
      <c r="T102" t="s">
        <v>96</v>
      </c>
      <c r="U102">
        <v>206</v>
      </c>
      <c r="V102" t="s">
        <v>62</v>
      </c>
    </row>
    <row r="103" spans="1:22" x14ac:dyDescent="0.3">
      <c r="A103" t="s">
        <v>565</v>
      </c>
      <c r="B103" t="s">
        <v>162</v>
      </c>
      <c r="C103">
        <v>23</v>
      </c>
      <c r="D103" t="s">
        <v>24</v>
      </c>
      <c r="E103" t="s">
        <v>142</v>
      </c>
      <c r="F103" t="s">
        <v>26</v>
      </c>
      <c r="G103" t="s">
        <v>566</v>
      </c>
      <c r="H103" t="s">
        <v>567</v>
      </c>
      <c r="I103" t="s">
        <v>85</v>
      </c>
      <c r="J103" t="s">
        <v>44</v>
      </c>
      <c r="K103">
        <v>2</v>
      </c>
      <c r="L103">
        <v>38650</v>
      </c>
      <c r="M103">
        <v>10</v>
      </c>
      <c r="N103" t="s">
        <v>31</v>
      </c>
      <c r="O103" t="s">
        <v>57</v>
      </c>
      <c r="P103" t="s">
        <v>174</v>
      </c>
      <c r="R103" t="s">
        <v>568</v>
      </c>
      <c r="S103">
        <v>1</v>
      </c>
      <c r="T103" t="s">
        <v>96</v>
      </c>
      <c r="U103">
        <v>111</v>
      </c>
      <c r="V103" t="s">
        <v>37</v>
      </c>
    </row>
    <row r="104" spans="1:22" x14ac:dyDescent="0.3">
      <c r="A104" t="s">
        <v>569</v>
      </c>
      <c r="B104" t="s">
        <v>570</v>
      </c>
      <c r="C104">
        <v>42</v>
      </c>
      <c r="D104" t="s">
        <v>51</v>
      </c>
      <c r="E104" t="s">
        <v>25</v>
      </c>
      <c r="F104" t="s">
        <v>91</v>
      </c>
      <c r="G104" t="s">
        <v>571</v>
      </c>
      <c r="H104" t="s">
        <v>572</v>
      </c>
      <c r="I104" t="s">
        <v>43</v>
      </c>
      <c r="J104" t="s">
        <v>44</v>
      </c>
      <c r="K104">
        <v>5</v>
      </c>
      <c r="L104">
        <v>23481</v>
      </c>
      <c r="M104">
        <v>0</v>
      </c>
      <c r="N104" t="s">
        <v>166</v>
      </c>
      <c r="O104" t="s">
        <v>57</v>
      </c>
      <c r="P104" t="s">
        <v>33</v>
      </c>
      <c r="Q104" t="s">
        <v>573</v>
      </c>
      <c r="R104" t="s">
        <v>574</v>
      </c>
      <c r="S104">
        <v>5</v>
      </c>
      <c r="T104" t="s">
        <v>96</v>
      </c>
      <c r="U104">
        <v>117</v>
      </c>
      <c r="V104" t="s">
        <v>37</v>
      </c>
    </row>
    <row r="105" spans="1:22" x14ac:dyDescent="0.3">
      <c r="A105" t="s">
        <v>575</v>
      </c>
      <c r="B105" t="s">
        <v>555</v>
      </c>
      <c r="C105">
        <v>59</v>
      </c>
      <c r="D105" t="s">
        <v>24</v>
      </c>
      <c r="E105" t="s">
        <v>52</v>
      </c>
      <c r="F105" t="s">
        <v>65</v>
      </c>
      <c r="G105" t="s">
        <v>576</v>
      </c>
      <c r="H105" t="s">
        <v>354</v>
      </c>
      <c r="I105" t="s">
        <v>85</v>
      </c>
      <c r="J105" t="s">
        <v>30</v>
      </c>
      <c r="K105">
        <v>3</v>
      </c>
      <c r="L105">
        <v>67571</v>
      </c>
      <c r="M105">
        <v>15</v>
      </c>
      <c r="N105" t="s">
        <v>56</v>
      </c>
      <c r="O105" t="s">
        <v>133</v>
      </c>
      <c r="P105" t="s">
        <v>58</v>
      </c>
      <c r="Q105" t="s">
        <v>558</v>
      </c>
      <c r="R105" t="s">
        <v>577</v>
      </c>
      <c r="S105">
        <v>3</v>
      </c>
      <c r="T105" t="s">
        <v>96</v>
      </c>
      <c r="U105">
        <v>169</v>
      </c>
      <c r="V105" t="s">
        <v>37</v>
      </c>
    </row>
    <row r="106" spans="1:22" x14ac:dyDescent="0.3">
      <c r="A106" t="s">
        <v>578</v>
      </c>
      <c r="B106" t="s">
        <v>162</v>
      </c>
      <c r="C106">
        <v>45</v>
      </c>
      <c r="D106" t="s">
        <v>51</v>
      </c>
      <c r="E106" t="s">
        <v>52</v>
      </c>
      <c r="F106" t="s">
        <v>53</v>
      </c>
      <c r="G106" t="s">
        <v>579</v>
      </c>
      <c r="H106" t="s">
        <v>358</v>
      </c>
      <c r="I106" t="s">
        <v>108</v>
      </c>
      <c r="J106" t="s">
        <v>30</v>
      </c>
      <c r="K106">
        <v>2</v>
      </c>
      <c r="L106">
        <v>64529</v>
      </c>
      <c r="M106">
        <v>15</v>
      </c>
      <c r="N106" t="s">
        <v>45</v>
      </c>
      <c r="O106" t="s">
        <v>281</v>
      </c>
      <c r="P106" t="s">
        <v>174</v>
      </c>
      <c r="Q106" t="s">
        <v>167</v>
      </c>
      <c r="R106" t="s">
        <v>580</v>
      </c>
      <c r="S106">
        <v>3</v>
      </c>
      <c r="T106" t="s">
        <v>61</v>
      </c>
      <c r="U106">
        <v>225</v>
      </c>
      <c r="V106" t="s">
        <v>37</v>
      </c>
    </row>
    <row r="107" spans="1:22" x14ac:dyDescent="0.3">
      <c r="A107" t="s">
        <v>581</v>
      </c>
      <c r="B107" t="s">
        <v>141</v>
      </c>
      <c r="C107">
        <v>18</v>
      </c>
      <c r="D107" t="s">
        <v>24</v>
      </c>
      <c r="E107" t="s">
        <v>229</v>
      </c>
      <c r="F107" t="s">
        <v>65</v>
      </c>
      <c r="G107" t="s">
        <v>582</v>
      </c>
      <c r="H107" t="s">
        <v>583</v>
      </c>
      <c r="I107" t="s">
        <v>108</v>
      </c>
      <c r="J107" t="s">
        <v>44</v>
      </c>
      <c r="K107">
        <v>4</v>
      </c>
      <c r="L107">
        <v>41660</v>
      </c>
      <c r="M107">
        <v>5</v>
      </c>
      <c r="N107" t="s">
        <v>31</v>
      </c>
      <c r="O107" t="s">
        <v>173</v>
      </c>
      <c r="P107" t="s">
        <v>174</v>
      </c>
      <c r="R107" t="s">
        <v>584</v>
      </c>
      <c r="S107">
        <v>4</v>
      </c>
      <c r="T107" t="s">
        <v>96</v>
      </c>
      <c r="U107">
        <v>397</v>
      </c>
      <c r="V107" t="s">
        <v>62</v>
      </c>
    </row>
    <row r="108" spans="1:22" x14ac:dyDescent="0.3">
      <c r="A108" t="s">
        <v>585</v>
      </c>
      <c r="B108" t="s">
        <v>397</v>
      </c>
      <c r="C108">
        <v>36</v>
      </c>
      <c r="D108" t="s">
        <v>51</v>
      </c>
      <c r="E108" t="s">
        <v>26</v>
      </c>
      <c r="F108" t="s">
        <v>65</v>
      </c>
      <c r="G108" t="s">
        <v>586</v>
      </c>
      <c r="H108" t="s">
        <v>561</v>
      </c>
      <c r="I108" t="s">
        <v>77</v>
      </c>
      <c r="J108" t="s">
        <v>44</v>
      </c>
      <c r="K108">
        <v>2</v>
      </c>
      <c r="L108">
        <v>67480</v>
      </c>
      <c r="M108">
        <v>0</v>
      </c>
      <c r="N108" t="s">
        <v>45</v>
      </c>
      <c r="O108" t="s">
        <v>46</v>
      </c>
      <c r="P108" t="s">
        <v>33</v>
      </c>
      <c r="Q108" t="s">
        <v>400</v>
      </c>
      <c r="R108" t="s">
        <v>587</v>
      </c>
      <c r="S108">
        <v>3</v>
      </c>
      <c r="T108" t="s">
        <v>36</v>
      </c>
      <c r="U108">
        <v>139</v>
      </c>
      <c r="V108" t="s">
        <v>79</v>
      </c>
    </row>
    <row r="109" spans="1:22" x14ac:dyDescent="0.3">
      <c r="A109" t="s">
        <v>588</v>
      </c>
      <c r="B109" t="s">
        <v>589</v>
      </c>
      <c r="C109">
        <v>48</v>
      </c>
      <c r="D109" t="s">
        <v>51</v>
      </c>
      <c r="E109" t="s">
        <v>99</v>
      </c>
      <c r="F109" t="s">
        <v>82</v>
      </c>
      <c r="G109" t="s">
        <v>212</v>
      </c>
      <c r="H109" t="s">
        <v>590</v>
      </c>
      <c r="I109" t="s">
        <v>108</v>
      </c>
      <c r="J109" t="s">
        <v>30</v>
      </c>
      <c r="K109">
        <v>3</v>
      </c>
      <c r="L109">
        <v>42106</v>
      </c>
      <c r="M109">
        <v>0</v>
      </c>
      <c r="N109" t="s">
        <v>166</v>
      </c>
      <c r="O109" t="s">
        <v>68</v>
      </c>
      <c r="P109" t="s">
        <v>174</v>
      </c>
      <c r="Q109" t="s">
        <v>591</v>
      </c>
      <c r="R109" t="s">
        <v>592</v>
      </c>
      <c r="S109">
        <v>5</v>
      </c>
      <c r="T109" t="s">
        <v>61</v>
      </c>
      <c r="U109">
        <v>289</v>
      </c>
      <c r="V109" t="s">
        <v>79</v>
      </c>
    </row>
    <row r="110" spans="1:22" x14ac:dyDescent="0.3">
      <c r="A110" t="s">
        <v>593</v>
      </c>
      <c r="B110" t="s">
        <v>457</v>
      </c>
      <c r="C110">
        <v>30</v>
      </c>
      <c r="D110" t="s">
        <v>51</v>
      </c>
      <c r="E110" t="s">
        <v>142</v>
      </c>
      <c r="F110" t="s">
        <v>65</v>
      </c>
      <c r="G110" t="s">
        <v>75</v>
      </c>
      <c r="H110" t="s">
        <v>594</v>
      </c>
      <c r="I110" t="s">
        <v>93</v>
      </c>
      <c r="J110" t="s">
        <v>30</v>
      </c>
      <c r="K110">
        <v>3</v>
      </c>
      <c r="L110">
        <v>72446</v>
      </c>
      <c r="M110">
        <v>0</v>
      </c>
      <c r="N110" t="s">
        <v>45</v>
      </c>
      <c r="O110" t="s">
        <v>173</v>
      </c>
      <c r="P110" t="s">
        <v>174</v>
      </c>
      <c r="Q110" t="s">
        <v>595</v>
      </c>
      <c r="R110" t="s">
        <v>596</v>
      </c>
      <c r="S110">
        <v>3</v>
      </c>
      <c r="T110" t="s">
        <v>72</v>
      </c>
      <c r="U110">
        <v>277</v>
      </c>
      <c r="V110" t="s">
        <v>62</v>
      </c>
    </row>
    <row r="111" spans="1:22" x14ac:dyDescent="0.3">
      <c r="A111" t="s">
        <v>597</v>
      </c>
      <c r="B111" t="s">
        <v>23</v>
      </c>
      <c r="C111">
        <v>21</v>
      </c>
      <c r="D111" t="s">
        <v>24</v>
      </c>
      <c r="E111" t="s">
        <v>131</v>
      </c>
      <c r="F111" t="s">
        <v>53</v>
      </c>
      <c r="G111" t="s">
        <v>245</v>
      </c>
      <c r="H111" t="s">
        <v>598</v>
      </c>
      <c r="I111" t="s">
        <v>93</v>
      </c>
      <c r="J111" t="s">
        <v>44</v>
      </c>
      <c r="K111">
        <v>1</v>
      </c>
      <c r="L111">
        <v>34533</v>
      </c>
      <c r="M111">
        <v>5</v>
      </c>
      <c r="N111" t="s">
        <v>45</v>
      </c>
      <c r="O111" t="s">
        <v>86</v>
      </c>
      <c r="P111" t="s">
        <v>33</v>
      </c>
      <c r="Q111" t="s">
        <v>34</v>
      </c>
      <c r="R111" t="s">
        <v>599</v>
      </c>
      <c r="S111">
        <v>2</v>
      </c>
      <c r="T111" t="s">
        <v>96</v>
      </c>
      <c r="U111">
        <v>475</v>
      </c>
      <c r="V111" t="s">
        <v>37</v>
      </c>
    </row>
    <row r="112" spans="1:22" x14ac:dyDescent="0.3">
      <c r="A112" t="s">
        <v>600</v>
      </c>
      <c r="B112" t="s">
        <v>601</v>
      </c>
      <c r="C112">
        <v>44</v>
      </c>
      <c r="D112" t="s">
        <v>24</v>
      </c>
      <c r="E112" t="s">
        <v>229</v>
      </c>
      <c r="F112" t="s">
        <v>26</v>
      </c>
      <c r="G112" t="s">
        <v>602</v>
      </c>
      <c r="H112" t="s">
        <v>339</v>
      </c>
      <c r="I112" t="s">
        <v>77</v>
      </c>
      <c r="J112" t="s">
        <v>30</v>
      </c>
      <c r="K112">
        <v>3</v>
      </c>
      <c r="L112">
        <v>22599</v>
      </c>
      <c r="M112">
        <v>15</v>
      </c>
      <c r="N112" t="s">
        <v>166</v>
      </c>
      <c r="O112" t="s">
        <v>281</v>
      </c>
      <c r="P112" t="s">
        <v>69</v>
      </c>
      <c r="Q112" t="s">
        <v>603</v>
      </c>
      <c r="R112" t="s">
        <v>604</v>
      </c>
      <c r="S112">
        <v>2</v>
      </c>
      <c r="T112" t="s">
        <v>96</v>
      </c>
      <c r="U112">
        <v>86</v>
      </c>
      <c r="V112" t="s">
        <v>62</v>
      </c>
    </row>
    <row r="113" spans="1:22" x14ac:dyDescent="0.3">
      <c r="A113" t="s">
        <v>605</v>
      </c>
      <c r="B113" t="s">
        <v>606</v>
      </c>
      <c r="C113">
        <v>41</v>
      </c>
      <c r="D113" t="s">
        <v>51</v>
      </c>
      <c r="E113" t="s">
        <v>26</v>
      </c>
      <c r="F113" t="s">
        <v>53</v>
      </c>
      <c r="G113" t="s">
        <v>607</v>
      </c>
      <c r="H113" t="s">
        <v>351</v>
      </c>
      <c r="I113" t="s">
        <v>77</v>
      </c>
      <c r="J113" t="s">
        <v>44</v>
      </c>
      <c r="K113">
        <v>4</v>
      </c>
      <c r="M113">
        <v>5</v>
      </c>
      <c r="N113" t="s">
        <v>56</v>
      </c>
      <c r="O113" t="s">
        <v>57</v>
      </c>
      <c r="P113" t="s">
        <v>58</v>
      </c>
      <c r="Q113" t="s">
        <v>608</v>
      </c>
      <c r="R113" t="s">
        <v>609</v>
      </c>
      <c r="S113">
        <v>4</v>
      </c>
      <c r="T113" t="s">
        <v>36</v>
      </c>
      <c r="U113">
        <v>267</v>
      </c>
      <c r="V113" t="s">
        <v>79</v>
      </c>
    </row>
    <row r="114" spans="1:22" x14ac:dyDescent="0.3">
      <c r="A114" t="s">
        <v>610</v>
      </c>
      <c r="B114" t="s">
        <v>611</v>
      </c>
      <c r="C114">
        <v>57</v>
      </c>
      <c r="D114" t="s">
        <v>24</v>
      </c>
      <c r="E114" t="s">
        <v>99</v>
      </c>
      <c r="F114" t="s">
        <v>53</v>
      </c>
      <c r="G114" t="s">
        <v>612</v>
      </c>
      <c r="H114" t="s">
        <v>613</v>
      </c>
      <c r="I114" t="s">
        <v>85</v>
      </c>
      <c r="J114" t="s">
        <v>44</v>
      </c>
      <c r="K114">
        <v>5</v>
      </c>
      <c r="L114">
        <v>61727</v>
      </c>
      <c r="M114">
        <v>15</v>
      </c>
      <c r="N114" t="s">
        <v>45</v>
      </c>
      <c r="O114" t="s">
        <v>68</v>
      </c>
      <c r="P114" t="s">
        <v>58</v>
      </c>
      <c r="Q114" t="s">
        <v>614</v>
      </c>
      <c r="R114" t="s">
        <v>615</v>
      </c>
      <c r="S114">
        <v>5</v>
      </c>
      <c r="T114" t="s">
        <v>96</v>
      </c>
      <c r="U114">
        <v>410</v>
      </c>
      <c r="V114" t="s">
        <v>37</v>
      </c>
    </row>
    <row r="115" spans="1:22" x14ac:dyDescent="0.3">
      <c r="A115" t="s">
        <v>616</v>
      </c>
      <c r="B115" t="s">
        <v>617</v>
      </c>
      <c r="C115">
        <v>29</v>
      </c>
      <c r="D115" t="s">
        <v>51</v>
      </c>
      <c r="E115" t="s">
        <v>131</v>
      </c>
      <c r="F115" t="s">
        <v>91</v>
      </c>
      <c r="G115" t="s">
        <v>618</v>
      </c>
      <c r="H115" t="s">
        <v>619</v>
      </c>
      <c r="I115" t="s">
        <v>43</v>
      </c>
      <c r="J115" t="s">
        <v>30</v>
      </c>
      <c r="K115">
        <v>1</v>
      </c>
      <c r="L115">
        <v>25412</v>
      </c>
      <c r="M115">
        <v>0</v>
      </c>
      <c r="N115" t="s">
        <v>45</v>
      </c>
      <c r="O115" t="s">
        <v>173</v>
      </c>
      <c r="P115" t="s">
        <v>33</v>
      </c>
      <c r="Q115" t="s">
        <v>620</v>
      </c>
      <c r="R115" t="s">
        <v>621</v>
      </c>
      <c r="S115">
        <v>4</v>
      </c>
      <c r="T115" t="s">
        <v>96</v>
      </c>
      <c r="U115">
        <v>368</v>
      </c>
      <c r="V115" t="s">
        <v>62</v>
      </c>
    </row>
    <row r="116" spans="1:22" x14ac:dyDescent="0.3">
      <c r="A116" t="s">
        <v>622</v>
      </c>
      <c r="B116" t="s">
        <v>623</v>
      </c>
      <c r="C116">
        <v>50</v>
      </c>
      <c r="D116" t="s">
        <v>24</v>
      </c>
      <c r="E116" t="s">
        <v>131</v>
      </c>
      <c r="F116" t="s">
        <v>65</v>
      </c>
      <c r="G116" t="s">
        <v>624</v>
      </c>
      <c r="H116" t="s">
        <v>625</v>
      </c>
      <c r="I116" t="s">
        <v>43</v>
      </c>
      <c r="J116" t="s">
        <v>30</v>
      </c>
      <c r="K116">
        <v>5</v>
      </c>
      <c r="L116">
        <v>59889</v>
      </c>
      <c r="M116">
        <v>5</v>
      </c>
      <c r="N116" t="s">
        <v>45</v>
      </c>
      <c r="O116" t="s">
        <v>109</v>
      </c>
      <c r="P116" t="s">
        <v>174</v>
      </c>
      <c r="Q116" t="s">
        <v>626</v>
      </c>
      <c r="R116" t="s">
        <v>627</v>
      </c>
      <c r="S116">
        <v>5</v>
      </c>
      <c r="T116" t="s">
        <v>96</v>
      </c>
      <c r="U116">
        <v>82</v>
      </c>
      <c r="V116" t="s">
        <v>62</v>
      </c>
    </row>
    <row r="117" spans="1:22" x14ac:dyDescent="0.3">
      <c r="A117" t="s">
        <v>628</v>
      </c>
      <c r="B117" t="s">
        <v>476</v>
      </c>
      <c r="C117">
        <v>43</v>
      </c>
      <c r="D117" t="s">
        <v>51</v>
      </c>
      <c r="E117" t="s">
        <v>26</v>
      </c>
      <c r="F117" t="s">
        <v>65</v>
      </c>
      <c r="G117" t="s">
        <v>629</v>
      </c>
      <c r="H117" t="s">
        <v>630</v>
      </c>
      <c r="I117" t="s">
        <v>108</v>
      </c>
      <c r="J117" t="s">
        <v>44</v>
      </c>
      <c r="K117">
        <v>3</v>
      </c>
      <c r="L117">
        <v>15052</v>
      </c>
      <c r="M117">
        <v>15</v>
      </c>
      <c r="N117" t="s">
        <v>45</v>
      </c>
      <c r="O117" t="s">
        <v>281</v>
      </c>
      <c r="P117" t="s">
        <v>33</v>
      </c>
      <c r="R117" t="s">
        <v>631</v>
      </c>
      <c r="S117">
        <v>1</v>
      </c>
      <c r="T117" t="s">
        <v>72</v>
      </c>
      <c r="U117">
        <v>344</v>
      </c>
      <c r="V117" t="s">
        <v>37</v>
      </c>
    </row>
    <row r="118" spans="1:22" x14ac:dyDescent="0.3">
      <c r="A118" t="s">
        <v>632</v>
      </c>
      <c r="B118" t="s">
        <v>228</v>
      </c>
      <c r="C118">
        <v>32</v>
      </c>
      <c r="D118" t="s">
        <v>51</v>
      </c>
      <c r="E118" t="s">
        <v>131</v>
      </c>
      <c r="F118" t="s">
        <v>65</v>
      </c>
      <c r="G118" t="s">
        <v>633</v>
      </c>
      <c r="H118" t="s">
        <v>634</v>
      </c>
      <c r="I118" t="s">
        <v>93</v>
      </c>
      <c r="J118" t="s">
        <v>44</v>
      </c>
      <c r="K118">
        <v>4</v>
      </c>
      <c r="L118">
        <v>59969</v>
      </c>
      <c r="M118">
        <v>15</v>
      </c>
      <c r="N118" t="s">
        <v>56</v>
      </c>
      <c r="O118" t="s">
        <v>173</v>
      </c>
      <c r="P118" t="s">
        <v>33</v>
      </c>
      <c r="Q118" t="s">
        <v>232</v>
      </c>
      <c r="R118" t="s">
        <v>635</v>
      </c>
      <c r="S118">
        <v>2</v>
      </c>
      <c r="T118" t="s">
        <v>36</v>
      </c>
      <c r="U118">
        <v>201</v>
      </c>
      <c r="V118" t="s">
        <v>79</v>
      </c>
    </row>
    <row r="119" spans="1:22" x14ac:dyDescent="0.3">
      <c r="A119" t="s">
        <v>636</v>
      </c>
      <c r="B119" t="s">
        <v>637</v>
      </c>
      <c r="C119">
        <v>43</v>
      </c>
      <c r="D119" t="s">
        <v>24</v>
      </c>
      <c r="E119" t="s">
        <v>99</v>
      </c>
      <c r="F119" t="s">
        <v>53</v>
      </c>
      <c r="G119" t="s">
        <v>638</v>
      </c>
      <c r="H119" t="s">
        <v>639</v>
      </c>
      <c r="I119" t="s">
        <v>43</v>
      </c>
      <c r="J119" t="s">
        <v>30</v>
      </c>
      <c r="K119">
        <v>4</v>
      </c>
      <c r="L119">
        <v>7915</v>
      </c>
      <c r="M119">
        <v>5</v>
      </c>
      <c r="N119" t="s">
        <v>56</v>
      </c>
      <c r="O119" t="s">
        <v>133</v>
      </c>
      <c r="P119" t="s">
        <v>174</v>
      </c>
      <c r="S119">
        <v>2</v>
      </c>
      <c r="T119" t="s">
        <v>36</v>
      </c>
      <c r="U119">
        <v>313</v>
      </c>
      <c r="V119" t="s">
        <v>79</v>
      </c>
    </row>
    <row r="120" spans="1:22" x14ac:dyDescent="0.3">
      <c r="A120" t="s">
        <v>640</v>
      </c>
      <c r="B120" t="s">
        <v>278</v>
      </c>
      <c r="C120">
        <v>56</v>
      </c>
      <c r="D120" t="s">
        <v>24</v>
      </c>
      <c r="E120" t="s">
        <v>99</v>
      </c>
      <c r="F120" t="s">
        <v>65</v>
      </c>
      <c r="G120" t="s">
        <v>641</v>
      </c>
      <c r="H120" t="s">
        <v>642</v>
      </c>
      <c r="I120" t="s">
        <v>93</v>
      </c>
      <c r="J120" t="s">
        <v>30</v>
      </c>
      <c r="K120">
        <v>2</v>
      </c>
      <c r="L120">
        <v>49237</v>
      </c>
      <c r="M120">
        <v>5</v>
      </c>
      <c r="N120" t="s">
        <v>56</v>
      </c>
      <c r="O120" t="s">
        <v>281</v>
      </c>
      <c r="P120" t="s">
        <v>69</v>
      </c>
      <c r="R120" t="s">
        <v>643</v>
      </c>
      <c r="S120">
        <v>5</v>
      </c>
      <c r="T120" t="s">
        <v>96</v>
      </c>
      <c r="U120">
        <v>368</v>
      </c>
      <c r="V120" t="s">
        <v>79</v>
      </c>
    </row>
    <row r="121" spans="1:22" x14ac:dyDescent="0.3">
      <c r="A121" t="s">
        <v>644</v>
      </c>
      <c r="B121" t="s">
        <v>645</v>
      </c>
      <c r="C121">
        <v>58</v>
      </c>
      <c r="D121" t="s">
        <v>24</v>
      </c>
      <c r="E121" t="s">
        <v>25</v>
      </c>
      <c r="F121" t="s">
        <v>91</v>
      </c>
      <c r="G121" t="s">
        <v>602</v>
      </c>
      <c r="H121" t="s">
        <v>646</v>
      </c>
      <c r="I121" t="s">
        <v>85</v>
      </c>
      <c r="J121" t="s">
        <v>44</v>
      </c>
      <c r="K121">
        <v>1</v>
      </c>
      <c r="L121">
        <v>14721</v>
      </c>
      <c r="M121">
        <v>0</v>
      </c>
      <c r="N121" t="s">
        <v>56</v>
      </c>
      <c r="O121" t="s">
        <v>68</v>
      </c>
      <c r="P121" t="s">
        <v>69</v>
      </c>
      <c r="Q121" t="s">
        <v>647</v>
      </c>
      <c r="R121" t="s">
        <v>648</v>
      </c>
      <c r="S121">
        <v>1</v>
      </c>
      <c r="T121" t="s">
        <v>61</v>
      </c>
      <c r="U121">
        <v>389</v>
      </c>
      <c r="V121" t="s">
        <v>62</v>
      </c>
    </row>
    <row r="122" spans="1:22" x14ac:dyDescent="0.3">
      <c r="A122" t="s">
        <v>649</v>
      </c>
      <c r="B122" t="s">
        <v>650</v>
      </c>
      <c r="C122">
        <v>58</v>
      </c>
      <c r="D122" t="s">
        <v>183</v>
      </c>
      <c r="E122" t="s">
        <v>25</v>
      </c>
      <c r="F122" t="s">
        <v>91</v>
      </c>
      <c r="G122" t="s">
        <v>651</v>
      </c>
      <c r="H122" t="s">
        <v>652</v>
      </c>
      <c r="I122" t="s">
        <v>108</v>
      </c>
      <c r="J122" t="s">
        <v>30</v>
      </c>
      <c r="K122">
        <v>3</v>
      </c>
      <c r="L122">
        <v>56601</v>
      </c>
      <c r="M122">
        <v>10</v>
      </c>
      <c r="N122" t="s">
        <v>166</v>
      </c>
      <c r="O122" t="s">
        <v>68</v>
      </c>
      <c r="P122" t="s">
        <v>33</v>
      </c>
      <c r="Q122" t="s">
        <v>653</v>
      </c>
      <c r="R122" t="s">
        <v>654</v>
      </c>
      <c r="S122">
        <v>4</v>
      </c>
      <c r="T122" t="s">
        <v>36</v>
      </c>
      <c r="U122">
        <v>351</v>
      </c>
      <c r="V122" t="s">
        <v>37</v>
      </c>
    </row>
    <row r="123" spans="1:22" x14ac:dyDescent="0.3">
      <c r="A123" t="s">
        <v>655</v>
      </c>
      <c r="B123" t="s">
        <v>119</v>
      </c>
      <c r="C123">
        <v>51</v>
      </c>
      <c r="D123" t="s">
        <v>24</v>
      </c>
      <c r="E123" t="s">
        <v>131</v>
      </c>
      <c r="F123" t="s">
        <v>53</v>
      </c>
      <c r="G123" t="s">
        <v>656</v>
      </c>
      <c r="H123" t="s">
        <v>657</v>
      </c>
      <c r="I123" t="s">
        <v>43</v>
      </c>
      <c r="J123" t="s">
        <v>44</v>
      </c>
      <c r="K123">
        <v>5</v>
      </c>
      <c r="L123">
        <v>15616</v>
      </c>
      <c r="M123">
        <v>15</v>
      </c>
      <c r="N123" t="s">
        <v>56</v>
      </c>
      <c r="O123" t="s">
        <v>102</v>
      </c>
      <c r="P123" t="s">
        <v>33</v>
      </c>
      <c r="Q123" t="s">
        <v>122</v>
      </c>
      <c r="R123" t="s">
        <v>658</v>
      </c>
      <c r="S123">
        <v>4</v>
      </c>
      <c r="T123" t="s">
        <v>72</v>
      </c>
      <c r="U123">
        <v>280</v>
      </c>
      <c r="V123" t="s">
        <v>37</v>
      </c>
    </row>
    <row r="124" spans="1:22" x14ac:dyDescent="0.3">
      <c r="A124" t="s">
        <v>659</v>
      </c>
      <c r="B124" t="s">
        <v>660</v>
      </c>
      <c r="C124">
        <v>21</v>
      </c>
      <c r="D124" t="s">
        <v>24</v>
      </c>
      <c r="E124" t="s">
        <v>131</v>
      </c>
      <c r="F124" t="s">
        <v>26</v>
      </c>
      <c r="G124" t="s">
        <v>493</v>
      </c>
      <c r="H124" t="s">
        <v>661</v>
      </c>
      <c r="I124" t="s">
        <v>93</v>
      </c>
      <c r="J124" t="s">
        <v>44</v>
      </c>
      <c r="K124">
        <v>3</v>
      </c>
      <c r="L124">
        <v>38204</v>
      </c>
      <c r="M124">
        <v>15</v>
      </c>
      <c r="N124" t="s">
        <v>45</v>
      </c>
      <c r="O124" t="s">
        <v>32</v>
      </c>
      <c r="P124" t="s">
        <v>174</v>
      </c>
      <c r="Q124" t="s">
        <v>662</v>
      </c>
      <c r="R124" t="s">
        <v>663</v>
      </c>
      <c r="S124">
        <v>2</v>
      </c>
      <c r="T124" t="s">
        <v>96</v>
      </c>
      <c r="U124">
        <v>184</v>
      </c>
      <c r="V124" t="s">
        <v>62</v>
      </c>
    </row>
    <row r="125" spans="1:22" x14ac:dyDescent="0.3">
      <c r="A125" t="s">
        <v>664</v>
      </c>
      <c r="B125" t="s">
        <v>665</v>
      </c>
      <c r="C125">
        <v>21</v>
      </c>
      <c r="D125" t="s">
        <v>24</v>
      </c>
      <c r="E125" t="s">
        <v>99</v>
      </c>
      <c r="F125" t="s">
        <v>91</v>
      </c>
      <c r="G125" t="s">
        <v>666</v>
      </c>
      <c r="H125" t="s">
        <v>667</v>
      </c>
      <c r="I125" t="s">
        <v>108</v>
      </c>
      <c r="J125" t="s">
        <v>30</v>
      </c>
      <c r="K125">
        <v>2</v>
      </c>
      <c r="L125">
        <v>20406</v>
      </c>
      <c r="M125">
        <v>5</v>
      </c>
      <c r="N125" t="s">
        <v>56</v>
      </c>
      <c r="O125" t="s">
        <v>109</v>
      </c>
      <c r="P125" t="s">
        <v>174</v>
      </c>
      <c r="Q125" t="s">
        <v>495</v>
      </c>
      <c r="R125" t="s">
        <v>668</v>
      </c>
      <c r="S125">
        <v>5</v>
      </c>
      <c r="T125" t="s">
        <v>96</v>
      </c>
      <c r="U125">
        <v>500</v>
      </c>
      <c r="V125" t="s">
        <v>79</v>
      </c>
    </row>
    <row r="126" spans="1:22" x14ac:dyDescent="0.3">
      <c r="A126" t="s">
        <v>669</v>
      </c>
      <c r="B126" t="s">
        <v>660</v>
      </c>
      <c r="C126">
        <v>35</v>
      </c>
      <c r="D126" t="s">
        <v>24</v>
      </c>
      <c r="E126" t="s">
        <v>131</v>
      </c>
      <c r="F126" t="s">
        <v>91</v>
      </c>
      <c r="G126" t="s">
        <v>670</v>
      </c>
      <c r="H126" t="s">
        <v>671</v>
      </c>
      <c r="I126" t="s">
        <v>77</v>
      </c>
      <c r="J126" t="s">
        <v>30</v>
      </c>
      <c r="K126">
        <v>1</v>
      </c>
      <c r="L126">
        <v>35905</v>
      </c>
      <c r="M126">
        <v>10</v>
      </c>
      <c r="N126" t="s">
        <v>56</v>
      </c>
      <c r="O126" t="s">
        <v>281</v>
      </c>
      <c r="P126" t="s">
        <v>174</v>
      </c>
      <c r="R126" t="s">
        <v>672</v>
      </c>
      <c r="S126">
        <v>3</v>
      </c>
      <c r="T126" t="s">
        <v>61</v>
      </c>
      <c r="U126">
        <v>484</v>
      </c>
      <c r="V126" t="s">
        <v>37</v>
      </c>
    </row>
    <row r="127" spans="1:22" x14ac:dyDescent="0.3">
      <c r="A127" t="s">
        <v>673</v>
      </c>
      <c r="B127" t="s">
        <v>674</v>
      </c>
      <c r="C127">
        <v>38</v>
      </c>
      <c r="D127" t="s">
        <v>51</v>
      </c>
      <c r="E127" t="s">
        <v>229</v>
      </c>
      <c r="F127" t="s">
        <v>91</v>
      </c>
      <c r="G127" t="s">
        <v>675</v>
      </c>
      <c r="H127" t="s">
        <v>676</v>
      </c>
      <c r="I127" t="s">
        <v>85</v>
      </c>
      <c r="J127" t="s">
        <v>30</v>
      </c>
      <c r="K127">
        <v>5</v>
      </c>
      <c r="L127">
        <v>22423</v>
      </c>
      <c r="M127">
        <v>5</v>
      </c>
      <c r="N127" t="s">
        <v>45</v>
      </c>
      <c r="O127" t="s">
        <v>32</v>
      </c>
      <c r="P127" t="s">
        <v>58</v>
      </c>
      <c r="Q127" t="s">
        <v>677</v>
      </c>
      <c r="R127" t="s">
        <v>678</v>
      </c>
      <c r="S127">
        <v>1</v>
      </c>
      <c r="T127" t="s">
        <v>96</v>
      </c>
      <c r="U127">
        <v>301</v>
      </c>
      <c r="V127" t="s">
        <v>62</v>
      </c>
    </row>
    <row r="128" spans="1:22" x14ac:dyDescent="0.3">
      <c r="A128" t="s">
        <v>679</v>
      </c>
      <c r="B128" t="s">
        <v>344</v>
      </c>
      <c r="C128">
        <v>26</v>
      </c>
      <c r="D128" t="s">
        <v>163</v>
      </c>
      <c r="E128" t="s">
        <v>40</v>
      </c>
      <c r="F128" t="s">
        <v>91</v>
      </c>
      <c r="G128" t="s">
        <v>680</v>
      </c>
      <c r="H128" t="s">
        <v>681</v>
      </c>
      <c r="I128" t="s">
        <v>29</v>
      </c>
      <c r="J128" t="s">
        <v>30</v>
      </c>
      <c r="K128">
        <v>4</v>
      </c>
      <c r="L128">
        <v>41571</v>
      </c>
      <c r="M128">
        <v>5</v>
      </c>
      <c r="N128" t="s">
        <v>31</v>
      </c>
      <c r="O128" t="s">
        <v>86</v>
      </c>
      <c r="P128" t="s">
        <v>174</v>
      </c>
      <c r="Q128" t="s">
        <v>347</v>
      </c>
      <c r="R128" t="s">
        <v>682</v>
      </c>
      <c r="S128">
        <v>1</v>
      </c>
      <c r="T128" t="s">
        <v>36</v>
      </c>
      <c r="U128">
        <v>466</v>
      </c>
      <c r="V128" t="s">
        <v>79</v>
      </c>
    </row>
    <row r="129" spans="1:22" x14ac:dyDescent="0.3">
      <c r="A129" t="s">
        <v>683</v>
      </c>
      <c r="B129" t="s">
        <v>684</v>
      </c>
      <c r="C129">
        <v>22</v>
      </c>
      <c r="D129" t="s">
        <v>183</v>
      </c>
      <c r="E129" t="s">
        <v>52</v>
      </c>
      <c r="F129" t="s">
        <v>65</v>
      </c>
      <c r="G129" t="s">
        <v>685</v>
      </c>
      <c r="H129" t="s">
        <v>686</v>
      </c>
      <c r="I129" t="s">
        <v>43</v>
      </c>
      <c r="J129" t="s">
        <v>44</v>
      </c>
      <c r="K129">
        <v>1</v>
      </c>
      <c r="L129">
        <v>63863</v>
      </c>
      <c r="M129">
        <v>10</v>
      </c>
      <c r="N129" t="s">
        <v>56</v>
      </c>
      <c r="O129" t="s">
        <v>86</v>
      </c>
      <c r="P129" t="s">
        <v>58</v>
      </c>
      <c r="R129" t="s">
        <v>687</v>
      </c>
      <c r="S129">
        <v>3</v>
      </c>
      <c r="T129" t="s">
        <v>72</v>
      </c>
      <c r="U129">
        <v>452</v>
      </c>
      <c r="V129" t="s">
        <v>37</v>
      </c>
    </row>
    <row r="130" spans="1:22" x14ac:dyDescent="0.3">
      <c r="A130" t="s">
        <v>688</v>
      </c>
      <c r="B130" t="s">
        <v>689</v>
      </c>
      <c r="C130">
        <v>44</v>
      </c>
      <c r="D130" t="s">
        <v>51</v>
      </c>
      <c r="E130" t="s">
        <v>52</v>
      </c>
      <c r="F130" t="s">
        <v>91</v>
      </c>
      <c r="G130" t="s">
        <v>690</v>
      </c>
      <c r="H130" t="s">
        <v>691</v>
      </c>
      <c r="I130" t="s">
        <v>77</v>
      </c>
      <c r="J130" t="s">
        <v>44</v>
      </c>
      <c r="K130">
        <v>1</v>
      </c>
      <c r="L130">
        <v>11647</v>
      </c>
      <c r="M130">
        <v>10</v>
      </c>
      <c r="N130" t="s">
        <v>31</v>
      </c>
      <c r="O130" t="s">
        <v>281</v>
      </c>
      <c r="P130" t="s">
        <v>69</v>
      </c>
      <c r="R130" t="s">
        <v>692</v>
      </c>
      <c r="S130">
        <v>2</v>
      </c>
      <c r="T130" t="s">
        <v>36</v>
      </c>
      <c r="U130">
        <v>389</v>
      </c>
      <c r="V130" t="s">
        <v>79</v>
      </c>
    </row>
    <row r="131" spans="1:22" x14ac:dyDescent="0.3">
      <c r="A131" t="s">
        <v>693</v>
      </c>
      <c r="B131" t="s">
        <v>119</v>
      </c>
      <c r="C131">
        <v>28</v>
      </c>
      <c r="D131" t="s">
        <v>51</v>
      </c>
      <c r="E131" t="s">
        <v>131</v>
      </c>
      <c r="F131" t="s">
        <v>26</v>
      </c>
      <c r="G131" t="s">
        <v>172</v>
      </c>
      <c r="H131" t="s">
        <v>690</v>
      </c>
      <c r="I131" t="s">
        <v>77</v>
      </c>
      <c r="J131" t="s">
        <v>44</v>
      </c>
      <c r="K131">
        <v>1</v>
      </c>
      <c r="L131">
        <v>68707</v>
      </c>
      <c r="M131">
        <v>0</v>
      </c>
      <c r="N131" t="s">
        <v>56</v>
      </c>
      <c r="O131" t="s">
        <v>133</v>
      </c>
      <c r="P131" t="s">
        <v>58</v>
      </c>
      <c r="Q131" t="s">
        <v>122</v>
      </c>
      <c r="R131" t="s">
        <v>694</v>
      </c>
      <c r="S131">
        <v>3</v>
      </c>
      <c r="T131" t="s">
        <v>72</v>
      </c>
      <c r="U131">
        <v>248</v>
      </c>
      <c r="V131" t="s">
        <v>37</v>
      </c>
    </row>
    <row r="132" spans="1:22" x14ac:dyDescent="0.3">
      <c r="A132" t="s">
        <v>695</v>
      </c>
      <c r="B132" t="s">
        <v>64</v>
      </c>
      <c r="C132">
        <v>36</v>
      </c>
      <c r="D132" t="s">
        <v>24</v>
      </c>
      <c r="E132" t="s">
        <v>40</v>
      </c>
      <c r="F132" t="s">
        <v>82</v>
      </c>
      <c r="G132" t="s">
        <v>690</v>
      </c>
      <c r="H132" t="s">
        <v>696</v>
      </c>
      <c r="I132" t="s">
        <v>77</v>
      </c>
      <c r="J132" t="s">
        <v>30</v>
      </c>
      <c r="K132">
        <v>3</v>
      </c>
      <c r="L132">
        <v>30176</v>
      </c>
      <c r="M132">
        <v>10</v>
      </c>
      <c r="N132" t="s">
        <v>166</v>
      </c>
      <c r="O132" t="s">
        <v>109</v>
      </c>
      <c r="P132" t="s">
        <v>58</v>
      </c>
      <c r="Q132" t="s">
        <v>70</v>
      </c>
      <c r="R132" t="s">
        <v>697</v>
      </c>
      <c r="S132">
        <v>1</v>
      </c>
      <c r="T132" t="s">
        <v>72</v>
      </c>
      <c r="U132">
        <v>86</v>
      </c>
      <c r="V132" t="s">
        <v>79</v>
      </c>
    </row>
    <row r="133" spans="1:22" x14ac:dyDescent="0.3">
      <c r="A133" t="s">
        <v>698</v>
      </c>
      <c r="B133" t="s">
        <v>141</v>
      </c>
      <c r="C133">
        <v>18</v>
      </c>
      <c r="D133" t="s">
        <v>24</v>
      </c>
      <c r="E133" t="s">
        <v>25</v>
      </c>
      <c r="F133" t="s">
        <v>91</v>
      </c>
      <c r="G133" t="s">
        <v>699</v>
      </c>
      <c r="H133" t="s">
        <v>700</v>
      </c>
      <c r="I133" t="s">
        <v>85</v>
      </c>
      <c r="J133" t="s">
        <v>30</v>
      </c>
      <c r="K133">
        <v>3</v>
      </c>
      <c r="L133">
        <v>24434</v>
      </c>
      <c r="M133">
        <v>5</v>
      </c>
      <c r="N133" t="s">
        <v>166</v>
      </c>
      <c r="O133" t="s">
        <v>86</v>
      </c>
      <c r="P133" t="s">
        <v>174</v>
      </c>
      <c r="Q133" t="s">
        <v>144</v>
      </c>
      <c r="S133">
        <v>3</v>
      </c>
      <c r="T133" t="s">
        <v>36</v>
      </c>
      <c r="U133">
        <v>227</v>
      </c>
      <c r="V133" t="s">
        <v>62</v>
      </c>
    </row>
    <row r="134" spans="1:22" x14ac:dyDescent="0.3">
      <c r="A134" t="s">
        <v>701</v>
      </c>
      <c r="B134" t="s">
        <v>702</v>
      </c>
      <c r="C134">
        <v>57</v>
      </c>
      <c r="D134" t="s">
        <v>183</v>
      </c>
      <c r="E134" t="s">
        <v>26</v>
      </c>
      <c r="F134" t="s">
        <v>26</v>
      </c>
      <c r="G134" t="s">
        <v>703</v>
      </c>
      <c r="H134" t="s">
        <v>704</v>
      </c>
      <c r="I134" t="s">
        <v>85</v>
      </c>
      <c r="J134" t="s">
        <v>44</v>
      </c>
      <c r="K134">
        <v>5</v>
      </c>
      <c r="L134">
        <v>32579</v>
      </c>
      <c r="M134">
        <v>0</v>
      </c>
      <c r="N134" t="s">
        <v>31</v>
      </c>
      <c r="O134" t="s">
        <v>133</v>
      </c>
      <c r="P134" t="s">
        <v>33</v>
      </c>
      <c r="R134" t="s">
        <v>705</v>
      </c>
      <c r="S134">
        <v>4</v>
      </c>
      <c r="T134" t="s">
        <v>61</v>
      </c>
      <c r="U134">
        <v>436</v>
      </c>
      <c r="V134" t="s">
        <v>79</v>
      </c>
    </row>
    <row r="135" spans="1:22" x14ac:dyDescent="0.3">
      <c r="A135" t="s">
        <v>706</v>
      </c>
      <c r="B135" t="s">
        <v>707</v>
      </c>
      <c r="C135">
        <v>46</v>
      </c>
      <c r="D135" t="s">
        <v>24</v>
      </c>
      <c r="E135" t="s">
        <v>229</v>
      </c>
      <c r="F135" t="s">
        <v>82</v>
      </c>
      <c r="G135" t="s">
        <v>708</v>
      </c>
      <c r="H135" t="s">
        <v>619</v>
      </c>
      <c r="I135" t="s">
        <v>93</v>
      </c>
      <c r="J135" t="s">
        <v>44</v>
      </c>
      <c r="K135">
        <v>3</v>
      </c>
      <c r="L135">
        <v>68790</v>
      </c>
      <c r="M135">
        <v>15</v>
      </c>
      <c r="N135" t="s">
        <v>166</v>
      </c>
      <c r="O135" t="s">
        <v>46</v>
      </c>
      <c r="P135" t="s">
        <v>69</v>
      </c>
      <c r="Q135" t="s">
        <v>709</v>
      </c>
      <c r="R135" t="s">
        <v>710</v>
      </c>
      <c r="S135">
        <v>3</v>
      </c>
      <c r="T135" t="s">
        <v>36</v>
      </c>
      <c r="U135">
        <v>292</v>
      </c>
      <c r="V135" t="s">
        <v>62</v>
      </c>
    </row>
    <row r="136" spans="1:22" x14ac:dyDescent="0.3">
      <c r="A136" t="s">
        <v>711</v>
      </c>
      <c r="B136" t="s">
        <v>707</v>
      </c>
      <c r="C136">
        <v>28</v>
      </c>
      <c r="D136" t="s">
        <v>51</v>
      </c>
      <c r="E136" t="s">
        <v>52</v>
      </c>
      <c r="F136" t="s">
        <v>82</v>
      </c>
      <c r="G136" t="s">
        <v>712</v>
      </c>
      <c r="H136" t="s">
        <v>494</v>
      </c>
      <c r="I136" t="s">
        <v>93</v>
      </c>
      <c r="J136" t="s">
        <v>30</v>
      </c>
      <c r="K136">
        <v>1</v>
      </c>
      <c r="L136">
        <v>39484</v>
      </c>
      <c r="M136">
        <v>5</v>
      </c>
      <c r="N136" t="s">
        <v>166</v>
      </c>
      <c r="O136" t="s">
        <v>86</v>
      </c>
      <c r="P136" t="s">
        <v>69</v>
      </c>
      <c r="Q136" t="s">
        <v>709</v>
      </c>
      <c r="R136" t="s">
        <v>713</v>
      </c>
      <c r="S136">
        <v>4</v>
      </c>
      <c r="T136" t="s">
        <v>96</v>
      </c>
      <c r="U136">
        <v>66</v>
      </c>
      <c r="V136" t="s">
        <v>37</v>
      </c>
    </row>
    <row r="137" spans="1:22" x14ac:dyDescent="0.3">
      <c r="A137" t="s">
        <v>714</v>
      </c>
      <c r="B137" t="s">
        <v>484</v>
      </c>
      <c r="C137">
        <v>31</v>
      </c>
      <c r="D137" t="s">
        <v>24</v>
      </c>
      <c r="E137" t="s">
        <v>40</v>
      </c>
      <c r="F137" t="s">
        <v>82</v>
      </c>
      <c r="G137" t="s">
        <v>715</v>
      </c>
      <c r="H137" t="s">
        <v>716</v>
      </c>
      <c r="I137" t="s">
        <v>29</v>
      </c>
      <c r="J137" t="s">
        <v>44</v>
      </c>
      <c r="K137">
        <v>4</v>
      </c>
      <c r="L137">
        <v>58755</v>
      </c>
      <c r="M137">
        <v>5</v>
      </c>
      <c r="N137" t="s">
        <v>31</v>
      </c>
      <c r="O137" t="s">
        <v>173</v>
      </c>
      <c r="P137" t="s">
        <v>58</v>
      </c>
      <c r="Q137" t="s">
        <v>487</v>
      </c>
      <c r="R137" t="s">
        <v>717</v>
      </c>
      <c r="S137">
        <v>2</v>
      </c>
      <c r="T137" t="s">
        <v>36</v>
      </c>
      <c r="U137">
        <v>88</v>
      </c>
      <c r="V137" t="s">
        <v>62</v>
      </c>
    </row>
    <row r="138" spans="1:22" x14ac:dyDescent="0.3">
      <c r="A138" t="s">
        <v>718</v>
      </c>
      <c r="B138" t="s">
        <v>719</v>
      </c>
      <c r="C138">
        <v>39</v>
      </c>
      <c r="D138" t="s">
        <v>24</v>
      </c>
      <c r="E138" t="s">
        <v>26</v>
      </c>
      <c r="F138" t="s">
        <v>65</v>
      </c>
      <c r="G138" t="s">
        <v>298</v>
      </c>
      <c r="H138" t="s">
        <v>720</v>
      </c>
      <c r="I138" t="s">
        <v>77</v>
      </c>
      <c r="J138" t="s">
        <v>30</v>
      </c>
      <c r="K138">
        <v>3</v>
      </c>
      <c r="L138">
        <v>33174</v>
      </c>
      <c r="M138">
        <v>10</v>
      </c>
      <c r="N138" t="s">
        <v>45</v>
      </c>
      <c r="O138" t="s">
        <v>68</v>
      </c>
      <c r="P138" t="s">
        <v>33</v>
      </c>
      <c r="Q138" t="s">
        <v>608</v>
      </c>
      <c r="R138" t="s">
        <v>721</v>
      </c>
      <c r="S138">
        <v>2</v>
      </c>
      <c r="T138" t="s">
        <v>72</v>
      </c>
      <c r="U138">
        <v>214</v>
      </c>
      <c r="V138" t="s">
        <v>79</v>
      </c>
    </row>
    <row r="139" spans="1:22" x14ac:dyDescent="0.3">
      <c r="A139" t="s">
        <v>722</v>
      </c>
      <c r="B139" t="s">
        <v>216</v>
      </c>
      <c r="C139">
        <v>29</v>
      </c>
      <c r="D139" t="s">
        <v>24</v>
      </c>
      <c r="E139" t="s">
        <v>52</v>
      </c>
      <c r="F139" t="s">
        <v>26</v>
      </c>
      <c r="G139" t="s">
        <v>723</v>
      </c>
      <c r="H139" t="s">
        <v>724</v>
      </c>
      <c r="I139" t="s">
        <v>77</v>
      </c>
      <c r="J139" t="s">
        <v>30</v>
      </c>
      <c r="K139">
        <v>3</v>
      </c>
      <c r="L139">
        <v>46369</v>
      </c>
      <c r="M139">
        <v>0</v>
      </c>
      <c r="N139" t="s">
        <v>56</v>
      </c>
      <c r="O139" t="s">
        <v>86</v>
      </c>
      <c r="P139" t="s">
        <v>33</v>
      </c>
      <c r="Q139" t="s">
        <v>219</v>
      </c>
      <c r="R139" t="s">
        <v>725</v>
      </c>
      <c r="S139">
        <v>4</v>
      </c>
      <c r="T139" t="s">
        <v>36</v>
      </c>
      <c r="U139">
        <v>259</v>
      </c>
      <c r="V139" t="s">
        <v>62</v>
      </c>
    </row>
    <row r="140" spans="1:22" x14ac:dyDescent="0.3">
      <c r="A140" t="s">
        <v>726</v>
      </c>
      <c r="B140" t="s">
        <v>461</v>
      </c>
      <c r="C140">
        <v>20</v>
      </c>
      <c r="D140" t="s">
        <v>24</v>
      </c>
      <c r="E140" t="s">
        <v>25</v>
      </c>
      <c r="F140" t="s">
        <v>91</v>
      </c>
      <c r="G140" t="s">
        <v>727</v>
      </c>
      <c r="H140" t="s">
        <v>625</v>
      </c>
      <c r="I140" t="s">
        <v>108</v>
      </c>
      <c r="J140" t="s">
        <v>44</v>
      </c>
      <c r="K140">
        <v>4</v>
      </c>
      <c r="L140">
        <v>34042</v>
      </c>
      <c r="M140">
        <v>15</v>
      </c>
      <c r="N140" t="s">
        <v>166</v>
      </c>
      <c r="O140" t="s">
        <v>57</v>
      </c>
      <c r="P140" t="s">
        <v>58</v>
      </c>
      <c r="Q140" t="s">
        <v>563</v>
      </c>
      <c r="S140">
        <v>5</v>
      </c>
      <c r="T140" t="s">
        <v>36</v>
      </c>
      <c r="U140">
        <v>241</v>
      </c>
      <c r="V140" t="s">
        <v>79</v>
      </c>
    </row>
    <row r="141" spans="1:22" x14ac:dyDescent="0.3">
      <c r="A141" t="s">
        <v>728</v>
      </c>
      <c r="B141" t="s">
        <v>729</v>
      </c>
      <c r="C141">
        <v>60</v>
      </c>
      <c r="D141" t="s">
        <v>24</v>
      </c>
      <c r="E141" t="s">
        <v>142</v>
      </c>
      <c r="F141" t="s">
        <v>91</v>
      </c>
      <c r="G141" t="s">
        <v>730</v>
      </c>
      <c r="H141" t="s">
        <v>731</v>
      </c>
      <c r="I141" t="s">
        <v>108</v>
      </c>
      <c r="J141" t="s">
        <v>44</v>
      </c>
      <c r="K141">
        <v>1</v>
      </c>
      <c r="L141">
        <v>26945</v>
      </c>
      <c r="M141">
        <v>15</v>
      </c>
      <c r="N141" t="s">
        <v>45</v>
      </c>
      <c r="O141" t="s">
        <v>281</v>
      </c>
      <c r="P141" t="s">
        <v>58</v>
      </c>
      <c r="Q141" t="s">
        <v>732</v>
      </c>
      <c r="R141" t="s">
        <v>733</v>
      </c>
      <c r="S141">
        <v>2</v>
      </c>
      <c r="T141" t="s">
        <v>72</v>
      </c>
      <c r="U141">
        <v>75</v>
      </c>
      <c r="V141" t="s">
        <v>79</v>
      </c>
    </row>
    <row r="142" spans="1:22" x14ac:dyDescent="0.3">
      <c r="A142" t="s">
        <v>734</v>
      </c>
      <c r="B142" t="s">
        <v>589</v>
      </c>
      <c r="C142">
        <v>60</v>
      </c>
      <c r="D142" t="s">
        <v>51</v>
      </c>
      <c r="E142" t="s">
        <v>25</v>
      </c>
      <c r="F142" t="s">
        <v>26</v>
      </c>
      <c r="G142" t="s">
        <v>735</v>
      </c>
      <c r="H142" t="s">
        <v>736</v>
      </c>
      <c r="I142" t="s">
        <v>77</v>
      </c>
      <c r="J142" t="s">
        <v>30</v>
      </c>
      <c r="K142">
        <v>2</v>
      </c>
      <c r="L142">
        <v>69095</v>
      </c>
      <c r="M142">
        <v>15</v>
      </c>
      <c r="N142" t="s">
        <v>166</v>
      </c>
      <c r="O142" t="s">
        <v>109</v>
      </c>
      <c r="P142" t="s">
        <v>69</v>
      </c>
      <c r="Q142" t="s">
        <v>591</v>
      </c>
      <c r="R142" t="s">
        <v>737</v>
      </c>
      <c r="S142">
        <v>1</v>
      </c>
      <c r="T142" t="s">
        <v>36</v>
      </c>
      <c r="U142">
        <v>468</v>
      </c>
      <c r="V142" t="s">
        <v>37</v>
      </c>
    </row>
    <row r="143" spans="1:22" x14ac:dyDescent="0.3">
      <c r="A143" t="s">
        <v>738</v>
      </c>
      <c r="B143" t="s">
        <v>601</v>
      </c>
      <c r="C143">
        <v>59</v>
      </c>
      <c r="D143" t="s">
        <v>51</v>
      </c>
      <c r="E143" t="s">
        <v>229</v>
      </c>
      <c r="F143" t="s">
        <v>26</v>
      </c>
      <c r="G143" t="s">
        <v>739</v>
      </c>
      <c r="H143" t="s">
        <v>740</v>
      </c>
      <c r="I143" t="s">
        <v>29</v>
      </c>
      <c r="J143" t="s">
        <v>44</v>
      </c>
      <c r="K143">
        <v>3</v>
      </c>
      <c r="L143">
        <v>49476</v>
      </c>
      <c r="M143">
        <v>5</v>
      </c>
      <c r="N143" t="s">
        <v>56</v>
      </c>
      <c r="O143" t="s">
        <v>281</v>
      </c>
      <c r="P143" t="s">
        <v>174</v>
      </c>
      <c r="Q143" t="s">
        <v>603</v>
      </c>
      <c r="R143" t="s">
        <v>741</v>
      </c>
      <c r="S143">
        <v>4</v>
      </c>
      <c r="T143" t="s">
        <v>36</v>
      </c>
      <c r="U143">
        <v>439</v>
      </c>
      <c r="V143" t="s">
        <v>37</v>
      </c>
    </row>
    <row r="144" spans="1:22" x14ac:dyDescent="0.3">
      <c r="A144" t="s">
        <v>742</v>
      </c>
      <c r="B144" t="s">
        <v>743</v>
      </c>
      <c r="C144">
        <v>31</v>
      </c>
      <c r="D144" t="s">
        <v>24</v>
      </c>
      <c r="E144" t="s">
        <v>131</v>
      </c>
      <c r="F144" t="s">
        <v>26</v>
      </c>
      <c r="G144" t="s">
        <v>322</v>
      </c>
      <c r="H144" t="s">
        <v>744</v>
      </c>
      <c r="I144" t="s">
        <v>77</v>
      </c>
      <c r="J144" t="s">
        <v>44</v>
      </c>
      <c r="K144">
        <v>4</v>
      </c>
      <c r="L144">
        <v>26267</v>
      </c>
      <c r="M144">
        <v>0</v>
      </c>
      <c r="N144" t="s">
        <v>31</v>
      </c>
      <c r="O144" t="s">
        <v>102</v>
      </c>
      <c r="P144" t="s">
        <v>58</v>
      </c>
      <c r="Q144" t="s">
        <v>530</v>
      </c>
      <c r="R144" t="s">
        <v>745</v>
      </c>
      <c r="S144">
        <v>3</v>
      </c>
      <c r="T144" t="s">
        <v>72</v>
      </c>
      <c r="U144">
        <v>160</v>
      </c>
      <c r="V144" t="s">
        <v>79</v>
      </c>
    </row>
    <row r="145" spans="1:22" x14ac:dyDescent="0.3">
      <c r="A145" t="s">
        <v>746</v>
      </c>
      <c r="B145" t="s">
        <v>361</v>
      </c>
      <c r="C145">
        <v>60</v>
      </c>
      <c r="D145" t="s">
        <v>24</v>
      </c>
      <c r="E145" t="s">
        <v>99</v>
      </c>
      <c r="F145" t="s">
        <v>82</v>
      </c>
      <c r="G145" t="s">
        <v>747</v>
      </c>
      <c r="H145" t="s">
        <v>619</v>
      </c>
      <c r="I145" t="s">
        <v>77</v>
      </c>
      <c r="J145" t="s">
        <v>30</v>
      </c>
      <c r="K145">
        <v>4</v>
      </c>
      <c r="L145">
        <v>48182</v>
      </c>
      <c r="M145">
        <v>15</v>
      </c>
      <c r="N145" t="s">
        <v>166</v>
      </c>
      <c r="O145" t="s">
        <v>32</v>
      </c>
      <c r="P145" t="s">
        <v>33</v>
      </c>
      <c r="Q145" t="s">
        <v>364</v>
      </c>
      <c r="R145" t="s">
        <v>748</v>
      </c>
      <c r="S145">
        <v>5</v>
      </c>
      <c r="T145" t="s">
        <v>96</v>
      </c>
      <c r="U145">
        <v>482</v>
      </c>
      <c r="V145" t="s">
        <v>62</v>
      </c>
    </row>
    <row r="146" spans="1:22" x14ac:dyDescent="0.3">
      <c r="A146" t="s">
        <v>749</v>
      </c>
      <c r="B146" t="s">
        <v>471</v>
      </c>
      <c r="C146">
        <v>56</v>
      </c>
      <c r="D146" t="s">
        <v>51</v>
      </c>
      <c r="E146" t="s">
        <v>131</v>
      </c>
      <c r="F146" t="s">
        <v>82</v>
      </c>
      <c r="G146" t="s">
        <v>750</v>
      </c>
      <c r="H146" t="s">
        <v>751</v>
      </c>
      <c r="I146" t="s">
        <v>85</v>
      </c>
      <c r="J146" t="s">
        <v>30</v>
      </c>
      <c r="K146">
        <v>4</v>
      </c>
      <c r="L146">
        <v>16715</v>
      </c>
      <c r="M146">
        <v>15</v>
      </c>
      <c r="N146" t="s">
        <v>56</v>
      </c>
      <c r="O146" t="s">
        <v>281</v>
      </c>
      <c r="P146" t="s">
        <v>58</v>
      </c>
      <c r="R146" t="s">
        <v>752</v>
      </c>
      <c r="S146">
        <v>1</v>
      </c>
      <c r="T146" t="s">
        <v>36</v>
      </c>
      <c r="U146">
        <v>478</v>
      </c>
      <c r="V146" t="s">
        <v>79</v>
      </c>
    </row>
    <row r="147" spans="1:22" x14ac:dyDescent="0.3">
      <c r="A147" t="s">
        <v>753</v>
      </c>
      <c r="B147" t="s">
        <v>754</v>
      </c>
      <c r="C147">
        <v>43</v>
      </c>
      <c r="D147" t="s">
        <v>51</v>
      </c>
      <c r="E147" t="s">
        <v>142</v>
      </c>
      <c r="F147" t="s">
        <v>53</v>
      </c>
      <c r="G147" t="s">
        <v>430</v>
      </c>
      <c r="H147" t="s">
        <v>755</v>
      </c>
      <c r="I147" t="s">
        <v>77</v>
      </c>
      <c r="J147" t="s">
        <v>30</v>
      </c>
      <c r="K147">
        <v>2</v>
      </c>
      <c r="L147">
        <v>42241</v>
      </c>
      <c r="M147">
        <v>10</v>
      </c>
      <c r="N147" t="s">
        <v>166</v>
      </c>
      <c r="O147" t="s">
        <v>68</v>
      </c>
      <c r="P147" t="s">
        <v>174</v>
      </c>
      <c r="Q147" t="s">
        <v>756</v>
      </c>
      <c r="R147" t="s">
        <v>757</v>
      </c>
      <c r="S147">
        <v>3</v>
      </c>
      <c r="T147" t="s">
        <v>72</v>
      </c>
      <c r="U147">
        <v>338</v>
      </c>
      <c r="V147" t="s">
        <v>79</v>
      </c>
    </row>
    <row r="148" spans="1:22" x14ac:dyDescent="0.3">
      <c r="A148" t="s">
        <v>758</v>
      </c>
      <c r="B148" t="s">
        <v>74</v>
      </c>
      <c r="C148">
        <v>39</v>
      </c>
      <c r="D148" t="s">
        <v>24</v>
      </c>
      <c r="E148" t="s">
        <v>40</v>
      </c>
      <c r="F148" t="s">
        <v>53</v>
      </c>
      <c r="G148" t="s">
        <v>562</v>
      </c>
      <c r="H148" t="s">
        <v>759</v>
      </c>
      <c r="I148" t="s">
        <v>93</v>
      </c>
      <c r="J148" t="s">
        <v>30</v>
      </c>
      <c r="K148">
        <v>3</v>
      </c>
      <c r="L148">
        <v>69436</v>
      </c>
      <c r="M148">
        <v>5</v>
      </c>
      <c r="N148" t="s">
        <v>31</v>
      </c>
      <c r="O148" t="s">
        <v>68</v>
      </c>
      <c r="P148" t="s">
        <v>174</v>
      </c>
      <c r="Q148" t="s">
        <v>78</v>
      </c>
      <c r="R148" t="s">
        <v>760</v>
      </c>
      <c r="S148">
        <v>2</v>
      </c>
      <c r="T148" t="s">
        <v>61</v>
      </c>
      <c r="U148">
        <v>100</v>
      </c>
      <c r="V148" t="s">
        <v>37</v>
      </c>
    </row>
    <row r="149" spans="1:22" x14ac:dyDescent="0.3">
      <c r="A149" t="s">
        <v>761</v>
      </c>
      <c r="B149" t="s">
        <v>762</v>
      </c>
      <c r="C149">
        <v>35</v>
      </c>
      <c r="D149" t="s">
        <v>163</v>
      </c>
      <c r="E149" t="s">
        <v>131</v>
      </c>
      <c r="F149" t="s">
        <v>91</v>
      </c>
      <c r="G149" t="s">
        <v>763</v>
      </c>
      <c r="H149" t="s">
        <v>764</v>
      </c>
      <c r="I149" t="s">
        <v>108</v>
      </c>
      <c r="J149" t="s">
        <v>44</v>
      </c>
      <c r="K149">
        <v>1</v>
      </c>
      <c r="L149">
        <v>49143</v>
      </c>
      <c r="M149">
        <v>10</v>
      </c>
      <c r="N149" t="s">
        <v>166</v>
      </c>
      <c r="O149" t="s">
        <v>281</v>
      </c>
      <c r="P149" t="s">
        <v>33</v>
      </c>
      <c r="Q149" t="s">
        <v>563</v>
      </c>
      <c r="R149" t="s">
        <v>765</v>
      </c>
      <c r="S149">
        <v>5</v>
      </c>
      <c r="T149" t="s">
        <v>96</v>
      </c>
      <c r="U149">
        <v>437</v>
      </c>
      <c r="V149" t="s">
        <v>37</v>
      </c>
    </row>
    <row r="150" spans="1:22" x14ac:dyDescent="0.3">
      <c r="A150" t="s">
        <v>766</v>
      </c>
      <c r="B150" t="s">
        <v>767</v>
      </c>
      <c r="C150">
        <v>50</v>
      </c>
      <c r="D150" t="s">
        <v>24</v>
      </c>
      <c r="E150" t="s">
        <v>26</v>
      </c>
      <c r="F150" t="s">
        <v>82</v>
      </c>
      <c r="G150" t="s">
        <v>473</v>
      </c>
      <c r="H150" t="s">
        <v>768</v>
      </c>
      <c r="I150" t="s">
        <v>29</v>
      </c>
      <c r="J150" t="s">
        <v>44</v>
      </c>
      <c r="K150">
        <v>4</v>
      </c>
      <c r="L150">
        <v>69837</v>
      </c>
      <c r="M150">
        <v>10</v>
      </c>
      <c r="N150" t="s">
        <v>31</v>
      </c>
      <c r="O150" t="s">
        <v>46</v>
      </c>
      <c r="P150" t="s">
        <v>58</v>
      </c>
      <c r="Q150" t="s">
        <v>769</v>
      </c>
      <c r="R150" t="s">
        <v>770</v>
      </c>
      <c r="S150">
        <v>3</v>
      </c>
      <c r="T150" t="s">
        <v>36</v>
      </c>
      <c r="U150">
        <v>308</v>
      </c>
      <c r="V150" t="s">
        <v>37</v>
      </c>
    </row>
    <row r="151" spans="1:22" x14ac:dyDescent="0.3">
      <c r="A151" t="s">
        <v>771</v>
      </c>
      <c r="B151" t="s">
        <v>222</v>
      </c>
      <c r="C151">
        <v>47</v>
      </c>
      <c r="D151" t="s">
        <v>51</v>
      </c>
      <c r="E151" t="s">
        <v>131</v>
      </c>
      <c r="F151" t="s">
        <v>82</v>
      </c>
      <c r="G151" t="s">
        <v>772</v>
      </c>
      <c r="H151" t="s">
        <v>66</v>
      </c>
      <c r="I151" t="s">
        <v>85</v>
      </c>
      <c r="J151" t="s">
        <v>30</v>
      </c>
      <c r="K151">
        <v>4</v>
      </c>
      <c r="L151">
        <v>24360</v>
      </c>
      <c r="M151">
        <v>10</v>
      </c>
      <c r="N151" t="s">
        <v>166</v>
      </c>
      <c r="O151" t="s">
        <v>86</v>
      </c>
      <c r="P151" t="s">
        <v>58</v>
      </c>
      <c r="Q151" t="s">
        <v>225</v>
      </c>
      <c r="S151">
        <v>4</v>
      </c>
      <c r="T151" t="s">
        <v>36</v>
      </c>
      <c r="U151">
        <v>427</v>
      </c>
      <c r="V151" t="s">
        <v>62</v>
      </c>
    </row>
    <row r="152" spans="1:22" x14ac:dyDescent="0.3">
      <c r="A152" t="s">
        <v>773</v>
      </c>
      <c r="B152" t="s">
        <v>382</v>
      </c>
      <c r="C152">
        <v>51</v>
      </c>
      <c r="D152" t="s">
        <v>51</v>
      </c>
      <c r="E152" t="s">
        <v>99</v>
      </c>
      <c r="F152" t="s">
        <v>26</v>
      </c>
      <c r="G152" t="s">
        <v>774</v>
      </c>
      <c r="H152" t="s">
        <v>775</v>
      </c>
      <c r="I152" t="s">
        <v>108</v>
      </c>
      <c r="J152" t="s">
        <v>44</v>
      </c>
      <c r="K152">
        <v>3</v>
      </c>
      <c r="L152">
        <v>23714</v>
      </c>
      <c r="M152">
        <v>15</v>
      </c>
      <c r="N152" t="s">
        <v>166</v>
      </c>
      <c r="O152" t="s">
        <v>86</v>
      </c>
      <c r="P152" t="s">
        <v>33</v>
      </c>
      <c r="Q152" t="s">
        <v>385</v>
      </c>
      <c r="R152" t="s">
        <v>776</v>
      </c>
      <c r="S152">
        <v>1</v>
      </c>
      <c r="T152" t="s">
        <v>61</v>
      </c>
      <c r="U152">
        <v>421</v>
      </c>
      <c r="V152" t="s">
        <v>62</v>
      </c>
    </row>
    <row r="153" spans="1:22" x14ac:dyDescent="0.3">
      <c r="A153" t="s">
        <v>777</v>
      </c>
      <c r="B153" t="s">
        <v>778</v>
      </c>
      <c r="C153">
        <v>58</v>
      </c>
      <c r="D153" t="s">
        <v>24</v>
      </c>
      <c r="E153" t="s">
        <v>26</v>
      </c>
      <c r="F153" t="s">
        <v>26</v>
      </c>
      <c r="G153" t="s">
        <v>779</v>
      </c>
      <c r="H153" t="s">
        <v>780</v>
      </c>
      <c r="I153" t="s">
        <v>108</v>
      </c>
      <c r="J153" t="s">
        <v>44</v>
      </c>
      <c r="K153">
        <v>1</v>
      </c>
      <c r="L153">
        <v>20556</v>
      </c>
      <c r="M153">
        <v>10</v>
      </c>
      <c r="N153" t="s">
        <v>45</v>
      </c>
      <c r="O153" t="s">
        <v>109</v>
      </c>
      <c r="P153" t="s">
        <v>69</v>
      </c>
      <c r="Q153" t="s">
        <v>626</v>
      </c>
      <c r="R153" t="s">
        <v>781</v>
      </c>
      <c r="S153">
        <v>4</v>
      </c>
      <c r="T153" t="s">
        <v>36</v>
      </c>
      <c r="U153">
        <v>290</v>
      </c>
      <c r="V153" t="s">
        <v>37</v>
      </c>
    </row>
    <row r="154" spans="1:22" x14ac:dyDescent="0.3">
      <c r="A154" t="s">
        <v>782</v>
      </c>
      <c r="B154" t="s">
        <v>684</v>
      </c>
      <c r="C154">
        <v>53</v>
      </c>
      <c r="D154" t="s">
        <v>24</v>
      </c>
      <c r="E154" t="s">
        <v>26</v>
      </c>
      <c r="F154" t="s">
        <v>53</v>
      </c>
      <c r="G154" t="s">
        <v>783</v>
      </c>
      <c r="H154" t="s">
        <v>784</v>
      </c>
      <c r="I154" t="s">
        <v>108</v>
      </c>
      <c r="J154" t="s">
        <v>44</v>
      </c>
      <c r="K154">
        <v>4</v>
      </c>
      <c r="L154">
        <v>40607</v>
      </c>
      <c r="M154">
        <v>10</v>
      </c>
      <c r="N154" t="s">
        <v>166</v>
      </c>
      <c r="O154" t="s">
        <v>68</v>
      </c>
      <c r="P154" t="s">
        <v>33</v>
      </c>
      <c r="Q154" t="s">
        <v>785</v>
      </c>
      <c r="R154" t="s">
        <v>786</v>
      </c>
      <c r="S154">
        <v>4</v>
      </c>
      <c r="T154" t="s">
        <v>36</v>
      </c>
      <c r="U154">
        <v>113</v>
      </c>
      <c r="V154" t="s">
        <v>37</v>
      </c>
    </row>
    <row r="155" spans="1:22" x14ac:dyDescent="0.3">
      <c r="A155" t="s">
        <v>787</v>
      </c>
      <c r="B155" t="s">
        <v>684</v>
      </c>
      <c r="C155">
        <v>34</v>
      </c>
      <c r="D155" t="s">
        <v>51</v>
      </c>
      <c r="E155" t="s">
        <v>229</v>
      </c>
      <c r="F155" t="s">
        <v>91</v>
      </c>
      <c r="G155" t="s">
        <v>788</v>
      </c>
      <c r="H155" t="s">
        <v>613</v>
      </c>
      <c r="I155" t="s">
        <v>85</v>
      </c>
      <c r="J155" t="s">
        <v>44</v>
      </c>
      <c r="L155">
        <v>73937</v>
      </c>
      <c r="M155">
        <v>0</v>
      </c>
      <c r="N155" t="s">
        <v>31</v>
      </c>
      <c r="O155" t="s">
        <v>281</v>
      </c>
      <c r="P155" t="s">
        <v>69</v>
      </c>
      <c r="Q155" t="s">
        <v>785</v>
      </c>
      <c r="R155" t="s">
        <v>789</v>
      </c>
      <c r="S155">
        <v>4</v>
      </c>
      <c r="T155" t="s">
        <v>61</v>
      </c>
      <c r="U155">
        <v>142</v>
      </c>
      <c r="V155" t="s">
        <v>79</v>
      </c>
    </row>
    <row r="156" spans="1:22" x14ac:dyDescent="0.3">
      <c r="A156" t="s">
        <v>790</v>
      </c>
      <c r="B156" t="s">
        <v>333</v>
      </c>
      <c r="C156">
        <v>59</v>
      </c>
      <c r="D156" t="s">
        <v>51</v>
      </c>
      <c r="E156" t="s">
        <v>131</v>
      </c>
      <c r="F156" t="s">
        <v>82</v>
      </c>
      <c r="G156" t="s">
        <v>791</v>
      </c>
      <c r="H156" t="s">
        <v>792</v>
      </c>
      <c r="I156" t="s">
        <v>43</v>
      </c>
      <c r="J156" t="s">
        <v>30</v>
      </c>
      <c r="K156">
        <v>2</v>
      </c>
      <c r="L156">
        <v>78548</v>
      </c>
      <c r="M156">
        <v>0</v>
      </c>
      <c r="N156" t="s">
        <v>166</v>
      </c>
      <c r="O156" t="s">
        <v>102</v>
      </c>
      <c r="P156" t="s">
        <v>174</v>
      </c>
      <c r="Q156" t="s">
        <v>336</v>
      </c>
      <c r="R156" t="s">
        <v>793</v>
      </c>
      <c r="S156">
        <v>5</v>
      </c>
      <c r="T156" t="s">
        <v>36</v>
      </c>
      <c r="U156">
        <v>372</v>
      </c>
      <c r="V156" t="s">
        <v>37</v>
      </c>
    </row>
    <row r="157" spans="1:22" x14ac:dyDescent="0.3">
      <c r="A157" t="s">
        <v>794</v>
      </c>
      <c r="B157" t="s">
        <v>527</v>
      </c>
      <c r="C157">
        <v>53</v>
      </c>
      <c r="D157" t="s">
        <v>51</v>
      </c>
      <c r="E157" t="s">
        <v>52</v>
      </c>
      <c r="F157" t="s">
        <v>82</v>
      </c>
      <c r="G157" t="s">
        <v>795</v>
      </c>
      <c r="H157" t="s">
        <v>796</v>
      </c>
      <c r="I157" t="s">
        <v>77</v>
      </c>
      <c r="J157" t="s">
        <v>30</v>
      </c>
      <c r="K157">
        <v>2</v>
      </c>
      <c r="L157">
        <v>39885</v>
      </c>
      <c r="M157">
        <v>10</v>
      </c>
      <c r="N157" t="s">
        <v>56</v>
      </c>
      <c r="O157" t="s">
        <v>32</v>
      </c>
      <c r="P157" t="s">
        <v>58</v>
      </c>
      <c r="Q157" t="s">
        <v>530</v>
      </c>
      <c r="R157" t="s">
        <v>797</v>
      </c>
      <c r="S157">
        <v>5</v>
      </c>
      <c r="T157" t="s">
        <v>96</v>
      </c>
      <c r="U157">
        <v>333</v>
      </c>
      <c r="V157" t="s">
        <v>37</v>
      </c>
    </row>
    <row r="158" spans="1:22" x14ac:dyDescent="0.3">
      <c r="A158" t="s">
        <v>798</v>
      </c>
      <c r="B158" t="s">
        <v>344</v>
      </c>
      <c r="C158">
        <v>58</v>
      </c>
      <c r="D158" t="s">
        <v>51</v>
      </c>
      <c r="E158" t="s">
        <v>99</v>
      </c>
      <c r="F158" t="s">
        <v>53</v>
      </c>
      <c r="G158" t="s">
        <v>799</v>
      </c>
      <c r="H158" t="s">
        <v>800</v>
      </c>
      <c r="I158" t="s">
        <v>108</v>
      </c>
      <c r="J158" t="s">
        <v>30</v>
      </c>
      <c r="K158">
        <v>5</v>
      </c>
      <c r="L158">
        <v>58258</v>
      </c>
      <c r="M158">
        <v>5</v>
      </c>
      <c r="N158" t="s">
        <v>31</v>
      </c>
      <c r="O158" t="s">
        <v>86</v>
      </c>
      <c r="P158" t="s">
        <v>33</v>
      </c>
      <c r="Q158" t="s">
        <v>347</v>
      </c>
      <c r="R158" t="s">
        <v>801</v>
      </c>
      <c r="S158">
        <v>4</v>
      </c>
      <c r="T158" t="s">
        <v>61</v>
      </c>
      <c r="U158">
        <v>81</v>
      </c>
      <c r="V158" t="s">
        <v>79</v>
      </c>
    </row>
    <row r="159" spans="1:22" x14ac:dyDescent="0.3">
      <c r="A159" t="s">
        <v>802</v>
      </c>
      <c r="B159" t="s">
        <v>803</v>
      </c>
      <c r="C159">
        <v>19</v>
      </c>
      <c r="D159" t="s">
        <v>24</v>
      </c>
      <c r="E159" t="s">
        <v>25</v>
      </c>
      <c r="F159" t="s">
        <v>53</v>
      </c>
      <c r="G159" t="s">
        <v>804</v>
      </c>
      <c r="H159" t="s">
        <v>357</v>
      </c>
      <c r="I159" t="s">
        <v>77</v>
      </c>
      <c r="J159" t="s">
        <v>44</v>
      </c>
      <c r="K159">
        <v>2</v>
      </c>
      <c r="L159">
        <v>58541</v>
      </c>
      <c r="M159">
        <v>0</v>
      </c>
      <c r="N159" t="s">
        <v>45</v>
      </c>
      <c r="O159" t="s">
        <v>102</v>
      </c>
      <c r="P159" t="s">
        <v>58</v>
      </c>
      <c r="Q159" t="s">
        <v>805</v>
      </c>
      <c r="R159" t="s">
        <v>806</v>
      </c>
      <c r="S159">
        <v>2</v>
      </c>
      <c r="T159" t="s">
        <v>72</v>
      </c>
      <c r="U159">
        <v>321</v>
      </c>
      <c r="V159" t="s">
        <v>79</v>
      </c>
    </row>
    <row r="160" spans="1:22" x14ac:dyDescent="0.3">
      <c r="A160" t="s">
        <v>807</v>
      </c>
      <c r="B160" t="s">
        <v>808</v>
      </c>
      <c r="C160">
        <v>28</v>
      </c>
      <c r="D160" t="s">
        <v>51</v>
      </c>
      <c r="E160" t="s">
        <v>52</v>
      </c>
      <c r="F160" t="s">
        <v>26</v>
      </c>
      <c r="G160" t="s">
        <v>809</v>
      </c>
      <c r="H160" t="s">
        <v>810</v>
      </c>
      <c r="I160" t="s">
        <v>77</v>
      </c>
      <c r="J160" t="s">
        <v>44</v>
      </c>
      <c r="K160">
        <v>3</v>
      </c>
      <c r="L160">
        <v>41804</v>
      </c>
      <c r="M160">
        <v>10</v>
      </c>
      <c r="N160" t="s">
        <v>45</v>
      </c>
      <c r="O160" t="s">
        <v>281</v>
      </c>
      <c r="P160" t="s">
        <v>33</v>
      </c>
      <c r="Q160" t="s">
        <v>191</v>
      </c>
      <c r="R160" t="s">
        <v>811</v>
      </c>
      <c r="S160">
        <v>5</v>
      </c>
      <c r="T160" t="s">
        <v>36</v>
      </c>
      <c r="U160">
        <v>132</v>
      </c>
      <c r="V160" t="s">
        <v>79</v>
      </c>
    </row>
    <row r="161" spans="1:22" x14ac:dyDescent="0.3">
      <c r="A161" t="s">
        <v>812</v>
      </c>
      <c r="B161" t="s">
        <v>424</v>
      </c>
      <c r="C161">
        <v>31</v>
      </c>
      <c r="D161" t="s">
        <v>51</v>
      </c>
      <c r="E161" t="s">
        <v>142</v>
      </c>
      <c r="F161" t="s">
        <v>65</v>
      </c>
      <c r="G161" t="s">
        <v>681</v>
      </c>
      <c r="H161" t="s">
        <v>671</v>
      </c>
      <c r="I161" t="s">
        <v>108</v>
      </c>
      <c r="J161" t="s">
        <v>44</v>
      </c>
      <c r="K161">
        <v>5</v>
      </c>
      <c r="L161">
        <v>68458</v>
      </c>
      <c r="M161">
        <v>0</v>
      </c>
      <c r="N161" t="s">
        <v>31</v>
      </c>
      <c r="O161" t="s">
        <v>281</v>
      </c>
      <c r="P161" t="s">
        <v>58</v>
      </c>
      <c r="Q161" t="s">
        <v>427</v>
      </c>
      <c r="R161" t="s">
        <v>813</v>
      </c>
      <c r="S161">
        <v>3</v>
      </c>
      <c r="T161" t="s">
        <v>96</v>
      </c>
      <c r="U161">
        <v>246</v>
      </c>
      <c r="V161" t="s">
        <v>37</v>
      </c>
    </row>
    <row r="162" spans="1:22" x14ac:dyDescent="0.3">
      <c r="A162" t="s">
        <v>814</v>
      </c>
      <c r="B162" t="s">
        <v>344</v>
      </c>
      <c r="C162">
        <v>56</v>
      </c>
      <c r="D162" t="s">
        <v>24</v>
      </c>
      <c r="E162" t="s">
        <v>229</v>
      </c>
      <c r="F162" t="s">
        <v>26</v>
      </c>
      <c r="G162" t="s">
        <v>815</v>
      </c>
      <c r="H162" t="s">
        <v>816</v>
      </c>
      <c r="I162" t="s">
        <v>108</v>
      </c>
      <c r="J162" t="s">
        <v>30</v>
      </c>
      <c r="K162">
        <v>3</v>
      </c>
      <c r="L162">
        <v>29720</v>
      </c>
      <c r="M162">
        <v>15</v>
      </c>
      <c r="N162" t="s">
        <v>56</v>
      </c>
      <c r="O162" t="s">
        <v>173</v>
      </c>
      <c r="P162" t="s">
        <v>174</v>
      </c>
      <c r="Q162" t="s">
        <v>347</v>
      </c>
      <c r="R162" t="s">
        <v>817</v>
      </c>
      <c r="S162">
        <v>4</v>
      </c>
      <c r="T162" t="s">
        <v>36</v>
      </c>
      <c r="U162">
        <v>401</v>
      </c>
      <c r="V162" t="s">
        <v>62</v>
      </c>
    </row>
    <row r="163" spans="1:22" x14ac:dyDescent="0.3">
      <c r="A163" t="s">
        <v>818</v>
      </c>
      <c r="B163" t="s">
        <v>819</v>
      </c>
      <c r="C163">
        <v>56</v>
      </c>
      <c r="D163" t="s">
        <v>24</v>
      </c>
      <c r="E163" t="s">
        <v>99</v>
      </c>
      <c r="F163" t="s">
        <v>26</v>
      </c>
      <c r="G163" t="s">
        <v>820</v>
      </c>
      <c r="H163" t="s">
        <v>279</v>
      </c>
      <c r="I163" t="s">
        <v>85</v>
      </c>
      <c r="J163" t="s">
        <v>44</v>
      </c>
      <c r="K163">
        <v>5</v>
      </c>
      <c r="L163">
        <v>5439</v>
      </c>
      <c r="M163">
        <v>15</v>
      </c>
      <c r="N163" t="s">
        <v>56</v>
      </c>
      <c r="O163" t="s">
        <v>86</v>
      </c>
      <c r="P163" t="s">
        <v>174</v>
      </c>
      <c r="Q163" t="s">
        <v>821</v>
      </c>
      <c r="R163" t="s">
        <v>822</v>
      </c>
      <c r="S163">
        <v>4</v>
      </c>
      <c r="T163" t="s">
        <v>96</v>
      </c>
      <c r="U163">
        <v>92</v>
      </c>
      <c r="V163" t="s">
        <v>37</v>
      </c>
    </row>
    <row r="164" spans="1:22" x14ac:dyDescent="0.3">
      <c r="A164" t="s">
        <v>823</v>
      </c>
      <c r="B164" t="s">
        <v>119</v>
      </c>
      <c r="C164">
        <v>48</v>
      </c>
      <c r="D164" t="s">
        <v>51</v>
      </c>
      <c r="E164" t="s">
        <v>99</v>
      </c>
      <c r="F164" t="s">
        <v>53</v>
      </c>
      <c r="G164" t="s">
        <v>824</v>
      </c>
      <c r="H164" t="s">
        <v>328</v>
      </c>
      <c r="I164" t="s">
        <v>93</v>
      </c>
      <c r="J164" t="s">
        <v>44</v>
      </c>
      <c r="K164">
        <v>4</v>
      </c>
      <c r="L164">
        <v>34698</v>
      </c>
      <c r="M164">
        <v>15</v>
      </c>
      <c r="N164" t="s">
        <v>31</v>
      </c>
      <c r="O164" t="s">
        <v>133</v>
      </c>
      <c r="P164" t="s">
        <v>33</v>
      </c>
      <c r="Q164" t="s">
        <v>122</v>
      </c>
      <c r="S164">
        <v>1</v>
      </c>
      <c r="T164" t="s">
        <v>72</v>
      </c>
      <c r="U164">
        <v>406</v>
      </c>
      <c r="V164" t="s">
        <v>37</v>
      </c>
    </row>
    <row r="165" spans="1:22" x14ac:dyDescent="0.3">
      <c r="A165" t="s">
        <v>825</v>
      </c>
      <c r="B165" t="s">
        <v>261</v>
      </c>
      <c r="C165">
        <v>52</v>
      </c>
      <c r="D165" t="s">
        <v>24</v>
      </c>
      <c r="E165" t="s">
        <v>25</v>
      </c>
      <c r="F165" t="s">
        <v>53</v>
      </c>
      <c r="G165" t="s">
        <v>826</v>
      </c>
      <c r="H165" t="s">
        <v>398</v>
      </c>
      <c r="I165" t="s">
        <v>29</v>
      </c>
      <c r="J165" t="s">
        <v>30</v>
      </c>
      <c r="K165">
        <v>3</v>
      </c>
      <c r="L165">
        <v>68367</v>
      </c>
      <c r="M165">
        <v>10</v>
      </c>
      <c r="N165" t="s">
        <v>45</v>
      </c>
      <c r="O165" t="s">
        <v>133</v>
      </c>
      <c r="P165" t="s">
        <v>69</v>
      </c>
      <c r="Q165" t="s">
        <v>264</v>
      </c>
      <c r="R165" t="s">
        <v>827</v>
      </c>
      <c r="S165">
        <v>4</v>
      </c>
      <c r="T165" t="s">
        <v>72</v>
      </c>
      <c r="U165">
        <v>478</v>
      </c>
      <c r="V165" t="s">
        <v>37</v>
      </c>
    </row>
    <row r="166" spans="1:22" x14ac:dyDescent="0.3">
      <c r="A166" t="s">
        <v>828</v>
      </c>
      <c r="B166" t="s">
        <v>113</v>
      </c>
      <c r="C166">
        <v>39</v>
      </c>
      <c r="D166" t="s">
        <v>51</v>
      </c>
      <c r="E166" t="s">
        <v>52</v>
      </c>
      <c r="F166" t="s">
        <v>53</v>
      </c>
      <c r="G166" t="s">
        <v>829</v>
      </c>
      <c r="H166" t="s">
        <v>830</v>
      </c>
      <c r="I166" t="s">
        <v>108</v>
      </c>
      <c r="J166" t="s">
        <v>30</v>
      </c>
      <c r="K166">
        <v>5</v>
      </c>
      <c r="L166">
        <v>16535</v>
      </c>
      <c r="M166">
        <v>15</v>
      </c>
      <c r="N166" t="s">
        <v>166</v>
      </c>
      <c r="O166" t="s">
        <v>32</v>
      </c>
      <c r="P166" t="s">
        <v>174</v>
      </c>
      <c r="Q166" t="s">
        <v>116</v>
      </c>
      <c r="R166" t="s">
        <v>831</v>
      </c>
      <c r="S166">
        <v>3</v>
      </c>
      <c r="T166" t="s">
        <v>72</v>
      </c>
      <c r="U166">
        <v>141</v>
      </c>
      <c r="V166" t="s">
        <v>79</v>
      </c>
    </row>
    <row r="167" spans="1:22" x14ac:dyDescent="0.3">
      <c r="A167" t="s">
        <v>832</v>
      </c>
      <c r="B167" t="s">
        <v>105</v>
      </c>
      <c r="C167">
        <v>27</v>
      </c>
      <c r="D167" t="s">
        <v>51</v>
      </c>
      <c r="E167" t="s">
        <v>52</v>
      </c>
      <c r="F167" t="s">
        <v>65</v>
      </c>
      <c r="G167" t="s">
        <v>833</v>
      </c>
      <c r="H167" t="s">
        <v>834</v>
      </c>
      <c r="I167" t="s">
        <v>93</v>
      </c>
      <c r="J167" t="s">
        <v>30</v>
      </c>
      <c r="K167">
        <v>2</v>
      </c>
      <c r="L167">
        <v>69669</v>
      </c>
      <c r="M167">
        <v>15</v>
      </c>
      <c r="N167" t="s">
        <v>56</v>
      </c>
      <c r="O167" t="s">
        <v>109</v>
      </c>
      <c r="P167" t="s">
        <v>58</v>
      </c>
      <c r="Q167" t="s">
        <v>110</v>
      </c>
      <c r="R167" t="s">
        <v>835</v>
      </c>
      <c r="S167">
        <v>1</v>
      </c>
      <c r="T167" t="s">
        <v>72</v>
      </c>
      <c r="U167">
        <v>296</v>
      </c>
      <c r="V167" t="s">
        <v>79</v>
      </c>
    </row>
    <row r="168" spans="1:22" x14ac:dyDescent="0.3">
      <c r="A168" t="s">
        <v>836</v>
      </c>
      <c r="B168" t="s">
        <v>471</v>
      </c>
      <c r="C168">
        <v>46</v>
      </c>
      <c r="D168" t="s">
        <v>51</v>
      </c>
      <c r="E168" t="s">
        <v>131</v>
      </c>
      <c r="F168" t="s">
        <v>65</v>
      </c>
      <c r="G168" t="s">
        <v>250</v>
      </c>
      <c r="H168" t="s">
        <v>837</v>
      </c>
      <c r="I168" t="s">
        <v>85</v>
      </c>
      <c r="J168" t="s">
        <v>30</v>
      </c>
      <c r="K168">
        <v>2</v>
      </c>
      <c r="L168">
        <v>5251</v>
      </c>
      <c r="M168">
        <v>5</v>
      </c>
      <c r="N168" t="s">
        <v>56</v>
      </c>
      <c r="O168" t="s">
        <v>173</v>
      </c>
      <c r="P168" t="s">
        <v>33</v>
      </c>
      <c r="Q168" t="s">
        <v>495</v>
      </c>
      <c r="R168" t="s">
        <v>838</v>
      </c>
      <c r="S168">
        <v>5</v>
      </c>
      <c r="T168" t="s">
        <v>61</v>
      </c>
      <c r="U168">
        <v>416</v>
      </c>
      <c r="V168" t="s">
        <v>62</v>
      </c>
    </row>
    <row r="169" spans="1:22" x14ac:dyDescent="0.3">
      <c r="A169" t="s">
        <v>839</v>
      </c>
      <c r="B169" t="s">
        <v>840</v>
      </c>
      <c r="C169">
        <v>34</v>
      </c>
      <c r="D169" t="s">
        <v>51</v>
      </c>
      <c r="E169" t="s">
        <v>52</v>
      </c>
      <c r="F169" t="s">
        <v>65</v>
      </c>
      <c r="G169" t="s">
        <v>841</v>
      </c>
      <c r="H169" t="s">
        <v>538</v>
      </c>
      <c r="I169" t="s">
        <v>93</v>
      </c>
      <c r="J169" t="s">
        <v>30</v>
      </c>
      <c r="K169">
        <v>3</v>
      </c>
      <c r="L169">
        <v>28893</v>
      </c>
      <c r="M169">
        <v>15</v>
      </c>
      <c r="N169" t="s">
        <v>31</v>
      </c>
      <c r="O169" t="s">
        <v>133</v>
      </c>
      <c r="P169" t="s">
        <v>174</v>
      </c>
      <c r="S169">
        <v>3</v>
      </c>
      <c r="T169" t="s">
        <v>72</v>
      </c>
      <c r="U169">
        <v>82</v>
      </c>
      <c r="V169" t="s">
        <v>37</v>
      </c>
    </row>
    <row r="170" spans="1:22" x14ac:dyDescent="0.3">
      <c r="A170" t="s">
        <v>842</v>
      </c>
      <c r="B170" t="s">
        <v>243</v>
      </c>
      <c r="C170">
        <v>22</v>
      </c>
      <c r="D170" t="s">
        <v>51</v>
      </c>
      <c r="E170" t="s">
        <v>99</v>
      </c>
      <c r="F170" t="s">
        <v>91</v>
      </c>
      <c r="G170" t="s">
        <v>843</v>
      </c>
      <c r="H170" t="s">
        <v>727</v>
      </c>
      <c r="I170" t="s">
        <v>108</v>
      </c>
      <c r="J170" t="s">
        <v>44</v>
      </c>
      <c r="K170">
        <v>5</v>
      </c>
      <c r="L170">
        <v>41362</v>
      </c>
      <c r="M170">
        <v>10</v>
      </c>
      <c r="N170" t="s">
        <v>31</v>
      </c>
      <c r="O170" t="s">
        <v>281</v>
      </c>
      <c r="P170" t="s">
        <v>69</v>
      </c>
      <c r="Q170" t="s">
        <v>246</v>
      </c>
      <c r="R170" t="s">
        <v>844</v>
      </c>
      <c r="S170">
        <v>3</v>
      </c>
      <c r="T170" t="s">
        <v>61</v>
      </c>
      <c r="U170">
        <v>152</v>
      </c>
      <c r="V170" t="s">
        <v>37</v>
      </c>
    </row>
    <row r="171" spans="1:22" x14ac:dyDescent="0.3">
      <c r="A171" t="s">
        <v>845</v>
      </c>
      <c r="B171" t="s">
        <v>767</v>
      </c>
      <c r="C171">
        <v>28</v>
      </c>
      <c r="D171" t="s">
        <v>51</v>
      </c>
      <c r="E171" t="s">
        <v>25</v>
      </c>
      <c r="F171" t="s">
        <v>65</v>
      </c>
      <c r="G171" t="s">
        <v>846</v>
      </c>
      <c r="H171" t="s">
        <v>847</v>
      </c>
      <c r="I171" t="s">
        <v>108</v>
      </c>
      <c r="J171" t="s">
        <v>44</v>
      </c>
      <c r="K171">
        <v>5</v>
      </c>
      <c r="L171">
        <v>53334</v>
      </c>
      <c r="M171">
        <v>15</v>
      </c>
      <c r="N171" t="s">
        <v>45</v>
      </c>
      <c r="O171" t="s">
        <v>173</v>
      </c>
      <c r="P171" t="s">
        <v>33</v>
      </c>
      <c r="Q171" t="s">
        <v>769</v>
      </c>
      <c r="R171" t="s">
        <v>848</v>
      </c>
      <c r="S171">
        <v>5</v>
      </c>
      <c r="T171" t="s">
        <v>96</v>
      </c>
      <c r="U171">
        <v>223</v>
      </c>
      <c r="V171" t="s">
        <v>79</v>
      </c>
    </row>
    <row r="172" spans="1:22" x14ac:dyDescent="0.3">
      <c r="A172" t="s">
        <v>849</v>
      </c>
      <c r="B172" t="s">
        <v>850</v>
      </c>
      <c r="C172">
        <v>23</v>
      </c>
      <c r="D172" t="s">
        <v>24</v>
      </c>
      <c r="E172" t="s">
        <v>52</v>
      </c>
      <c r="F172" t="s">
        <v>26</v>
      </c>
      <c r="G172" t="s">
        <v>851</v>
      </c>
      <c r="H172" t="s">
        <v>852</v>
      </c>
      <c r="I172" t="s">
        <v>108</v>
      </c>
      <c r="J172" t="s">
        <v>30</v>
      </c>
      <c r="K172">
        <v>5</v>
      </c>
      <c r="L172">
        <v>45767</v>
      </c>
      <c r="M172">
        <v>15</v>
      </c>
      <c r="N172" t="s">
        <v>45</v>
      </c>
      <c r="O172" t="s">
        <v>281</v>
      </c>
      <c r="P172" t="s">
        <v>33</v>
      </c>
      <c r="R172" t="s">
        <v>853</v>
      </c>
      <c r="S172">
        <v>3</v>
      </c>
      <c r="T172" t="s">
        <v>72</v>
      </c>
      <c r="U172">
        <v>310</v>
      </c>
      <c r="V172" t="s">
        <v>79</v>
      </c>
    </row>
    <row r="173" spans="1:22" x14ac:dyDescent="0.3">
      <c r="A173" t="s">
        <v>854</v>
      </c>
      <c r="B173" t="s">
        <v>113</v>
      </c>
      <c r="C173">
        <v>50</v>
      </c>
      <c r="D173" t="s">
        <v>24</v>
      </c>
      <c r="E173" t="s">
        <v>25</v>
      </c>
      <c r="F173" t="s">
        <v>91</v>
      </c>
      <c r="G173" t="s">
        <v>55</v>
      </c>
      <c r="H173" t="s">
        <v>523</v>
      </c>
      <c r="I173" t="s">
        <v>43</v>
      </c>
      <c r="J173" t="s">
        <v>30</v>
      </c>
      <c r="K173">
        <v>4</v>
      </c>
      <c r="L173">
        <v>19559</v>
      </c>
      <c r="M173">
        <v>0</v>
      </c>
      <c r="N173" t="s">
        <v>56</v>
      </c>
      <c r="O173" t="s">
        <v>173</v>
      </c>
      <c r="P173" t="s">
        <v>58</v>
      </c>
      <c r="S173">
        <v>4</v>
      </c>
      <c r="T173" t="s">
        <v>61</v>
      </c>
      <c r="U173">
        <v>238</v>
      </c>
      <c r="V173" t="s">
        <v>37</v>
      </c>
    </row>
    <row r="174" spans="1:22" x14ac:dyDescent="0.3">
      <c r="A174" t="s">
        <v>855</v>
      </c>
      <c r="B174" t="s">
        <v>23</v>
      </c>
      <c r="C174">
        <v>42</v>
      </c>
      <c r="D174" t="s">
        <v>24</v>
      </c>
      <c r="E174" t="s">
        <v>99</v>
      </c>
      <c r="F174" t="s">
        <v>65</v>
      </c>
      <c r="G174" t="s">
        <v>856</v>
      </c>
      <c r="H174" t="s">
        <v>857</v>
      </c>
      <c r="I174" t="s">
        <v>85</v>
      </c>
      <c r="J174" t="s">
        <v>44</v>
      </c>
      <c r="K174">
        <v>4</v>
      </c>
      <c r="L174">
        <v>40835</v>
      </c>
      <c r="M174">
        <v>0</v>
      </c>
      <c r="N174" t="s">
        <v>56</v>
      </c>
      <c r="O174" t="s">
        <v>32</v>
      </c>
      <c r="P174" t="s">
        <v>69</v>
      </c>
      <c r="Q174" t="s">
        <v>34</v>
      </c>
      <c r="R174" t="s">
        <v>858</v>
      </c>
      <c r="S174">
        <v>2</v>
      </c>
      <c r="T174" t="s">
        <v>72</v>
      </c>
      <c r="U174">
        <v>69</v>
      </c>
      <c r="V174" t="s">
        <v>37</v>
      </c>
    </row>
    <row r="175" spans="1:22" x14ac:dyDescent="0.3">
      <c r="A175" t="s">
        <v>859</v>
      </c>
      <c r="B175" t="s">
        <v>860</v>
      </c>
      <c r="C175">
        <v>54</v>
      </c>
      <c r="D175" t="s">
        <v>51</v>
      </c>
      <c r="E175" t="s">
        <v>26</v>
      </c>
      <c r="F175" t="s">
        <v>91</v>
      </c>
      <c r="G175" t="s">
        <v>861</v>
      </c>
      <c r="H175" t="s">
        <v>357</v>
      </c>
      <c r="I175" t="s">
        <v>93</v>
      </c>
      <c r="J175" t="s">
        <v>30</v>
      </c>
      <c r="K175">
        <v>2</v>
      </c>
      <c r="L175">
        <v>20155</v>
      </c>
      <c r="M175">
        <v>0</v>
      </c>
      <c r="N175" t="s">
        <v>56</v>
      </c>
      <c r="O175" t="s">
        <v>68</v>
      </c>
      <c r="P175" t="s">
        <v>33</v>
      </c>
      <c r="Q175" t="s">
        <v>862</v>
      </c>
      <c r="R175" t="s">
        <v>863</v>
      </c>
      <c r="S175">
        <v>5</v>
      </c>
      <c r="T175" t="s">
        <v>61</v>
      </c>
      <c r="U175">
        <v>317</v>
      </c>
      <c r="V175" t="s">
        <v>62</v>
      </c>
    </row>
    <row r="176" spans="1:22" x14ac:dyDescent="0.3">
      <c r="A176" t="s">
        <v>864</v>
      </c>
      <c r="B176" t="s">
        <v>382</v>
      </c>
      <c r="C176">
        <v>23</v>
      </c>
      <c r="D176" t="s">
        <v>51</v>
      </c>
      <c r="E176" t="s">
        <v>26</v>
      </c>
      <c r="F176" t="s">
        <v>53</v>
      </c>
      <c r="G176" t="s">
        <v>230</v>
      </c>
      <c r="H176" t="s">
        <v>467</v>
      </c>
      <c r="I176" t="s">
        <v>93</v>
      </c>
      <c r="J176" t="s">
        <v>44</v>
      </c>
      <c r="K176">
        <v>4</v>
      </c>
      <c r="L176">
        <v>30980</v>
      </c>
      <c r="M176">
        <v>5</v>
      </c>
      <c r="N176" t="s">
        <v>166</v>
      </c>
      <c r="O176" t="s">
        <v>281</v>
      </c>
      <c r="P176" t="s">
        <v>69</v>
      </c>
      <c r="R176" t="s">
        <v>865</v>
      </c>
      <c r="S176">
        <v>4</v>
      </c>
      <c r="T176" t="s">
        <v>36</v>
      </c>
      <c r="U176">
        <v>416</v>
      </c>
      <c r="V176" t="s">
        <v>79</v>
      </c>
    </row>
    <row r="177" spans="1:22" x14ac:dyDescent="0.3">
      <c r="A177" t="s">
        <v>866</v>
      </c>
      <c r="B177" t="s">
        <v>50</v>
      </c>
      <c r="C177">
        <v>24</v>
      </c>
      <c r="D177" t="s">
        <v>24</v>
      </c>
      <c r="E177" t="s">
        <v>99</v>
      </c>
      <c r="F177" t="s">
        <v>91</v>
      </c>
      <c r="G177" t="s">
        <v>867</v>
      </c>
      <c r="H177" t="s">
        <v>340</v>
      </c>
      <c r="I177" t="s">
        <v>77</v>
      </c>
      <c r="J177" t="s">
        <v>44</v>
      </c>
      <c r="K177">
        <v>2</v>
      </c>
      <c r="L177">
        <v>67861</v>
      </c>
      <c r="M177">
        <v>10</v>
      </c>
      <c r="N177" t="s">
        <v>56</v>
      </c>
      <c r="O177" t="s">
        <v>46</v>
      </c>
      <c r="P177" t="s">
        <v>58</v>
      </c>
      <c r="Q177" t="s">
        <v>59</v>
      </c>
      <c r="R177" t="s">
        <v>868</v>
      </c>
      <c r="S177">
        <v>3</v>
      </c>
      <c r="T177" t="s">
        <v>36</v>
      </c>
      <c r="U177">
        <v>399</v>
      </c>
      <c r="V177" t="s">
        <v>79</v>
      </c>
    </row>
    <row r="178" spans="1:22" x14ac:dyDescent="0.3">
      <c r="A178" t="s">
        <v>869</v>
      </c>
      <c r="B178" t="s">
        <v>235</v>
      </c>
      <c r="C178">
        <v>58</v>
      </c>
      <c r="D178" t="s">
        <v>24</v>
      </c>
      <c r="E178" t="s">
        <v>229</v>
      </c>
      <c r="F178" t="s">
        <v>82</v>
      </c>
      <c r="G178" t="s">
        <v>703</v>
      </c>
      <c r="H178" t="s">
        <v>870</v>
      </c>
      <c r="I178" t="s">
        <v>77</v>
      </c>
      <c r="J178" t="s">
        <v>44</v>
      </c>
      <c r="K178">
        <v>5</v>
      </c>
      <c r="L178">
        <v>13315</v>
      </c>
      <c r="M178">
        <v>5</v>
      </c>
      <c r="N178" t="s">
        <v>45</v>
      </c>
      <c r="O178" t="s">
        <v>86</v>
      </c>
      <c r="P178" t="s">
        <v>69</v>
      </c>
      <c r="Q178" t="s">
        <v>871</v>
      </c>
      <c r="R178" t="s">
        <v>872</v>
      </c>
      <c r="S178">
        <v>3</v>
      </c>
      <c r="T178" t="s">
        <v>36</v>
      </c>
      <c r="U178">
        <v>92</v>
      </c>
      <c r="V178" t="s">
        <v>37</v>
      </c>
    </row>
    <row r="179" spans="1:22" x14ac:dyDescent="0.3">
      <c r="A179" t="s">
        <v>873</v>
      </c>
      <c r="B179" t="s">
        <v>570</v>
      </c>
      <c r="C179">
        <v>48</v>
      </c>
      <c r="D179" t="s">
        <v>51</v>
      </c>
      <c r="E179" t="s">
        <v>26</v>
      </c>
      <c r="F179" t="s">
        <v>53</v>
      </c>
      <c r="G179" t="s">
        <v>874</v>
      </c>
      <c r="H179" t="s">
        <v>84</v>
      </c>
      <c r="I179" t="s">
        <v>29</v>
      </c>
      <c r="J179" t="s">
        <v>44</v>
      </c>
      <c r="K179">
        <v>3</v>
      </c>
      <c r="L179">
        <v>7525</v>
      </c>
      <c r="M179">
        <v>0</v>
      </c>
      <c r="N179" t="s">
        <v>166</v>
      </c>
      <c r="O179" t="s">
        <v>102</v>
      </c>
      <c r="P179" t="s">
        <v>174</v>
      </c>
      <c r="Q179" t="s">
        <v>573</v>
      </c>
      <c r="R179" t="s">
        <v>875</v>
      </c>
      <c r="S179">
        <v>3</v>
      </c>
      <c r="T179" t="s">
        <v>72</v>
      </c>
      <c r="U179">
        <v>491</v>
      </c>
      <c r="V179" t="s">
        <v>37</v>
      </c>
    </row>
    <row r="180" spans="1:22" x14ac:dyDescent="0.3">
      <c r="A180" t="s">
        <v>876</v>
      </c>
      <c r="B180" t="s">
        <v>125</v>
      </c>
      <c r="C180">
        <v>27</v>
      </c>
      <c r="D180" t="s">
        <v>24</v>
      </c>
      <c r="E180" t="s">
        <v>40</v>
      </c>
      <c r="F180" t="s">
        <v>65</v>
      </c>
      <c r="G180" t="s">
        <v>877</v>
      </c>
      <c r="H180" t="s">
        <v>878</v>
      </c>
      <c r="I180" t="s">
        <v>85</v>
      </c>
      <c r="J180" t="s">
        <v>44</v>
      </c>
      <c r="K180">
        <v>2</v>
      </c>
      <c r="L180">
        <v>32407</v>
      </c>
      <c r="M180">
        <v>10</v>
      </c>
      <c r="N180" t="s">
        <v>166</v>
      </c>
      <c r="O180" t="s">
        <v>86</v>
      </c>
      <c r="P180" t="s">
        <v>33</v>
      </c>
      <c r="Q180" t="s">
        <v>756</v>
      </c>
      <c r="R180" t="s">
        <v>879</v>
      </c>
      <c r="S180">
        <v>3</v>
      </c>
      <c r="T180" t="s">
        <v>61</v>
      </c>
      <c r="U180">
        <v>108</v>
      </c>
      <c r="V180" t="s">
        <v>37</v>
      </c>
    </row>
    <row r="181" spans="1:22" x14ac:dyDescent="0.3">
      <c r="A181" t="s">
        <v>880</v>
      </c>
      <c r="B181" t="s">
        <v>808</v>
      </c>
      <c r="C181">
        <v>30</v>
      </c>
      <c r="D181" t="s">
        <v>51</v>
      </c>
      <c r="E181" t="s">
        <v>99</v>
      </c>
      <c r="F181" t="s">
        <v>82</v>
      </c>
      <c r="G181" t="s">
        <v>881</v>
      </c>
      <c r="H181" t="s">
        <v>882</v>
      </c>
      <c r="I181" t="s">
        <v>93</v>
      </c>
      <c r="J181" t="s">
        <v>44</v>
      </c>
      <c r="K181">
        <v>3</v>
      </c>
      <c r="L181">
        <v>15202</v>
      </c>
      <c r="M181">
        <v>0</v>
      </c>
      <c r="N181" t="s">
        <v>166</v>
      </c>
      <c r="O181" t="s">
        <v>173</v>
      </c>
      <c r="P181" t="s">
        <v>58</v>
      </c>
      <c r="Q181" t="s">
        <v>191</v>
      </c>
      <c r="R181" t="s">
        <v>883</v>
      </c>
      <c r="S181">
        <v>5</v>
      </c>
      <c r="T181" t="s">
        <v>72</v>
      </c>
      <c r="U181">
        <v>383</v>
      </c>
      <c r="V181" t="s">
        <v>37</v>
      </c>
    </row>
    <row r="182" spans="1:22" x14ac:dyDescent="0.3">
      <c r="A182" t="s">
        <v>884</v>
      </c>
      <c r="B182" t="s">
        <v>74</v>
      </c>
      <c r="C182">
        <v>49</v>
      </c>
      <c r="D182" t="s">
        <v>51</v>
      </c>
      <c r="E182" t="s">
        <v>99</v>
      </c>
      <c r="F182" t="s">
        <v>65</v>
      </c>
      <c r="G182" t="s">
        <v>885</v>
      </c>
      <c r="H182" t="s">
        <v>886</v>
      </c>
      <c r="I182" t="s">
        <v>85</v>
      </c>
      <c r="J182" t="s">
        <v>30</v>
      </c>
      <c r="K182">
        <v>4</v>
      </c>
      <c r="L182">
        <v>41664</v>
      </c>
      <c r="M182">
        <v>5</v>
      </c>
      <c r="N182" t="s">
        <v>31</v>
      </c>
      <c r="O182" t="s">
        <v>46</v>
      </c>
      <c r="P182" t="s">
        <v>69</v>
      </c>
      <c r="Q182" t="s">
        <v>78</v>
      </c>
      <c r="R182" t="s">
        <v>887</v>
      </c>
      <c r="S182">
        <v>2</v>
      </c>
      <c r="T182" t="s">
        <v>36</v>
      </c>
      <c r="U182">
        <v>157</v>
      </c>
      <c r="V182" t="s">
        <v>62</v>
      </c>
    </row>
    <row r="183" spans="1:22" x14ac:dyDescent="0.3">
      <c r="A183" t="s">
        <v>888</v>
      </c>
      <c r="B183" t="s">
        <v>660</v>
      </c>
      <c r="C183">
        <v>40</v>
      </c>
      <c r="D183" t="s">
        <v>163</v>
      </c>
      <c r="E183" t="s">
        <v>99</v>
      </c>
      <c r="F183" t="s">
        <v>53</v>
      </c>
      <c r="G183" t="s">
        <v>354</v>
      </c>
      <c r="H183" t="s">
        <v>363</v>
      </c>
      <c r="I183" t="s">
        <v>77</v>
      </c>
      <c r="J183" t="s">
        <v>44</v>
      </c>
      <c r="K183">
        <v>1</v>
      </c>
      <c r="L183">
        <v>29116</v>
      </c>
      <c r="M183">
        <v>5</v>
      </c>
      <c r="N183" t="s">
        <v>56</v>
      </c>
      <c r="O183" t="s">
        <v>281</v>
      </c>
      <c r="P183" t="s">
        <v>58</v>
      </c>
      <c r="Q183" t="s">
        <v>662</v>
      </c>
      <c r="R183" t="s">
        <v>889</v>
      </c>
      <c r="S183">
        <v>4</v>
      </c>
      <c r="T183" t="s">
        <v>36</v>
      </c>
      <c r="U183">
        <v>408</v>
      </c>
      <c r="V183" t="s">
        <v>37</v>
      </c>
    </row>
    <row r="184" spans="1:22" x14ac:dyDescent="0.3">
      <c r="A184" t="s">
        <v>890</v>
      </c>
      <c r="B184" t="s">
        <v>674</v>
      </c>
      <c r="C184">
        <v>59</v>
      </c>
      <c r="D184" t="s">
        <v>51</v>
      </c>
      <c r="E184" t="s">
        <v>131</v>
      </c>
      <c r="F184" t="s">
        <v>65</v>
      </c>
      <c r="G184" t="s">
        <v>463</v>
      </c>
      <c r="H184" t="s">
        <v>891</v>
      </c>
      <c r="I184" t="s">
        <v>77</v>
      </c>
      <c r="J184" t="s">
        <v>30</v>
      </c>
      <c r="K184">
        <v>3</v>
      </c>
      <c r="L184">
        <v>6383</v>
      </c>
      <c r="M184">
        <v>15</v>
      </c>
      <c r="N184" t="s">
        <v>31</v>
      </c>
      <c r="O184" t="s">
        <v>86</v>
      </c>
      <c r="P184" t="s">
        <v>58</v>
      </c>
      <c r="Q184" t="s">
        <v>677</v>
      </c>
      <c r="R184" t="s">
        <v>892</v>
      </c>
      <c r="S184">
        <v>1</v>
      </c>
      <c r="T184" t="s">
        <v>36</v>
      </c>
      <c r="U184">
        <v>435</v>
      </c>
      <c r="V184" t="s">
        <v>62</v>
      </c>
    </row>
    <row r="185" spans="1:22" x14ac:dyDescent="0.3">
      <c r="A185" t="s">
        <v>893</v>
      </c>
      <c r="B185" t="s">
        <v>850</v>
      </c>
      <c r="C185">
        <v>52</v>
      </c>
      <c r="D185" t="s">
        <v>51</v>
      </c>
      <c r="E185" t="s">
        <v>26</v>
      </c>
      <c r="F185" t="s">
        <v>82</v>
      </c>
      <c r="G185" t="s">
        <v>894</v>
      </c>
      <c r="H185" t="s">
        <v>895</v>
      </c>
      <c r="I185" t="s">
        <v>29</v>
      </c>
      <c r="J185" t="s">
        <v>44</v>
      </c>
      <c r="K185">
        <v>5</v>
      </c>
      <c r="L185">
        <v>77020</v>
      </c>
      <c r="M185">
        <v>15</v>
      </c>
      <c r="N185" t="s">
        <v>56</v>
      </c>
      <c r="O185" t="s">
        <v>109</v>
      </c>
      <c r="P185" t="s">
        <v>58</v>
      </c>
      <c r="Q185" t="s">
        <v>258</v>
      </c>
      <c r="R185" t="s">
        <v>896</v>
      </c>
      <c r="S185">
        <v>3</v>
      </c>
      <c r="T185" t="s">
        <v>72</v>
      </c>
      <c r="U185">
        <v>262</v>
      </c>
      <c r="V185" t="s">
        <v>62</v>
      </c>
    </row>
    <row r="186" spans="1:22" x14ac:dyDescent="0.3">
      <c r="A186" t="s">
        <v>897</v>
      </c>
      <c r="B186" t="s">
        <v>424</v>
      </c>
      <c r="C186">
        <v>38</v>
      </c>
      <c r="D186" t="s">
        <v>51</v>
      </c>
      <c r="E186" t="s">
        <v>52</v>
      </c>
      <c r="F186" t="s">
        <v>65</v>
      </c>
      <c r="G186" t="s">
        <v>898</v>
      </c>
      <c r="H186" t="s">
        <v>335</v>
      </c>
      <c r="I186" t="s">
        <v>93</v>
      </c>
      <c r="J186" t="s">
        <v>30</v>
      </c>
      <c r="K186">
        <v>5</v>
      </c>
      <c r="L186">
        <v>14212</v>
      </c>
      <c r="M186">
        <v>10</v>
      </c>
      <c r="N186" t="s">
        <v>56</v>
      </c>
      <c r="O186" t="s">
        <v>32</v>
      </c>
      <c r="P186" t="s">
        <v>33</v>
      </c>
      <c r="Q186" t="s">
        <v>427</v>
      </c>
      <c r="R186" t="s">
        <v>899</v>
      </c>
      <c r="S186">
        <v>5</v>
      </c>
      <c r="T186" t="s">
        <v>36</v>
      </c>
      <c r="U186">
        <v>390</v>
      </c>
      <c r="V186" t="s">
        <v>79</v>
      </c>
    </row>
    <row r="187" spans="1:22" x14ac:dyDescent="0.3">
      <c r="A187" t="s">
        <v>900</v>
      </c>
      <c r="B187" t="s">
        <v>125</v>
      </c>
      <c r="C187">
        <v>53</v>
      </c>
      <c r="D187" t="s">
        <v>24</v>
      </c>
      <c r="E187" t="s">
        <v>142</v>
      </c>
      <c r="F187" t="s">
        <v>53</v>
      </c>
      <c r="G187" t="s">
        <v>901</v>
      </c>
      <c r="H187" t="s">
        <v>902</v>
      </c>
      <c r="I187" t="s">
        <v>85</v>
      </c>
      <c r="J187" t="s">
        <v>30</v>
      </c>
      <c r="K187">
        <v>5</v>
      </c>
      <c r="L187">
        <v>27212</v>
      </c>
      <c r="M187">
        <v>0</v>
      </c>
      <c r="N187" t="s">
        <v>166</v>
      </c>
      <c r="O187" t="s">
        <v>133</v>
      </c>
      <c r="P187" t="s">
        <v>69</v>
      </c>
      <c r="Q187" t="s">
        <v>756</v>
      </c>
      <c r="R187" t="s">
        <v>903</v>
      </c>
      <c r="S187">
        <v>4</v>
      </c>
      <c r="T187" t="s">
        <v>72</v>
      </c>
      <c r="U187">
        <v>77</v>
      </c>
      <c r="V187" t="s">
        <v>62</v>
      </c>
    </row>
    <row r="188" spans="1:22" x14ac:dyDescent="0.3">
      <c r="A188" t="s">
        <v>904</v>
      </c>
      <c r="B188" t="s">
        <v>660</v>
      </c>
      <c r="C188">
        <v>54</v>
      </c>
      <c r="D188" t="s">
        <v>24</v>
      </c>
      <c r="E188" t="s">
        <v>52</v>
      </c>
      <c r="F188" t="s">
        <v>53</v>
      </c>
      <c r="G188" t="s">
        <v>905</v>
      </c>
      <c r="H188" t="s">
        <v>906</v>
      </c>
      <c r="I188" t="s">
        <v>108</v>
      </c>
      <c r="J188" t="s">
        <v>44</v>
      </c>
      <c r="K188">
        <v>4</v>
      </c>
      <c r="L188">
        <v>31166</v>
      </c>
      <c r="M188">
        <v>10</v>
      </c>
      <c r="N188" t="s">
        <v>45</v>
      </c>
      <c r="O188" t="s">
        <v>57</v>
      </c>
      <c r="P188" t="s">
        <v>174</v>
      </c>
      <c r="Q188" t="s">
        <v>662</v>
      </c>
      <c r="R188" t="s">
        <v>907</v>
      </c>
      <c r="S188">
        <v>2</v>
      </c>
      <c r="T188" t="s">
        <v>36</v>
      </c>
      <c r="U188">
        <v>398</v>
      </c>
      <c r="V188" t="s">
        <v>37</v>
      </c>
    </row>
    <row r="189" spans="1:22" x14ac:dyDescent="0.3">
      <c r="A189" t="s">
        <v>908</v>
      </c>
      <c r="B189" t="s">
        <v>382</v>
      </c>
      <c r="C189">
        <v>55</v>
      </c>
      <c r="D189" t="s">
        <v>24</v>
      </c>
      <c r="E189" t="s">
        <v>40</v>
      </c>
      <c r="F189" t="s">
        <v>91</v>
      </c>
      <c r="G189" t="s">
        <v>909</v>
      </c>
      <c r="H189" t="s">
        <v>910</v>
      </c>
      <c r="I189" t="s">
        <v>108</v>
      </c>
      <c r="J189" t="s">
        <v>30</v>
      </c>
      <c r="K189">
        <v>3</v>
      </c>
      <c r="L189">
        <v>64910</v>
      </c>
      <c r="M189">
        <v>0</v>
      </c>
      <c r="N189" t="s">
        <v>45</v>
      </c>
      <c r="O189" t="s">
        <v>68</v>
      </c>
      <c r="P189" t="s">
        <v>174</v>
      </c>
      <c r="Q189" t="s">
        <v>385</v>
      </c>
      <c r="S189">
        <v>2</v>
      </c>
      <c r="T189" t="s">
        <v>36</v>
      </c>
      <c r="U189">
        <v>491</v>
      </c>
      <c r="V189" t="s">
        <v>79</v>
      </c>
    </row>
    <row r="190" spans="1:22" x14ac:dyDescent="0.3">
      <c r="A190" t="s">
        <v>911</v>
      </c>
      <c r="B190" t="s">
        <v>23</v>
      </c>
      <c r="C190">
        <v>38</v>
      </c>
      <c r="D190" t="s">
        <v>51</v>
      </c>
      <c r="E190" t="s">
        <v>52</v>
      </c>
      <c r="F190" t="s">
        <v>91</v>
      </c>
      <c r="G190" t="s">
        <v>210</v>
      </c>
      <c r="H190" t="s">
        <v>317</v>
      </c>
      <c r="I190" t="s">
        <v>77</v>
      </c>
      <c r="J190" t="s">
        <v>30</v>
      </c>
      <c r="K190">
        <v>2</v>
      </c>
      <c r="L190">
        <v>49922</v>
      </c>
      <c r="M190">
        <v>5</v>
      </c>
      <c r="N190" t="s">
        <v>166</v>
      </c>
      <c r="O190" t="s">
        <v>32</v>
      </c>
      <c r="P190" t="s">
        <v>174</v>
      </c>
      <c r="Q190" t="s">
        <v>34</v>
      </c>
      <c r="R190" t="s">
        <v>912</v>
      </c>
      <c r="S190">
        <v>4</v>
      </c>
      <c r="T190" t="s">
        <v>96</v>
      </c>
      <c r="U190">
        <v>471</v>
      </c>
      <c r="V190" t="s">
        <v>79</v>
      </c>
    </row>
    <row r="191" spans="1:22" x14ac:dyDescent="0.3">
      <c r="A191" t="s">
        <v>913</v>
      </c>
      <c r="B191" t="s">
        <v>702</v>
      </c>
      <c r="C191">
        <v>57</v>
      </c>
      <c r="D191" t="s">
        <v>51</v>
      </c>
      <c r="E191" t="s">
        <v>26</v>
      </c>
      <c r="F191" t="s">
        <v>82</v>
      </c>
      <c r="G191" t="s">
        <v>914</v>
      </c>
      <c r="H191" t="s">
        <v>915</v>
      </c>
      <c r="I191" t="s">
        <v>108</v>
      </c>
      <c r="J191" t="s">
        <v>30</v>
      </c>
      <c r="K191">
        <v>3</v>
      </c>
      <c r="M191">
        <v>10</v>
      </c>
      <c r="N191" t="s">
        <v>45</v>
      </c>
      <c r="O191" t="s">
        <v>68</v>
      </c>
      <c r="P191" t="s">
        <v>174</v>
      </c>
      <c r="Q191" t="s">
        <v>916</v>
      </c>
      <c r="R191" t="s">
        <v>917</v>
      </c>
      <c r="S191">
        <v>2</v>
      </c>
      <c r="T191" t="s">
        <v>61</v>
      </c>
      <c r="U191">
        <v>457</v>
      </c>
      <c r="V191" t="s">
        <v>37</v>
      </c>
    </row>
    <row r="192" spans="1:22" x14ac:dyDescent="0.3">
      <c r="A192" t="s">
        <v>918</v>
      </c>
      <c r="B192" t="s">
        <v>136</v>
      </c>
      <c r="C192">
        <v>28</v>
      </c>
      <c r="D192" t="s">
        <v>24</v>
      </c>
      <c r="E192" t="s">
        <v>25</v>
      </c>
      <c r="F192" t="s">
        <v>26</v>
      </c>
      <c r="G192" t="s">
        <v>796</v>
      </c>
      <c r="H192" t="s">
        <v>905</v>
      </c>
      <c r="I192" t="s">
        <v>93</v>
      </c>
      <c r="J192" t="s">
        <v>30</v>
      </c>
      <c r="K192">
        <v>2</v>
      </c>
      <c r="L192">
        <v>64952</v>
      </c>
      <c r="M192">
        <v>0</v>
      </c>
      <c r="N192" t="s">
        <v>166</v>
      </c>
      <c r="O192" t="s">
        <v>68</v>
      </c>
      <c r="P192" t="s">
        <v>58</v>
      </c>
      <c r="R192" t="s">
        <v>919</v>
      </c>
      <c r="S192">
        <v>1</v>
      </c>
      <c r="T192" t="s">
        <v>61</v>
      </c>
      <c r="U192">
        <v>106</v>
      </c>
      <c r="V192" t="s">
        <v>37</v>
      </c>
    </row>
    <row r="193" spans="1:22" x14ac:dyDescent="0.3">
      <c r="A193" t="s">
        <v>920</v>
      </c>
      <c r="B193" t="s">
        <v>272</v>
      </c>
      <c r="C193">
        <v>51</v>
      </c>
      <c r="D193" t="s">
        <v>163</v>
      </c>
      <c r="E193" t="s">
        <v>99</v>
      </c>
      <c r="F193" t="s">
        <v>53</v>
      </c>
      <c r="G193" t="s">
        <v>921</v>
      </c>
      <c r="H193" t="s">
        <v>922</v>
      </c>
      <c r="I193" t="s">
        <v>93</v>
      </c>
      <c r="J193" t="s">
        <v>44</v>
      </c>
      <c r="K193">
        <v>5</v>
      </c>
      <c r="L193">
        <v>79683</v>
      </c>
      <c r="M193">
        <v>5</v>
      </c>
      <c r="N193" t="s">
        <v>56</v>
      </c>
      <c r="O193" t="s">
        <v>173</v>
      </c>
      <c r="P193" t="s">
        <v>174</v>
      </c>
      <c r="R193" t="s">
        <v>923</v>
      </c>
      <c r="S193">
        <v>4</v>
      </c>
      <c r="T193" t="s">
        <v>36</v>
      </c>
      <c r="U193">
        <v>329</v>
      </c>
      <c r="V193" t="s">
        <v>79</v>
      </c>
    </row>
    <row r="194" spans="1:22" x14ac:dyDescent="0.3">
      <c r="A194" t="s">
        <v>924</v>
      </c>
      <c r="B194" t="s">
        <v>64</v>
      </c>
      <c r="C194">
        <v>19</v>
      </c>
      <c r="D194" t="s">
        <v>51</v>
      </c>
      <c r="E194" t="s">
        <v>26</v>
      </c>
      <c r="F194" t="s">
        <v>53</v>
      </c>
      <c r="G194" t="s">
        <v>925</v>
      </c>
      <c r="H194" t="s">
        <v>926</v>
      </c>
      <c r="I194" t="s">
        <v>43</v>
      </c>
      <c r="J194" t="s">
        <v>30</v>
      </c>
      <c r="K194">
        <v>1</v>
      </c>
      <c r="L194">
        <v>42771</v>
      </c>
      <c r="M194">
        <v>15</v>
      </c>
      <c r="N194" t="s">
        <v>45</v>
      </c>
      <c r="O194" t="s">
        <v>86</v>
      </c>
      <c r="P194" t="s">
        <v>174</v>
      </c>
      <c r="R194" t="s">
        <v>927</v>
      </c>
      <c r="S194">
        <v>2</v>
      </c>
      <c r="T194" t="s">
        <v>36</v>
      </c>
      <c r="U194">
        <v>224</v>
      </c>
      <c r="V194" t="s">
        <v>79</v>
      </c>
    </row>
    <row r="195" spans="1:22" x14ac:dyDescent="0.3">
      <c r="A195" t="s">
        <v>928</v>
      </c>
      <c r="B195" t="s">
        <v>637</v>
      </c>
      <c r="C195">
        <v>57</v>
      </c>
      <c r="D195" t="s">
        <v>163</v>
      </c>
      <c r="E195" t="s">
        <v>229</v>
      </c>
      <c r="F195" t="s">
        <v>26</v>
      </c>
      <c r="G195" t="s">
        <v>345</v>
      </c>
      <c r="H195" t="s">
        <v>703</v>
      </c>
      <c r="I195" t="s">
        <v>29</v>
      </c>
      <c r="J195" t="s">
        <v>44</v>
      </c>
      <c r="K195">
        <v>3</v>
      </c>
      <c r="L195">
        <v>32897</v>
      </c>
      <c r="M195">
        <v>0</v>
      </c>
      <c r="N195" t="s">
        <v>166</v>
      </c>
      <c r="O195" t="s">
        <v>281</v>
      </c>
      <c r="P195" t="s">
        <v>174</v>
      </c>
      <c r="S195">
        <v>1</v>
      </c>
      <c r="T195" t="s">
        <v>61</v>
      </c>
      <c r="U195">
        <v>451</v>
      </c>
      <c r="V195" t="s">
        <v>37</v>
      </c>
    </row>
    <row r="196" spans="1:22" x14ac:dyDescent="0.3">
      <c r="A196" t="s">
        <v>929</v>
      </c>
      <c r="B196" t="s">
        <v>808</v>
      </c>
      <c r="C196">
        <v>35</v>
      </c>
      <c r="D196" t="s">
        <v>51</v>
      </c>
      <c r="E196" t="s">
        <v>142</v>
      </c>
      <c r="F196" t="s">
        <v>65</v>
      </c>
      <c r="G196" t="s">
        <v>870</v>
      </c>
      <c r="H196" t="s">
        <v>930</v>
      </c>
      <c r="I196" t="s">
        <v>77</v>
      </c>
      <c r="J196" t="s">
        <v>44</v>
      </c>
      <c r="K196">
        <v>2</v>
      </c>
      <c r="L196">
        <v>49831</v>
      </c>
      <c r="M196">
        <v>5</v>
      </c>
      <c r="N196" t="s">
        <v>166</v>
      </c>
      <c r="O196" t="s">
        <v>281</v>
      </c>
      <c r="P196" t="s">
        <v>58</v>
      </c>
      <c r="Q196" t="s">
        <v>191</v>
      </c>
      <c r="R196" t="s">
        <v>931</v>
      </c>
      <c r="S196">
        <v>4</v>
      </c>
      <c r="T196" t="s">
        <v>96</v>
      </c>
      <c r="U196">
        <v>56</v>
      </c>
      <c r="V196" t="s">
        <v>62</v>
      </c>
    </row>
    <row r="197" spans="1:22" x14ac:dyDescent="0.3">
      <c r="A197" t="s">
        <v>932</v>
      </c>
      <c r="B197" t="s">
        <v>933</v>
      </c>
      <c r="C197">
        <v>51</v>
      </c>
      <c r="D197" t="s">
        <v>24</v>
      </c>
      <c r="E197" t="s">
        <v>142</v>
      </c>
      <c r="F197" t="s">
        <v>26</v>
      </c>
      <c r="G197" t="s">
        <v>934</v>
      </c>
      <c r="H197" t="s">
        <v>524</v>
      </c>
      <c r="I197" t="s">
        <v>93</v>
      </c>
      <c r="J197" t="s">
        <v>30</v>
      </c>
      <c r="K197">
        <v>5</v>
      </c>
      <c r="L197">
        <v>71841</v>
      </c>
      <c r="M197">
        <v>10</v>
      </c>
      <c r="N197" t="s">
        <v>56</v>
      </c>
      <c r="O197" t="s">
        <v>109</v>
      </c>
      <c r="P197" t="s">
        <v>58</v>
      </c>
      <c r="Q197" t="s">
        <v>935</v>
      </c>
      <c r="R197" t="s">
        <v>936</v>
      </c>
      <c r="S197">
        <v>3</v>
      </c>
      <c r="T197" t="s">
        <v>96</v>
      </c>
      <c r="U197">
        <v>104</v>
      </c>
      <c r="V197" t="s">
        <v>62</v>
      </c>
    </row>
    <row r="198" spans="1:22" x14ac:dyDescent="0.3">
      <c r="A198" t="s">
        <v>937</v>
      </c>
      <c r="B198" t="s">
        <v>461</v>
      </c>
      <c r="C198">
        <v>43</v>
      </c>
      <c r="D198" t="s">
        <v>24</v>
      </c>
      <c r="E198" t="s">
        <v>229</v>
      </c>
      <c r="F198" t="s">
        <v>53</v>
      </c>
      <c r="G198" t="s">
        <v>938</v>
      </c>
      <c r="H198" t="s">
        <v>939</v>
      </c>
      <c r="I198" t="s">
        <v>85</v>
      </c>
      <c r="J198" t="s">
        <v>44</v>
      </c>
      <c r="K198">
        <v>5</v>
      </c>
      <c r="L198">
        <v>64136</v>
      </c>
      <c r="M198">
        <v>10</v>
      </c>
      <c r="N198" t="s">
        <v>166</v>
      </c>
      <c r="O198" t="s">
        <v>281</v>
      </c>
      <c r="P198" t="s">
        <v>174</v>
      </c>
      <c r="Q198" t="s">
        <v>563</v>
      </c>
      <c r="R198" t="s">
        <v>940</v>
      </c>
      <c r="S198">
        <v>5</v>
      </c>
      <c r="T198" t="s">
        <v>96</v>
      </c>
      <c r="U198">
        <v>324</v>
      </c>
      <c r="V198" t="s">
        <v>62</v>
      </c>
    </row>
    <row r="199" spans="1:22" x14ac:dyDescent="0.3">
      <c r="A199" t="s">
        <v>941</v>
      </c>
      <c r="B199" t="s">
        <v>767</v>
      </c>
      <c r="C199">
        <v>53</v>
      </c>
      <c r="D199" t="s">
        <v>51</v>
      </c>
      <c r="E199" t="s">
        <v>229</v>
      </c>
      <c r="F199" t="s">
        <v>82</v>
      </c>
      <c r="G199" t="s">
        <v>942</v>
      </c>
      <c r="H199" t="s">
        <v>943</v>
      </c>
      <c r="I199" t="s">
        <v>93</v>
      </c>
      <c r="J199" t="s">
        <v>30</v>
      </c>
      <c r="L199">
        <v>79020</v>
      </c>
      <c r="M199">
        <v>5</v>
      </c>
      <c r="N199" t="s">
        <v>31</v>
      </c>
      <c r="O199" t="s">
        <v>57</v>
      </c>
      <c r="P199" t="s">
        <v>69</v>
      </c>
      <c r="Q199" t="s">
        <v>769</v>
      </c>
      <c r="R199" t="s">
        <v>944</v>
      </c>
      <c r="S199">
        <v>2</v>
      </c>
      <c r="T199" t="s">
        <v>72</v>
      </c>
      <c r="U199">
        <v>499</v>
      </c>
      <c r="V199" t="s">
        <v>37</v>
      </c>
    </row>
    <row r="200" spans="1:22" x14ac:dyDescent="0.3">
      <c r="A200" t="s">
        <v>945</v>
      </c>
      <c r="B200" t="s">
        <v>946</v>
      </c>
      <c r="C200">
        <v>57</v>
      </c>
      <c r="D200" t="s">
        <v>24</v>
      </c>
      <c r="E200" t="s">
        <v>131</v>
      </c>
      <c r="F200" t="s">
        <v>82</v>
      </c>
      <c r="G200" t="s">
        <v>947</v>
      </c>
      <c r="H200" t="s">
        <v>200</v>
      </c>
      <c r="I200" t="s">
        <v>85</v>
      </c>
      <c r="J200" t="s">
        <v>44</v>
      </c>
      <c r="K200">
        <v>1</v>
      </c>
      <c r="L200">
        <v>37165</v>
      </c>
      <c r="M200">
        <v>10</v>
      </c>
      <c r="N200" t="s">
        <v>56</v>
      </c>
      <c r="O200" t="s">
        <v>46</v>
      </c>
      <c r="P200" t="s">
        <v>58</v>
      </c>
      <c r="R200" t="s">
        <v>948</v>
      </c>
      <c r="S200">
        <v>3</v>
      </c>
      <c r="T200" t="s">
        <v>61</v>
      </c>
      <c r="U200">
        <v>349</v>
      </c>
      <c r="V200" t="s">
        <v>79</v>
      </c>
    </row>
    <row r="201" spans="1:22" x14ac:dyDescent="0.3">
      <c r="A201" t="s">
        <v>949</v>
      </c>
      <c r="B201" t="s">
        <v>729</v>
      </c>
      <c r="C201">
        <v>59</v>
      </c>
      <c r="D201" t="s">
        <v>51</v>
      </c>
      <c r="E201" t="s">
        <v>131</v>
      </c>
      <c r="F201" t="s">
        <v>91</v>
      </c>
      <c r="G201" t="s">
        <v>950</v>
      </c>
      <c r="H201" t="s">
        <v>951</v>
      </c>
      <c r="I201" t="s">
        <v>93</v>
      </c>
      <c r="J201" t="s">
        <v>44</v>
      </c>
      <c r="K201">
        <v>5</v>
      </c>
      <c r="L201">
        <v>28972</v>
      </c>
      <c r="M201">
        <v>10</v>
      </c>
      <c r="N201" t="s">
        <v>45</v>
      </c>
      <c r="O201" t="s">
        <v>86</v>
      </c>
      <c r="P201" t="s">
        <v>69</v>
      </c>
      <c r="Q201" t="s">
        <v>732</v>
      </c>
      <c r="R201" t="s">
        <v>952</v>
      </c>
      <c r="S201">
        <v>2</v>
      </c>
      <c r="T201" t="s">
        <v>36</v>
      </c>
      <c r="U201">
        <v>278</v>
      </c>
      <c r="V201" t="s">
        <v>79</v>
      </c>
    </row>
    <row r="202" spans="1:22" x14ac:dyDescent="0.3">
      <c r="A202" t="s">
        <v>953</v>
      </c>
      <c r="B202" t="s">
        <v>954</v>
      </c>
      <c r="C202">
        <v>58</v>
      </c>
      <c r="D202" t="s">
        <v>51</v>
      </c>
      <c r="E202" t="s">
        <v>52</v>
      </c>
      <c r="F202" t="s">
        <v>26</v>
      </c>
      <c r="G202" t="s">
        <v>784</v>
      </c>
      <c r="H202" t="s">
        <v>652</v>
      </c>
      <c r="I202" t="s">
        <v>108</v>
      </c>
      <c r="J202" t="s">
        <v>30</v>
      </c>
      <c r="K202">
        <v>1</v>
      </c>
      <c r="L202">
        <v>13843</v>
      </c>
      <c r="M202">
        <v>0</v>
      </c>
      <c r="N202" t="s">
        <v>31</v>
      </c>
      <c r="O202" t="s">
        <v>109</v>
      </c>
      <c r="P202" t="s">
        <v>69</v>
      </c>
      <c r="Q202" t="s">
        <v>536</v>
      </c>
      <c r="R202" t="s">
        <v>955</v>
      </c>
      <c r="S202">
        <v>3</v>
      </c>
      <c r="T202" t="s">
        <v>36</v>
      </c>
      <c r="U202">
        <v>291</v>
      </c>
      <c r="V202" t="s">
        <v>37</v>
      </c>
    </row>
    <row r="203" spans="1:22" x14ac:dyDescent="0.3">
      <c r="A203" t="s">
        <v>956</v>
      </c>
      <c r="B203" t="s">
        <v>162</v>
      </c>
      <c r="C203">
        <v>44</v>
      </c>
      <c r="D203" t="s">
        <v>24</v>
      </c>
      <c r="E203" t="s">
        <v>52</v>
      </c>
      <c r="F203" t="s">
        <v>65</v>
      </c>
      <c r="G203" t="s">
        <v>957</v>
      </c>
      <c r="H203" t="s">
        <v>510</v>
      </c>
      <c r="I203" t="s">
        <v>77</v>
      </c>
      <c r="J203" t="s">
        <v>44</v>
      </c>
      <c r="K203">
        <v>1</v>
      </c>
      <c r="L203">
        <v>51406</v>
      </c>
      <c r="M203">
        <v>5</v>
      </c>
      <c r="N203" t="s">
        <v>45</v>
      </c>
      <c r="O203" t="s">
        <v>173</v>
      </c>
      <c r="P203" t="s">
        <v>58</v>
      </c>
      <c r="Q203" t="s">
        <v>167</v>
      </c>
      <c r="R203" t="s">
        <v>958</v>
      </c>
      <c r="S203">
        <v>5</v>
      </c>
      <c r="T203" t="s">
        <v>72</v>
      </c>
      <c r="U203">
        <v>301</v>
      </c>
      <c r="V203" t="s">
        <v>62</v>
      </c>
    </row>
    <row r="204" spans="1:22" x14ac:dyDescent="0.3">
      <c r="A204" t="s">
        <v>959</v>
      </c>
      <c r="B204" t="s">
        <v>228</v>
      </c>
      <c r="C204">
        <v>32</v>
      </c>
      <c r="D204" t="s">
        <v>51</v>
      </c>
      <c r="E204" t="s">
        <v>142</v>
      </c>
      <c r="F204" t="s">
        <v>82</v>
      </c>
      <c r="G204" t="s">
        <v>960</v>
      </c>
      <c r="H204" t="s">
        <v>809</v>
      </c>
      <c r="I204" t="s">
        <v>85</v>
      </c>
      <c r="J204" t="s">
        <v>30</v>
      </c>
      <c r="K204">
        <v>4</v>
      </c>
      <c r="L204">
        <v>26669</v>
      </c>
      <c r="M204">
        <v>0</v>
      </c>
      <c r="N204" t="s">
        <v>166</v>
      </c>
      <c r="O204" t="s">
        <v>68</v>
      </c>
      <c r="P204" t="s">
        <v>69</v>
      </c>
      <c r="Q204" t="s">
        <v>232</v>
      </c>
      <c r="R204" t="s">
        <v>961</v>
      </c>
      <c r="S204">
        <v>1</v>
      </c>
      <c r="T204" t="s">
        <v>72</v>
      </c>
      <c r="U204">
        <v>278</v>
      </c>
      <c r="V204" t="s">
        <v>37</v>
      </c>
    </row>
    <row r="205" spans="1:22" x14ac:dyDescent="0.3">
      <c r="A205" t="s">
        <v>962</v>
      </c>
      <c r="B205" t="s">
        <v>162</v>
      </c>
      <c r="C205">
        <v>29</v>
      </c>
      <c r="D205" t="s">
        <v>24</v>
      </c>
      <c r="E205" t="s">
        <v>26</v>
      </c>
      <c r="F205" t="s">
        <v>82</v>
      </c>
      <c r="G205" t="s">
        <v>963</v>
      </c>
      <c r="H205" t="s">
        <v>473</v>
      </c>
      <c r="I205" t="s">
        <v>85</v>
      </c>
      <c r="J205" t="s">
        <v>30</v>
      </c>
      <c r="K205">
        <v>3</v>
      </c>
      <c r="L205">
        <v>68204</v>
      </c>
      <c r="M205">
        <v>15</v>
      </c>
      <c r="N205" t="s">
        <v>45</v>
      </c>
      <c r="O205" t="s">
        <v>109</v>
      </c>
      <c r="P205" t="s">
        <v>33</v>
      </c>
      <c r="Q205" t="s">
        <v>167</v>
      </c>
      <c r="R205" t="s">
        <v>964</v>
      </c>
      <c r="S205">
        <v>4</v>
      </c>
      <c r="T205" t="s">
        <v>61</v>
      </c>
      <c r="U205">
        <v>454</v>
      </c>
      <c r="V205" t="s">
        <v>37</v>
      </c>
    </row>
    <row r="206" spans="1:22" x14ac:dyDescent="0.3">
      <c r="A206" t="s">
        <v>965</v>
      </c>
      <c r="B206" t="s">
        <v>150</v>
      </c>
      <c r="C206">
        <v>23</v>
      </c>
      <c r="D206" t="s">
        <v>24</v>
      </c>
      <c r="E206" t="s">
        <v>99</v>
      </c>
      <c r="F206" t="s">
        <v>26</v>
      </c>
      <c r="G206" t="s">
        <v>42</v>
      </c>
      <c r="H206" t="s">
        <v>966</v>
      </c>
      <c r="I206" t="s">
        <v>93</v>
      </c>
      <c r="J206" t="s">
        <v>30</v>
      </c>
      <c r="K206">
        <v>4</v>
      </c>
      <c r="L206">
        <v>27187</v>
      </c>
      <c r="M206">
        <v>0</v>
      </c>
      <c r="N206" t="s">
        <v>45</v>
      </c>
      <c r="O206" t="s">
        <v>102</v>
      </c>
      <c r="P206" t="s">
        <v>33</v>
      </c>
      <c r="Q206" t="s">
        <v>153</v>
      </c>
      <c r="R206" t="s">
        <v>967</v>
      </c>
      <c r="S206">
        <v>1</v>
      </c>
      <c r="T206" t="s">
        <v>96</v>
      </c>
      <c r="U206">
        <v>318</v>
      </c>
      <c r="V206" t="s">
        <v>79</v>
      </c>
    </row>
    <row r="207" spans="1:22" x14ac:dyDescent="0.3">
      <c r="A207" t="s">
        <v>968</v>
      </c>
      <c r="B207" t="s">
        <v>261</v>
      </c>
      <c r="C207">
        <v>50</v>
      </c>
      <c r="D207" t="s">
        <v>24</v>
      </c>
      <c r="E207" t="s">
        <v>99</v>
      </c>
      <c r="F207" t="s">
        <v>53</v>
      </c>
      <c r="G207" t="s">
        <v>969</v>
      </c>
      <c r="H207" t="s">
        <v>970</v>
      </c>
      <c r="I207" t="s">
        <v>29</v>
      </c>
      <c r="J207" t="s">
        <v>30</v>
      </c>
      <c r="K207">
        <v>4</v>
      </c>
      <c r="M207">
        <v>15</v>
      </c>
      <c r="N207" t="s">
        <v>31</v>
      </c>
      <c r="O207" t="s">
        <v>281</v>
      </c>
      <c r="P207" t="s">
        <v>174</v>
      </c>
      <c r="Q207" t="s">
        <v>264</v>
      </c>
      <c r="R207" t="s">
        <v>971</v>
      </c>
      <c r="S207">
        <v>1</v>
      </c>
      <c r="T207" t="s">
        <v>36</v>
      </c>
      <c r="U207">
        <v>494</v>
      </c>
      <c r="V207" t="s">
        <v>37</v>
      </c>
    </row>
    <row r="208" spans="1:22" x14ac:dyDescent="0.3">
      <c r="A208" t="s">
        <v>972</v>
      </c>
      <c r="B208" t="s">
        <v>216</v>
      </c>
      <c r="C208">
        <v>32</v>
      </c>
      <c r="D208" t="s">
        <v>51</v>
      </c>
      <c r="E208" t="s">
        <v>229</v>
      </c>
      <c r="F208" t="s">
        <v>65</v>
      </c>
      <c r="G208" t="s">
        <v>973</v>
      </c>
      <c r="H208" t="s">
        <v>974</v>
      </c>
      <c r="I208" t="s">
        <v>108</v>
      </c>
      <c r="J208" t="s">
        <v>30</v>
      </c>
      <c r="K208">
        <v>3</v>
      </c>
      <c r="L208">
        <v>16857</v>
      </c>
      <c r="M208">
        <v>0</v>
      </c>
      <c r="N208" t="s">
        <v>56</v>
      </c>
      <c r="O208" t="s">
        <v>173</v>
      </c>
      <c r="P208" t="s">
        <v>174</v>
      </c>
      <c r="Q208" t="s">
        <v>219</v>
      </c>
      <c r="R208" t="s">
        <v>975</v>
      </c>
      <c r="S208">
        <v>4</v>
      </c>
      <c r="T208" t="s">
        <v>96</v>
      </c>
      <c r="U208">
        <v>219</v>
      </c>
      <c r="V208" t="s">
        <v>37</v>
      </c>
    </row>
    <row r="209" spans="1:22" x14ac:dyDescent="0.3">
      <c r="A209" t="s">
        <v>976</v>
      </c>
      <c r="B209" t="s">
        <v>272</v>
      </c>
      <c r="C209">
        <v>22</v>
      </c>
      <c r="D209" t="s">
        <v>24</v>
      </c>
      <c r="E209" t="s">
        <v>40</v>
      </c>
      <c r="F209" t="s">
        <v>82</v>
      </c>
      <c r="G209" t="s">
        <v>874</v>
      </c>
      <c r="H209" t="s">
        <v>84</v>
      </c>
      <c r="I209" t="s">
        <v>29</v>
      </c>
      <c r="J209" t="s">
        <v>30</v>
      </c>
      <c r="K209">
        <v>4</v>
      </c>
      <c r="L209">
        <v>7515</v>
      </c>
      <c r="M209">
        <v>5</v>
      </c>
      <c r="N209" t="s">
        <v>31</v>
      </c>
      <c r="O209" t="s">
        <v>46</v>
      </c>
      <c r="P209" t="s">
        <v>58</v>
      </c>
      <c r="Q209" t="s">
        <v>275</v>
      </c>
      <c r="R209" t="s">
        <v>977</v>
      </c>
      <c r="S209">
        <v>3</v>
      </c>
      <c r="T209" t="s">
        <v>61</v>
      </c>
      <c r="U209">
        <v>453</v>
      </c>
      <c r="V209" t="s">
        <v>62</v>
      </c>
    </row>
    <row r="210" spans="1:22" x14ac:dyDescent="0.3">
      <c r="A210" t="s">
        <v>978</v>
      </c>
      <c r="B210" t="s">
        <v>803</v>
      </c>
      <c r="C210">
        <v>47</v>
      </c>
      <c r="D210" t="s">
        <v>51</v>
      </c>
      <c r="E210" t="s">
        <v>25</v>
      </c>
      <c r="F210" t="s">
        <v>53</v>
      </c>
      <c r="G210" t="s">
        <v>607</v>
      </c>
      <c r="H210" t="s">
        <v>490</v>
      </c>
      <c r="I210" t="s">
        <v>29</v>
      </c>
      <c r="J210" t="s">
        <v>44</v>
      </c>
      <c r="K210">
        <v>1</v>
      </c>
      <c r="M210">
        <v>10</v>
      </c>
      <c r="N210" t="s">
        <v>31</v>
      </c>
      <c r="O210" t="s">
        <v>173</v>
      </c>
      <c r="P210" t="s">
        <v>58</v>
      </c>
      <c r="Q210" t="s">
        <v>805</v>
      </c>
      <c r="R210" t="s">
        <v>979</v>
      </c>
      <c r="S210">
        <v>1</v>
      </c>
      <c r="T210" t="s">
        <v>61</v>
      </c>
      <c r="U210">
        <v>297</v>
      </c>
      <c r="V210" t="s">
        <v>62</v>
      </c>
    </row>
    <row r="211" spans="1:22" x14ac:dyDescent="0.3">
      <c r="A211" t="s">
        <v>980</v>
      </c>
      <c r="B211" t="s">
        <v>617</v>
      </c>
      <c r="C211">
        <v>25</v>
      </c>
      <c r="D211" t="s">
        <v>51</v>
      </c>
      <c r="E211" t="s">
        <v>99</v>
      </c>
      <c r="F211" t="s">
        <v>26</v>
      </c>
      <c r="G211" t="s">
        <v>83</v>
      </c>
      <c r="H211" t="s">
        <v>185</v>
      </c>
      <c r="I211" t="s">
        <v>108</v>
      </c>
      <c r="J211" t="s">
        <v>30</v>
      </c>
      <c r="K211">
        <v>3</v>
      </c>
      <c r="L211">
        <v>44348</v>
      </c>
      <c r="M211">
        <v>0</v>
      </c>
      <c r="N211" t="s">
        <v>166</v>
      </c>
      <c r="O211" t="s">
        <v>46</v>
      </c>
      <c r="P211" t="s">
        <v>174</v>
      </c>
      <c r="Q211" t="s">
        <v>620</v>
      </c>
      <c r="S211">
        <v>1</v>
      </c>
      <c r="T211" t="s">
        <v>72</v>
      </c>
      <c r="U211">
        <v>331</v>
      </c>
      <c r="V211" t="s">
        <v>79</v>
      </c>
    </row>
    <row r="212" spans="1:22" x14ac:dyDescent="0.3">
      <c r="A212" t="s">
        <v>981</v>
      </c>
      <c r="B212" t="s">
        <v>946</v>
      </c>
      <c r="C212">
        <v>32</v>
      </c>
      <c r="D212" t="s">
        <v>51</v>
      </c>
      <c r="E212" t="s">
        <v>52</v>
      </c>
      <c r="F212" t="s">
        <v>82</v>
      </c>
      <c r="G212" t="s">
        <v>982</v>
      </c>
      <c r="H212" t="s">
        <v>304</v>
      </c>
      <c r="I212" t="s">
        <v>93</v>
      </c>
      <c r="J212" t="s">
        <v>30</v>
      </c>
      <c r="K212">
        <v>3</v>
      </c>
      <c r="L212">
        <v>71060</v>
      </c>
      <c r="M212">
        <v>15</v>
      </c>
      <c r="N212" t="s">
        <v>56</v>
      </c>
      <c r="O212" t="s">
        <v>133</v>
      </c>
      <c r="P212" t="s">
        <v>69</v>
      </c>
      <c r="Q212" t="s">
        <v>983</v>
      </c>
      <c r="R212" t="s">
        <v>984</v>
      </c>
      <c r="S212">
        <v>1</v>
      </c>
      <c r="T212" t="s">
        <v>96</v>
      </c>
      <c r="U212">
        <v>277</v>
      </c>
      <c r="V212" t="s">
        <v>79</v>
      </c>
    </row>
    <row r="213" spans="1:22" x14ac:dyDescent="0.3">
      <c r="A213" t="s">
        <v>985</v>
      </c>
      <c r="B213" t="s">
        <v>64</v>
      </c>
      <c r="C213">
        <v>45</v>
      </c>
      <c r="D213" t="s">
        <v>51</v>
      </c>
      <c r="E213" t="s">
        <v>25</v>
      </c>
      <c r="F213" t="s">
        <v>53</v>
      </c>
      <c r="G213" t="s">
        <v>986</v>
      </c>
      <c r="H213" t="s">
        <v>987</v>
      </c>
      <c r="I213" t="s">
        <v>77</v>
      </c>
      <c r="J213" t="s">
        <v>44</v>
      </c>
      <c r="K213">
        <v>3</v>
      </c>
      <c r="L213">
        <v>65916</v>
      </c>
      <c r="M213">
        <v>5</v>
      </c>
      <c r="N213" t="s">
        <v>45</v>
      </c>
      <c r="O213" t="s">
        <v>68</v>
      </c>
      <c r="P213" t="s">
        <v>69</v>
      </c>
      <c r="Q213" t="s">
        <v>70</v>
      </c>
      <c r="R213" t="s">
        <v>988</v>
      </c>
      <c r="S213">
        <v>4</v>
      </c>
      <c r="T213" t="s">
        <v>61</v>
      </c>
      <c r="U213">
        <v>116</v>
      </c>
      <c r="V213" t="s">
        <v>79</v>
      </c>
    </row>
    <row r="214" spans="1:22" x14ac:dyDescent="0.3">
      <c r="A214" t="s">
        <v>989</v>
      </c>
      <c r="B214" t="s">
        <v>162</v>
      </c>
      <c r="C214">
        <v>30</v>
      </c>
      <c r="D214" t="s">
        <v>24</v>
      </c>
      <c r="E214" t="s">
        <v>229</v>
      </c>
      <c r="F214" t="s">
        <v>82</v>
      </c>
      <c r="G214" t="s">
        <v>990</v>
      </c>
      <c r="H214" t="s">
        <v>335</v>
      </c>
      <c r="I214" t="s">
        <v>43</v>
      </c>
      <c r="J214" t="s">
        <v>44</v>
      </c>
      <c r="K214">
        <v>2</v>
      </c>
      <c r="L214">
        <v>19882</v>
      </c>
      <c r="M214">
        <v>0</v>
      </c>
      <c r="N214" t="s">
        <v>56</v>
      </c>
      <c r="O214" t="s">
        <v>102</v>
      </c>
      <c r="P214" t="s">
        <v>174</v>
      </c>
      <c r="Q214" t="s">
        <v>167</v>
      </c>
      <c r="R214" t="s">
        <v>991</v>
      </c>
      <c r="S214">
        <v>4</v>
      </c>
      <c r="T214" t="s">
        <v>36</v>
      </c>
      <c r="U214">
        <v>406</v>
      </c>
      <c r="V214" t="s">
        <v>62</v>
      </c>
    </row>
    <row r="215" spans="1:22" x14ac:dyDescent="0.3">
      <c r="A215" t="s">
        <v>992</v>
      </c>
      <c r="B215" t="s">
        <v>547</v>
      </c>
      <c r="C215">
        <v>36</v>
      </c>
      <c r="D215" t="s">
        <v>51</v>
      </c>
      <c r="E215" t="s">
        <v>229</v>
      </c>
      <c r="F215" t="s">
        <v>26</v>
      </c>
      <c r="G215" t="s">
        <v>780</v>
      </c>
      <c r="H215" t="s">
        <v>993</v>
      </c>
      <c r="I215" t="s">
        <v>93</v>
      </c>
      <c r="J215" t="s">
        <v>30</v>
      </c>
      <c r="K215">
        <v>3</v>
      </c>
      <c r="L215">
        <v>29158</v>
      </c>
      <c r="M215">
        <v>5</v>
      </c>
      <c r="N215" t="s">
        <v>45</v>
      </c>
      <c r="O215" t="s">
        <v>32</v>
      </c>
      <c r="P215" t="s">
        <v>33</v>
      </c>
      <c r="Q215" t="s">
        <v>549</v>
      </c>
      <c r="R215" t="s">
        <v>994</v>
      </c>
      <c r="S215">
        <v>4</v>
      </c>
      <c r="T215" t="s">
        <v>96</v>
      </c>
      <c r="U215">
        <v>197</v>
      </c>
      <c r="V215" t="s">
        <v>62</v>
      </c>
    </row>
    <row r="216" spans="1:22" x14ac:dyDescent="0.3">
      <c r="A216" t="s">
        <v>995</v>
      </c>
      <c r="B216" t="s">
        <v>261</v>
      </c>
      <c r="C216">
        <v>58</v>
      </c>
      <c r="D216" t="s">
        <v>24</v>
      </c>
      <c r="E216" t="s">
        <v>25</v>
      </c>
      <c r="F216" t="s">
        <v>65</v>
      </c>
      <c r="G216" t="s">
        <v>996</v>
      </c>
      <c r="H216" t="s">
        <v>316</v>
      </c>
      <c r="I216" t="s">
        <v>43</v>
      </c>
      <c r="J216" t="s">
        <v>44</v>
      </c>
      <c r="K216">
        <v>1</v>
      </c>
      <c r="M216">
        <v>10</v>
      </c>
      <c r="N216" t="s">
        <v>31</v>
      </c>
      <c r="O216" t="s">
        <v>102</v>
      </c>
      <c r="P216" t="s">
        <v>174</v>
      </c>
      <c r="Q216" t="s">
        <v>264</v>
      </c>
      <c r="R216" t="s">
        <v>997</v>
      </c>
      <c r="S216">
        <v>2</v>
      </c>
      <c r="T216" t="s">
        <v>61</v>
      </c>
      <c r="U216">
        <v>459</v>
      </c>
      <c r="V216" t="s">
        <v>79</v>
      </c>
    </row>
    <row r="217" spans="1:22" x14ac:dyDescent="0.3">
      <c r="A217" t="s">
        <v>998</v>
      </c>
      <c r="B217" t="s">
        <v>209</v>
      </c>
      <c r="C217">
        <v>26</v>
      </c>
      <c r="D217" t="s">
        <v>24</v>
      </c>
      <c r="E217" t="s">
        <v>52</v>
      </c>
      <c r="F217" t="s">
        <v>82</v>
      </c>
      <c r="G217" t="s">
        <v>999</v>
      </c>
      <c r="H217" t="s">
        <v>1000</v>
      </c>
      <c r="I217" t="s">
        <v>93</v>
      </c>
      <c r="J217" t="s">
        <v>44</v>
      </c>
      <c r="K217">
        <v>3</v>
      </c>
      <c r="L217">
        <v>20542</v>
      </c>
      <c r="M217">
        <v>10</v>
      </c>
      <c r="N217" t="s">
        <v>31</v>
      </c>
      <c r="O217" t="s">
        <v>68</v>
      </c>
      <c r="P217" t="s">
        <v>174</v>
      </c>
      <c r="Q217" t="s">
        <v>1001</v>
      </c>
      <c r="R217" t="s">
        <v>1002</v>
      </c>
      <c r="S217">
        <v>1</v>
      </c>
      <c r="T217" t="s">
        <v>36</v>
      </c>
      <c r="U217">
        <v>73</v>
      </c>
      <c r="V217" t="s">
        <v>37</v>
      </c>
    </row>
    <row r="218" spans="1:22" x14ac:dyDescent="0.3">
      <c r="A218" t="s">
        <v>1003</v>
      </c>
      <c r="B218" t="s">
        <v>309</v>
      </c>
      <c r="C218">
        <v>42</v>
      </c>
      <c r="D218" t="s">
        <v>24</v>
      </c>
      <c r="E218" t="s">
        <v>99</v>
      </c>
      <c r="F218" t="s">
        <v>65</v>
      </c>
      <c r="G218" t="s">
        <v>1004</v>
      </c>
      <c r="H218" t="s">
        <v>1005</v>
      </c>
      <c r="I218" t="s">
        <v>108</v>
      </c>
      <c r="J218" t="s">
        <v>30</v>
      </c>
      <c r="K218">
        <v>4</v>
      </c>
      <c r="L218">
        <v>7966</v>
      </c>
      <c r="M218">
        <v>0</v>
      </c>
      <c r="N218" t="s">
        <v>56</v>
      </c>
      <c r="O218" t="s">
        <v>109</v>
      </c>
      <c r="P218" t="s">
        <v>33</v>
      </c>
      <c r="Q218" t="s">
        <v>312</v>
      </c>
      <c r="R218" t="s">
        <v>1006</v>
      </c>
      <c r="S218">
        <v>1</v>
      </c>
      <c r="T218" t="s">
        <v>61</v>
      </c>
      <c r="U218">
        <v>306</v>
      </c>
      <c r="V218" t="s">
        <v>62</v>
      </c>
    </row>
    <row r="219" spans="1:22" x14ac:dyDescent="0.3">
      <c r="A219" t="s">
        <v>1007</v>
      </c>
      <c r="B219" t="s">
        <v>1008</v>
      </c>
      <c r="C219">
        <v>30</v>
      </c>
      <c r="D219" t="s">
        <v>51</v>
      </c>
      <c r="E219" t="s">
        <v>229</v>
      </c>
      <c r="F219" t="s">
        <v>26</v>
      </c>
      <c r="G219" t="s">
        <v>1009</v>
      </c>
      <c r="H219" t="s">
        <v>1010</v>
      </c>
      <c r="I219" t="s">
        <v>93</v>
      </c>
      <c r="J219" t="s">
        <v>30</v>
      </c>
      <c r="K219">
        <v>5</v>
      </c>
      <c r="M219">
        <v>10</v>
      </c>
      <c r="N219" t="s">
        <v>31</v>
      </c>
      <c r="O219" t="s">
        <v>173</v>
      </c>
      <c r="P219" t="s">
        <v>58</v>
      </c>
      <c r="Q219" t="s">
        <v>1011</v>
      </c>
      <c r="R219" t="s">
        <v>1012</v>
      </c>
      <c r="S219">
        <v>3</v>
      </c>
      <c r="T219" t="s">
        <v>61</v>
      </c>
      <c r="U219">
        <v>299</v>
      </c>
      <c r="V219" t="s">
        <v>37</v>
      </c>
    </row>
    <row r="220" spans="1:22" x14ac:dyDescent="0.3">
      <c r="A220" t="s">
        <v>1013</v>
      </c>
      <c r="B220" t="s">
        <v>1014</v>
      </c>
      <c r="C220">
        <v>57</v>
      </c>
      <c r="D220" t="s">
        <v>51</v>
      </c>
      <c r="E220" t="s">
        <v>40</v>
      </c>
      <c r="F220" t="s">
        <v>65</v>
      </c>
      <c r="G220" t="s">
        <v>1015</v>
      </c>
      <c r="H220" t="s">
        <v>1016</v>
      </c>
      <c r="I220" t="s">
        <v>29</v>
      </c>
      <c r="J220" t="s">
        <v>30</v>
      </c>
      <c r="K220">
        <v>3</v>
      </c>
      <c r="L220">
        <v>67930</v>
      </c>
      <c r="M220">
        <v>5</v>
      </c>
      <c r="N220" t="s">
        <v>31</v>
      </c>
      <c r="O220" t="s">
        <v>68</v>
      </c>
      <c r="P220" t="s">
        <v>69</v>
      </c>
      <c r="Q220" t="s">
        <v>935</v>
      </c>
      <c r="R220" t="s">
        <v>1017</v>
      </c>
      <c r="S220">
        <v>1</v>
      </c>
      <c r="T220" t="s">
        <v>72</v>
      </c>
      <c r="U220">
        <v>85</v>
      </c>
      <c r="V220" t="s">
        <v>79</v>
      </c>
    </row>
    <row r="221" spans="1:22" x14ac:dyDescent="0.3">
      <c r="A221" t="s">
        <v>1018</v>
      </c>
      <c r="B221" t="s">
        <v>527</v>
      </c>
      <c r="C221">
        <v>60</v>
      </c>
      <c r="D221" t="s">
        <v>51</v>
      </c>
      <c r="E221" t="s">
        <v>229</v>
      </c>
      <c r="F221" t="s">
        <v>26</v>
      </c>
      <c r="G221" t="s">
        <v>1019</v>
      </c>
      <c r="H221" t="s">
        <v>1020</v>
      </c>
      <c r="I221" t="s">
        <v>29</v>
      </c>
      <c r="J221" t="s">
        <v>30</v>
      </c>
      <c r="K221">
        <v>1</v>
      </c>
      <c r="L221">
        <v>21388</v>
      </c>
      <c r="M221">
        <v>0</v>
      </c>
      <c r="N221" t="s">
        <v>45</v>
      </c>
      <c r="O221" t="s">
        <v>173</v>
      </c>
      <c r="P221" t="s">
        <v>174</v>
      </c>
      <c r="Q221" t="s">
        <v>530</v>
      </c>
      <c r="S221">
        <v>2</v>
      </c>
      <c r="T221" t="s">
        <v>36</v>
      </c>
      <c r="U221">
        <v>226</v>
      </c>
      <c r="V221" t="s">
        <v>37</v>
      </c>
    </row>
    <row r="222" spans="1:22" x14ac:dyDescent="0.3">
      <c r="A222" t="s">
        <v>1021</v>
      </c>
      <c r="B222" t="s">
        <v>162</v>
      </c>
      <c r="C222">
        <v>27</v>
      </c>
      <c r="D222" t="s">
        <v>24</v>
      </c>
      <c r="E222" t="s">
        <v>25</v>
      </c>
      <c r="F222" t="s">
        <v>53</v>
      </c>
      <c r="G222" t="s">
        <v>630</v>
      </c>
      <c r="H222" t="s">
        <v>1022</v>
      </c>
      <c r="I222" t="s">
        <v>43</v>
      </c>
      <c r="J222" t="s">
        <v>44</v>
      </c>
      <c r="K222">
        <v>5</v>
      </c>
      <c r="L222">
        <v>31732</v>
      </c>
      <c r="M222">
        <v>15</v>
      </c>
      <c r="N222" t="s">
        <v>56</v>
      </c>
      <c r="O222" t="s">
        <v>281</v>
      </c>
      <c r="P222" t="s">
        <v>58</v>
      </c>
      <c r="Q222" t="s">
        <v>167</v>
      </c>
      <c r="R222" t="s">
        <v>1023</v>
      </c>
      <c r="S222">
        <v>3</v>
      </c>
      <c r="T222" t="s">
        <v>96</v>
      </c>
      <c r="U222">
        <v>337</v>
      </c>
      <c r="V222" t="s">
        <v>62</v>
      </c>
    </row>
    <row r="223" spans="1:22" x14ac:dyDescent="0.3">
      <c r="A223" t="s">
        <v>1024</v>
      </c>
      <c r="B223" t="s">
        <v>1025</v>
      </c>
      <c r="C223">
        <v>22</v>
      </c>
      <c r="D223" t="s">
        <v>24</v>
      </c>
      <c r="E223" t="s">
        <v>142</v>
      </c>
      <c r="F223" t="s">
        <v>65</v>
      </c>
      <c r="G223" t="s">
        <v>335</v>
      </c>
      <c r="H223" t="s">
        <v>856</v>
      </c>
      <c r="I223" t="s">
        <v>85</v>
      </c>
      <c r="J223" t="s">
        <v>30</v>
      </c>
      <c r="K223">
        <v>4</v>
      </c>
      <c r="L223">
        <v>23574</v>
      </c>
      <c r="M223">
        <v>0</v>
      </c>
      <c r="N223" t="s">
        <v>166</v>
      </c>
      <c r="O223" t="s">
        <v>109</v>
      </c>
      <c r="P223" t="s">
        <v>174</v>
      </c>
      <c r="Q223" t="s">
        <v>167</v>
      </c>
      <c r="R223" t="s">
        <v>1026</v>
      </c>
      <c r="S223">
        <v>1</v>
      </c>
      <c r="T223" t="s">
        <v>96</v>
      </c>
      <c r="U223">
        <v>164</v>
      </c>
      <c r="V223" t="s">
        <v>62</v>
      </c>
    </row>
    <row r="224" spans="1:22" x14ac:dyDescent="0.3">
      <c r="A224" t="s">
        <v>1027</v>
      </c>
      <c r="B224" t="s">
        <v>228</v>
      </c>
      <c r="C224">
        <v>52</v>
      </c>
      <c r="D224" t="s">
        <v>51</v>
      </c>
      <c r="E224" t="s">
        <v>229</v>
      </c>
      <c r="F224" t="s">
        <v>82</v>
      </c>
      <c r="G224" t="s">
        <v>685</v>
      </c>
      <c r="H224" t="s">
        <v>274</v>
      </c>
      <c r="I224" t="s">
        <v>43</v>
      </c>
      <c r="J224" t="s">
        <v>30</v>
      </c>
      <c r="K224">
        <v>5</v>
      </c>
      <c r="L224">
        <v>46059</v>
      </c>
      <c r="M224">
        <v>0</v>
      </c>
      <c r="N224" t="s">
        <v>56</v>
      </c>
      <c r="O224" t="s">
        <v>86</v>
      </c>
      <c r="P224" t="s">
        <v>58</v>
      </c>
      <c r="Q224" t="s">
        <v>232</v>
      </c>
      <c r="R224" t="s">
        <v>1028</v>
      </c>
      <c r="S224">
        <v>5</v>
      </c>
      <c r="T224" t="s">
        <v>61</v>
      </c>
      <c r="U224">
        <v>52</v>
      </c>
      <c r="V224" t="s">
        <v>79</v>
      </c>
    </row>
    <row r="225" spans="1:22" x14ac:dyDescent="0.3">
      <c r="A225" t="s">
        <v>1029</v>
      </c>
      <c r="B225" t="s">
        <v>509</v>
      </c>
      <c r="C225">
        <v>33</v>
      </c>
      <c r="D225" t="s">
        <v>51</v>
      </c>
      <c r="E225" t="s">
        <v>131</v>
      </c>
      <c r="F225" t="s">
        <v>26</v>
      </c>
      <c r="G225" t="s">
        <v>1030</v>
      </c>
      <c r="H225" t="s">
        <v>1031</v>
      </c>
      <c r="I225" t="s">
        <v>85</v>
      </c>
      <c r="J225" t="s">
        <v>44</v>
      </c>
      <c r="K225">
        <v>3</v>
      </c>
      <c r="L225">
        <v>37852</v>
      </c>
      <c r="M225">
        <v>10</v>
      </c>
      <c r="N225" t="s">
        <v>45</v>
      </c>
      <c r="O225" t="s">
        <v>102</v>
      </c>
      <c r="P225" t="s">
        <v>58</v>
      </c>
      <c r="R225" t="s">
        <v>1032</v>
      </c>
      <c r="S225">
        <v>4</v>
      </c>
      <c r="T225" t="s">
        <v>96</v>
      </c>
      <c r="U225">
        <v>229</v>
      </c>
      <c r="V225" t="s">
        <v>79</v>
      </c>
    </row>
    <row r="226" spans="1:22" x14ac:dyDescent="0.3">
      <c r="A226" t="s">
        <v>1033</v>
      </c>
      <c r="B226" t="s">
        <v>424</v>
      </c>
      <c r="C226">
        <v>45</v>
      </c>
      <c r="D226" t="s">
        <v>24</v>
      </c>
      <c r="E226" t="s">
        <v>142</v>
      </c>
      <c r="F226" t="s">
        <v>26</v>
      </c>
      <c r="G226" t="s">
        <v>279</v>
      </c>
      <c r="H226" t="s">
        <v>1034</v>
      </c>
      <c r="I226" t="s">
        <v>108</v>
      </c>
      <c r="J226" t="s">
        <v>30</v>
      </c>
      <c r="K226">
        <v>3</v>
      </c>
      <c r="L226">
        <v>36282</v>
      </c>
      <c r="M226">
        <v>10</v>
      </c>
      <c r="N226" t="s">
        <v>166</v>
      </c>
      <c r="O226" t="s">
        <v>173</v>
      </c>
      <c r="P226" t="s">
        <v>69</v>
      </c>
      <c r="Q226" t="s">
        <v>427</v>
      </c>
      <c r="R226" t="s">
        <v>1035</v>
      </c>
      <c r="S226">
        <v>1</v>
      </c>
      <c r="T226" t="s">
        <v>61</v>
      </c>
      <c r="U226">
        <v>209</v>
      </c>
      <c r="V226" t="s">
        <v>37</v>
      </c>
    </row>
    <row r="227" spans="1:22" x14ac:dyDescent="0.3">
      <c r="A227" t="s">
        <v>1036</v>
      </c>
      <c r="B227" t="s">
        <v>90</v>
      </c>
      <c r="C227">
        <v>42</v>
      </c>
      <c r="D227" t="s">
        <v>183</v>
      </c>
      <c r="E227" t="s">
        <v>25</v>
      </c>
      <c r="F227" t="s">
        <v>53</v>
      </c>
      <c r="G227" t="s">
        <v>1037</v>
      </c>
      <c r="H227" t="s">
        <v>543</v>
      </c>
      <c r="I227" t="s">
        <v>108</v>
      </c>
      <c r="J227" t="s">
        <v>30</v>
      </c>
      <c r="K227">
        <v>5</v>
      </c>
      <c r="L227">
        <v>61575</v>
      </c>
      <c r="M227">
        <v>10</v>
      </c>
      <c r="N227" t="s">
        <v>166</v>
      </c>
      <c r="O227" t="s">
        <v>109</v>
      </c>
      <c r="P227" t="s">
        <v>33</v>
      </c>
      <c r="R227" t="s">
        <v>1038</v>
      </c>
      <c r="S227">
        <v>4</v>
      </c>
      <c r="T227" t="s">
        <v>36</v>
      </c>
      <c r="U227">
        <v>276</v>
      </c>
      <c r="V227" t="s">
        <v>79</v>
      </c>
    </row>
    <row r="228" spans="1:22" x14ac:dyDescent="0.3">
      <c r="A228" t="s">
        <v>1039</v>
      </c>
      <c r="B228" t="s">
        <v>424</v>
      </c>
      <c r="C228">
        <v>43</v>
      </c>
      <c r="D228" t="s">
        <v>183</v>
      </c>
      <c r="E228" t="s">
        <v>229</v>
      </c>
      <c r="F228" t="s">
        <v>65</v>
      </c>
      <c r="G228" t="s">
        <v>218</v>
      </c>
      <c r="H228" t="s">
        <v>957</v>
      </c>
      <c r="I228" t="s">
        <v>93</v>
      </c>
      <c r="J228" t="s">
        <v>30</v>
      </c>
      <c r="K228">
        <v>3</v>
      </c>
      <c r="L228">
        <v>5610</v>
      </c>
      <c r="M228">
        <v>0</v>
      </c>
      <c r="N228" t="s">
        <v>166</v>
      </c>
      <c r="O228" t="s">
        <v>281</v>
      </c>
      <c r="P228" t="s">
        <v>58</v>
      </c>
      <c r="Q228" t="s">
        <v>427</v>
      </c>
      <c r="R228" t="s">
        <v>1040</v>
      </c>
      <c r="S228">
        <v>1</v>
      </c>
      <c r="T228" t="s">
        <v>96</v>
      </c>
      <c r="U228">
        <v>234</v>
      </c>
      <c r="V228" t="s">
        <v>37</v>
      </c>
    </row>
    <row r="229" spans="1:22" x14ac:dyDescent="0.3">
      <c r="A229" t="s">
        <v>1041</v>
      </c>
      <c r="B229" t="s">
        <v>660</v>
      </c>
      <c r="C229">
        <v>58</v>
      </c>
      <c r="D229" t="s">
        <v>24</v>
      </c>
      <c r="E229" t="s">
        <v>26</v>
      </c>
      <c r="F229" t="s">
        <v>91</v>
      </c>
      <c r="G229" t="s">
        <v>1042</v>
      </c>
      <c r="H229" t="s">
        <v>834</v>
      </c>
      <c r="I229" t="s">
        <v>108</v>
      </c>
      <c r="J229" t="s">
        <v>30</v>
      </c>
      <c r="K229">
        <v>2</v>
      </c>
      <c r="L229">
        <v>33409</v>
      </c>
      <c r="M229">
        <v>5</v>
      </c>
      <c r="N229" t="s">
        <v>166</v>
      </c>
      <c r="O229" t="s">
        <v>109</v>
      </c>
      <c r="P229" t="s">
        <v>33</v>
      </c>
      <c r="Q229" t="s">
        <v>662</v>
      </c>
      <c r="R229" t="s">
        <v>1043</v>
      </c>
      <c r="S229">
        <v>5</v>
      </c>
      <c r="T229" t="s">
        <v>61</v>
      </c>
      <c r="U229">
        <v>425</v>
      </c>
      <c r="V229" t="s">
        <v>62</v>
      </c>
    </row>
    <row r="230" spans="1:22" x14ac:dyDescent="0.3">
      <c r="A230" t="s">
        <v>1044</v>
      </c>
      <c r="B230" t="s">
        <v>1045</v>
      </c>
      <c r="C230">
        <v>59</v>
      </c>
      <c r="D230" t="s">
        <v>24</v>
      </c>
      <c r="E230" t="s">
        <v>99</v>
      </c>
      <c r="F230" t="s">
        <v>65</v>
      </c>
      <c r="G230" t="s">
        <v>1046</v>
      </c>
      <c r="H230" t="s">
        <v>1047</v>
      </c>
      <c r="I230" t="s">
        <v>77</v>
      </c>
      <c r="J230" t="s">
        <v>30</v>
      </c>
      <c r="K230">
        <v>2</v>
      </c>
      <c r="L230">
        <v>9182</v>
      </c>
      <c r="M230">
        <v>10</v>
      </c>
      <c r="N230" t="s">
        <v>166</v>
      </c>
      <c r="O230" t="s">
        <v>46</v>
      </c>
      <c r="P230" t="s">
        <v>33</v>
      </c>
      <c r="Q230" t="s">
        <v>1048</v>
      </c>
      <c r="R230" t="s">
        <v>1049</v>
      </c>
      <c r="S230">
        <v>4</v>
      </c>
      <c r="T230" t="s">
        <v>61</v>
      </c>
      <c r="U230">
        <v>76</v>
      </c>
      <c r="V230" t="s">
        <v>37</v>
      </c>
    </row>
    <row r="231" spans="1:22" x14ac:dyDescent="0.3">
      <c r="A231" t="s">
        <v>1050</v>
      </c>
      <c r="B231" t="s">
        <v>150</v>
      </c>
      <c r="C231">
        <v>24</v>
      </c>
      <c r="D231" t="s">
        <v>51</v>
      </c>
      <c r="E231" t="s">
        <v>25</v>
      </c>
      <c r="F231" t="s">
        <v>26</v>
      </c>
      <c r="G231" t="s">
        <v>607</v>
      </c>
      <c r="H231" t="s">
        <v>751</v>
      </c>
      <c r="I231" t="s">
        <v>85</v>
      </c>
      <c r="J231" t="s">
        <v>30</v>
      </c>
      <c r="K231">
        <v>5</v>
      </c>
      <c r="L231">
        <v>42096</v>
      </c>
      <c r="M231">
        <v>0</v>
      </c>
      <c r="N231" t="s">
        <v>45</v>
      </c>
      <c r="O231" t="s">
        <v>109</v>
      </c>
      <c r="P231" t="s">
        <v>174</v>
      </c>
      <c r="Q231" t="s">
        <v>153</v>
      </c>
      <c r="R231" t="s">
        <v>1051</v>
      </c>
      <c r="S231">
        <v>1</v>
      </c>
      <c r="T231" t="s">
        <v>36</v>
      </c>
      <c r="U231">
        <v>393</v>
      </c>
      <c r="V231" t="s">
        <v>37</v>
      </c>
    </row>
    <row r="232" spans="1:22" x14ac:dyDescent="0.3">
      <c r="A232" t="s">
        <v>1052</v>
      </c>
      <c r="B232" t="s">
        <v>547</v>
      </c>
      <c r="C232">
        <v>41</v>
      </c>
      <c r="D232" t="s">
        <v>24</v>
      </c>
      <c r="E232" t="s">
        <v>52</v>
      </c>
      <c r="F232" t="s">
        <v>26</v>
      </c>
      <c r="G232" t="s">
        <v>1053</v>
      </c>
      <c r="H232" t="s">
        <v>1054</v>
      </c>
      <c r="I232" t="s">
        <v>93</v>
      </c>
      <c r="J232" t="s">
        <v>44</v>
      </c>
      <c r="K232">
        <v>3</v>
      </c>
      <c r="L232">
        <v>16813</v>
      </c>
      <c r="M232">
        <v>5</v>
      </c>
      <c r="N232" t="s">
        <v>31</v>
      </c>
      <c r="O232" t="s">
        <v>173</v>
      </c>
      <c r="P232" t="s">
        <v>33</v>
      </c>
      <c r="Q232" t="s">
        <v>549</v>
      </c>
      <c r="R232" t="s">
        <v>1055</v>
      </c>
      <c r="S232">
        <v>2</v>
      </c>
      <c r="T232" t="s">
        <v>96</v>
      </c>
      <c r="U232">
        <v>430</v>
      </c>
      <c r="V232" t="s">
        <v>37</v>
      </c>
    </row>
    <row r="233" spans="1:22" x14ac:dyDescent="0.3">
      <c r="A233" t="s">
        <v>1056</v>
      </c>
      <c r="B233" t="s">
        <v>1057</v>
      </c>
      <c r="C233">
        <v>24</v>
      </c>
      <c r="D233" t="s">
        <v>24</v>
      </c>
      <c r="E233" t="s">
        <v>142</v>
      </c>
      <c r="F233" t="s">
        <v>91</v>
      </c>
      <c r="G233" t="s">
        <v>1058</v>
      </c>
      <c r="H233" t="s">
        <v>735</v>
      </c>
      <c r="I233" t="s">
        <v>93</v>
      </c>
      <c r="J233" t="s">
        <v>30</v>
      </c>
      <c r="K233">
        <v>2</v>
      </c>
      <c r="L233">
        <v>25000</v>
      </c>
      <c r="M233">
        <v>0</v>
      </c>
      <c r="N233" t="s">
        <v>56</v>
      </c>
      <c r="O233" t="s">
        <v>133</v>
      </c>
      <c r="P233" t="s">
        <v>58</v>
      </c>
      <c r="Q233" t="s">
        <v>821</v>
      </c>
      <c r="R233" t="s">
        <v>1059</v>
      </c>
      <c r="S233">
        <v>1</v>
      </c>
      <c r="T233" t="s">
        <v>72</v>
      </c>
      <c r="U233">
        <v>179</v>
      </c>
      <c r="V233" t="s">
        <v>62</v>
      </c>
    </row>
    <row r="234" spans="1:22" x14ac:dyDescent="0.3">
      <c r="A234" t="s">
        <v>1060</v>
      </c>
      <c r="B234" t="s">
        <v>555</v>
      </c>
      <c r="C234">
        <v>27</v>
      </c>
      <c r="D234" t="s">
        <v>51</v>
      </c>
      <c r="E234" t="s">
        <v>99</v>
      </c>
      <c r="F234" t="s">
        <v>26</v>
      </c>
      <c r="G234" t="s">
        <v>1061</v>
      </c>
      <c r="H234" t="s">
        <v>1062</v>
      </c>
      <c r="I234" t="s">
        <v>43</v>
      </c>
      <c r="J234" t="s">
        <v>30</v>
      </c>
      <c r="K234">
        <v>1</v>
      </c>
      <c r="L234">
        <v>46471</v>
      </c>
      <c r="M234">
        <v>10</v>
      </c>
      <c r="N234" t="s">
        <v>166</v>
      </c>
      <c r="O234" t="s">
        <v>86</v>
      </c>
      <c r="P234" t="s">
        <v>58</v>
      </c>
      <c r="Q234" t="s">
        <v>558</v>
      </c>
      <c r="R234" t="s">
        <v>1063</v>
      </c>
      <c r="S234">
        <v>5</v>
      </c>
      <c r="T234" t="s">
        <v>36</v>
      </c>
      <c r="U234">
        <v>99</v>
      </c>
      <c r="V234" t="s">
        <v>79</v>
      </c>
    </row>
    <row r="235" spans="1:22" x14ac:dyDescent="0.3">
      <c r="A235" t="s">
        <v>1064</v>
      </c>
      <c r="B235" t="s">
        <v>125</v>
      </c>
      <c r="C235">
        <v>23</v>
      </c>
      <c r="D235" t="s">
        <v>24</v>
      </c>
      <c r="E235" t="s">
        <v>52</v>
      </c>
      <c r="F235" t="s">
        <v>26</v>
      </c>
      <c r="G235" t="s">
        <v>1065</v>
      </c>
      <c r="H235" t="s">
        <v>1066</v>
      </c>
      <c r="I235" t="s">
        <v>85</v>
      </c>
      <c r="J235" t="s">
        <v>30</v>
      </c>
      <c r="K235">
        <v>4</v>
      </c>
      <c r="L235">
        <v>8639</v>
      </c>
      <c r="M235">
        <v>10</v>
      </c>
      <c r="N235" t="s">
        <v>166</v>
      </c>
      <c r="O235" t="s">
        <v>46</v>
      </c>
      <c r="P235" t="s">
        <v>58</v>
      </c>
      <c r="Q235" t="s">
        <v>756</v>
      </c>
      <c r="R235" t="s">
        <v>1067</v>
      </c>
      <c r="S235">
        <v>2</v>
      </c>
      <c r="T235" t="s">
        <v>36</v>
      </c>
      <c r="U235">
        <v>68</v>
      </c>
      <c r="V235" t="s">
        <v>37</v>
      </c>
    </row>
    <row r="236" spans="1:22" x14ac:dyDescent="0.3">
      <c r="A236" t="s">
        <v>1068</v>
      </c>
      <c r="B236" t="s">
        <v>808</v>
      </c>
      <c r="C236">
        <v>32</v>
      </c>
      <c r="D236" t="s">
        <v>51</v>
      </c>
      <c r="E236" t="s">
        <v>40</v>
      </c>
      <c r="F236" t="s">
        <v>53</v>
      </c>
      <c r="G236" t="s">
        <v>399</v>
      </c>
      <c r="H236" t="s">
        <v>1069</v>
      </c>
      <c r="I236" t="s">
        <v>77</v>
      </c>
      <c r="J236" t="s">
        <v>44</v>
      </c>
      <c r="K236">
        <v>5</v>
      </c>
      <c r="L236">
        <v>56558</v>
      </c>
      <c r="M236">
        <v>5</v>
      </c>
      <c r="N236" t="s">
        <v>45</v>
      </c>
      <c r="O236" t="s">
        <v>281</v>
      </c>
      <c r="P236" t="s">
        <v>58</v>
      </c>
      <c r="Q236" t="s">
        <v>191</v>
      </c>
      <c r="R236" t="s">
        <v>1070</v>
      </c>
      <c r="S236">
        <v>5</v>
      </c>
      <c r="T236" t="s">
        <v>36</v>
      </c>
      <c r="U236">
        <v>212</v>
      </c>
      <c r="V236" t="s">
        <v>79</v>
      </c>
    </row>
    <row r="237" spans="1:22" x14ac:dyDescent="0.3">
      <c r="A237" t="s">
        <v>1071</v>
      </c>
      <c r="B237" t="s">
        <v>1072</v>
      </c>
      <c r="C237">
        <v>36</v>
      </c>
      <c r="D237" t="s">
        <v>51</v>
      </c>
      <c r="E237" t="s">
        <v>131</v>
      </c>
      <c r="F237" t="s">
        <v>91</v>
      </c>
      <c r="G237" t="s">
        <v>27</v>
      </c>
      <c r="H237" t="s">
        <v>1073</v>
      </c>
      <c r="I237" t="s">
        <v>93</v>
      </c>
      <c r="J237" t="s">
        <v>44</v>
      </c>
      <c r="K237">
        <v>3</v>
      </c>
      <c r="L237">
        <v>18757</v>
      </c>
      <c r="M237">
        <v>0</v>
      </c>
      <c r="N237" t="s">
        <v>166</v>
      </c>
      <c r="O237" t="s">
        <v>32</v>
      </c>
      <c r="P237" t="s">
        <v>58</v>
      </c>
      <c r="Q237" t="s">
        <v>647</v>
      </c>
      <c r="R237" t="s">
        <v>1074</v>
      </c>
      <c r="S237">
        <v>2</v>
      </c>
      <c r="T237" t="s">
        <v>72</v>
      </c>
      <c r="U237">
        <v>339</v>
      </c>
      <c r="V237" t="s">
        <v>62</v>
      </c>
    </row>
    <row r="238" spans="1:22" x14ac:dyDescent="0.3">
      <c r="A238" t="s">
        <v>1075</v>
      </c>
      <c r="B238" t="s">
        <v>125</v>
      </c>
      <c r="C238">
        <v>22</v>
      </c>
      <c r="D238" t="s">
        <v>24</v>
      </c>
      <c r="E238" t="s">
        <v>99</v>
      </c>
      <c r="F238" t="s">
        <v>65</v>
      </c>
      <c r="G238" t="s">
        <v>1076</v>
      </c>
      <c r="H238" t="s">
        <v>1077</v>
      </c>
      <c r="I238" t="s">
        <v>77</v>
      </c>
      <c r="J238" t="s">
        <v>44</v>
      </c>
      <c r="K238">
        <v>3</v>
      </c>
      <c r="L238">
        <v>28930</v>
      </c>
      <c r="M238">
        <v>0</v>
      </c>
      <c r="N238" t="s">
        <v>166</v>
      </c>
      <c r="O238" t="s">
        <v>46</v>
      </c>
      <c r="P238" t="s">
        <v>58</v>
      </c>
      <c r="Q238" t="s">
        <v>756</v>
      </c>
      <c r="R238" t="s">
        <v>1078</v>
      </c>
      <c r="S238">
        <v>4</v>
      </c>
      <c r="T238" t="s">
        <v>72</v>
      </c>
      <c r="U238">
        <v>58</v>
      </c>
      <c r="V238" t="s">
        <v>37</v>
      </c>
    </row>
    <row r="239" spans="1:22" x14ac:dyDescent="0.3">
      <c r="A239" t="s">
        <v>1079</v>
      </c>
      <c r="B239" t="s">
        <v>1080</v>
      </c>
      <c r="C239">
        <v>28</v>
      </c>
      <c r="D239" t="s">
        <v>24</v>
      </c>
      <c r="E239" t="s">
        <v>229</v>
      </c>
      <c r="F239" t="s">
        <v>53</v>
      </c>
      <c r="G239" t="s">
        <v>1081</v>
      </c>
      <c r="H239" t="s">
        <v>273</v>
      </c>
      <c r="I239" t="s">
        <v>85</v>
      </c>
      <c r="J239" t="s">
        <v>30</v>
      </c>
      <c r="K239">
        <v>3</v>
      </c>
      <c r="L239">
        <v>77893</v>
      </c>
      <c r="M239">
        <v>15</v>
      </c>
      <c r="N239" t="s">
        <v>56</v>
      </c>
      <c r="O239" t="s">
        <v>173</v>
      </c>
      <c r="P239" t="s">
        <v>174</v>
      </c>
      <c r="Q239" t="s">
        <v>1082</v>
      </c>
      <c r="R239" t="s">
        <v>1083</v>
      </c>
      <c r="S239">
        <v>3</v>
      </c>
      <c r="T239" t="s">
        <v>72</v>
      </c>
      <c r="U239">
        <v>296</v>
      </c>
      <c r="V239" t="s">
        <v>37</v>
      </c>
    </row>
    <row r="240" spans="1:22" x14ac:dyDescent="0.3">
      <c r="A240" t="s">
        <v>1084</v>
      </c>
      <c r="B240" t="s">
        <v>933</v>
      </c>
      <c r="C240">
        <v>50</v>
      </c>
      <c r="D240" t="s">
        <v>163</v>
      </c>
      <c r="E240" t="s">
        <v>142</v>
      </c>
      <c r="F240" t="s">
        <v>65</v>
      </c>
      <c r="G240" t="s">
        <v>670</v>
      </c>
      <c r="H240" t="s">
        <v>1085</v>
      </c>
      <c r="I240" t="s">
        <v>43</v>
      </c>
      <c r="J240" t="s">
        <v>30</v>
      </c>
      <c r="K240">
        <v>2</v>
      </c>
      <c r="L240">
        <v>79503</v>
      </c>
      <c r="M240">
        <v>5</v>
      </c>
      <c r="N240" t="s">
        <v>166</v>
      </c>
      <c r="O240" t="s">
        <v>46</v>
      </c>
      <c r="P240" t="s">
        <v>69</v>
      </c>
      <c r="Q240" t="s">
        <v>935</v>
      </c>
      <c r="S240">
        <v>1</v>
      </c>
      <c r="T240" t="s">
        <v>36</v>
      </c>
      <c r="U240">
        <v>153</v>
      </c>
      <c r="V240" t="s">
        <v>62</v>
      </c>
    </row>
    <row r="241" spans="1:22" x14ac:dyDescent="0.3">
      <c r="A241" t="s">
        <v>1086</v>
      </c>
      <c r="B241" t="s">
        <v>39</v>
      </c>
      <c r="C241">
        <v>30</v>
      </c>
      <c r="D241" t="s">
        <v>51</v>
      </c>
      <c r="E241" t="s">
        <v>99</v>
      </c>
      <c r="F241" t="s">
        <v>53</v>
      </c>
      <c r="G241" t="s">
        <v>363</v>
      </c>
      <c r="H241" t="s">
        <v>1087</v>
      </c>
      <c r="I241" t="s">
        <v>43</v>
      </c>
      <c r="J241" t="s">
        <v>30</v>
      </c>
      <c r="K241">
        <v>5</v>
      </c>
      <c r="L241">
        <v>21205</v>
      </c>
      <c r="M241">
        <v>0</v>
      </c>
      <c r="N241" t="s">
        <v>166</v>
      </c>
      <c r="O241" t="s">
        <v>133</v>
      </c>
      <c r="P241" t="s">
        <v>174</v>
      </c>
      <c r="Q241" t="s">
        <v>47</v>
      </c>
      <c r="S241">
        <v>2</v>
      </c>
      <c r="T241" t="s">
        <v>72</v>
      </c>
      <c r="U241">
        <v>81</v>
      </c>
      <c r="V241" t="s">
        <v>62</v>
      </c>
    </row>
    <row r="242" spans="1:22" x14ac:dyDescent="0.3">
      <c r="A242" t="s">
        <v>1088</v>
      </c>
      <c r="B242" t="s">
        <v>617</v>
      </c>
      <c r="C242">
        <v>44</v>
      </c>
      <c r="D242" t="s">
        <v>24</v>
      </c>
      <c r="E242" t="s">
        <v>131</v>
      </c>
      <c r="F242" t="s">
        <v>82</v>
      </c>
      <c r="G242" t="s">
        <v>1089</v>
      </c>
      <c r="H242" t="s">
        <v>1090</v>
      </c>
      <c r="I242" t="s">
        <v>77</v>
      </c>
      <c r="J242" t="s">
        <v>44</v>
      </c>
      <c r="K242">
        <v>3</v>
      </c>
      <c r="L242">
        <v>12675</v>
      </c>
      <c r="M242">
        <v>0</v>
      </c>
      <c r="N242" t="s">
        <v>31</v>
      </c>
      <c r="O242" t="s">
        <v>173</v>
      </c>
      <c r="P242" t="s">
        <v>69</v>
      </c>
      <c r="Q242" t="s">
        <v>620</v>
      </c>
      <c r="R242" t="s">
        <v>1091</v>
      </c>
      <c r="S242">
        <v>2</v>
      </c>
      <c r="T242" t="s">
        <v>36</v>
      </c>
      <c r="U242">
        <v>354</v>
      </c>
      <c r="V242" t="s">
        <v>79</v>
      </c>
    </row>
    <row r="243" spans="1:22" x14ac:dyDescent="0.3">
      <c r="A243" t="s">
        <v>1092</v>
      </c>
      <c r="B243" t="s">
        <v>1080</v>
      </c>
      <c r="C243">
        <v>33</v>
      </c>
      <c r="D243" t="s">
        <v>51</v>
      </c>
      <c r="E243" t="s">
        <v>229</v>
      </c>
      <c r="F243" t="s">
        <v>26</v>
      </c>
      <c r="G243" t="s">
        <v>345</v>
      </c>
      <c r="H243" t="s">
        <v>394</v>
      </c>
      <c r="I243" t="s">
        <v>93</v>
      </c>
      <c r="J243" t="s">
        <v>44</v>
      </c>
      <c r="K243">
        <v>2</v>
      </c>
      <c r="L243">
        <v>9134</v>
      </c>
      <c r="M243">
        <v>0</v>
      </c>
      <c r="N243" t="s">
        <v>45</v>
      </c>
      <c r="O243" t="s">
        <v>46</v>
      </c>
      <c r="P243" t="s">
        <v>69</v>
      </c>
      <c r="Q243" t="s">
        <v>1082</v>
      </c>
      <c r="S243">
        <v>3</v>
      </c>
      <c r="T243" t="s">
        <v>72</v>
      </c>
      <c r="U243">
        <v>85</v>
      </c>
      <c r="V243" t="s">
        <v>37</v>
      </c>
    </row>
    <row r="244" spans="1:22" x14ac:dyDescent="0.3">
      <c r="A244" t="s">
        <v>1093</v>
      </c>
      <c r="B244" t="s">
        <v>803</v>
      </c>
      <c r="C244">
        <v>46</v>
      </c>
      <c r="D244" t="s">
        <v>24</v>
      </c>
      <c r="E244" t="s">
        <v>99</v>
      </c>
      <c r="F244" t="s">
        <v>26</v>
      </c>
      <c r="G244" t="s">
        <v>1094</v>
      </c>
      <c r="H244" t="s">
        <v>165</v>
      </c>
      <c r="I244" t="s">
        <v>29</v>
      </c>
      <c r="J244" t="s">
        <v>30</v>
      </c>
      <c r="K244">
        <v>1</v>
      </c>
      <c r="L244">
        <v>20157</v>
      </c>
      <c r="M244">
        <v>15</v>
      </c>
      <c r="N244" t="s">
        <v>45</v>
      </c>
      <c r="O244" t="s">
        <v>86</v>
      </c>
      <c r="P244" t="s">
        <v>58</v>
      </c>
      <c r="Q244" t="s">
        <v>805</v>
      </c>
      <c r="R244" t="s">
        <v>1095</v>
      </c>
      <c r="S244">
        <v>3</v>
      </c>
      <c r="T244" t="s">
        <v>96</v>
      </c>
      <c r="U244">
        <v>495</v>
      </c>
      <c r="V244" t="s">
        <v>79</v>
      </c>
    </row>
    <row r="245" spans="1:22" x14ac:dyDescent="0.3">
      <c r="A245" t="s">
        <v>1096</v>
      </c>
      <c r="B245" t="s">
        <v>136</v>
      </c>
      <c r="C245">
        <v>37</v>
      </c>
      <c r="D245" t="s">
        <v>51</v>
      </c>
      <c r="E245" t="s">
        <v>99</v>
      </c>
      <c r="F245" t="s">
        <v>65</v>
      </c>
      <c r="G245" t="s">
        <v>1097</v>
      </c>
      <c r="H245" t="s">
        <v>800</v>
      </c>
      <c r="I245" t="s">
        <v>29</v>
      </c>
      <c r="J245" t="s">
        <v>30</v>
      </c>
      <c r="K245">
        <v>1</v>
      </c>
      <c r="M245">
        <v>5</v>
      </c>
      <c r="N245" t="s">
        <v>31</v>
      </c>
      <c r="O245" t="s">
        <v>102</v>
      </c>
      <c r="P245" t="s">
        <v>174</v>
      </c>
      <c r="R245" t="s">
        <v>1098</v>
      </c>
      <c r="S245">
        <v>2</v>
      </c>
      <c r="T245" t="s">
        <v>36</v>
      </c>
      <c r="U245">
        <v>462</v>
      </c>
      <c r="V245" t="s">
        <v>62</v>
      </c>
    </row>
    <row r="246" spans="1:22" x14ac:dyDescent="0.3">
      <c r="A246" t="s">
        <v>1099</v>
      </c>
      <c r="B246" t="s">
        <v>361</v>
      </c>
      <c r="C246">
        <v>41</v>
      </c>
      <c r="D246" t="s">
        <v>51</v>
      </c>
      <c r="E246" t="s">
        <v>25</v>
      </c>
      <c r="F246" t="s">
        <v>53</v>
      </c>
      <c r="G246" t="s">
        <v>1100</v>
      </c>
      <c r="H246" t="s">
        <v>960</v>
      </c>
      <c r="I246" t="s">
        <v>77</v>
      </c>
      <c r="J246" t="s">
        <v>44</v>
      </c>
      <c r="K246">
        <v>5</v>
      </c>
      <c r="L246">
        <v>17988</v>
      </c>
      <c r="M246">
        <v>15</v>
      </c>
      <c r="N246" t="s">
        <v>166</v>
      </c>
      <c r="O246" t="s">
        <v>57</v>
      </c>
      <c r="P246" t="s">
        <v>33</v>
      </c>
      <c r="Q246" t="s">
        <v>364</v>
      </c>
      <c r="R246" t="s">
        <v>1101</v>
      </c>
      <c r="S246">
        <v>3</v>
      </c>
      <c r="T246" t="s">
        <v>96</v>
      </c>
      <c r="U246">
        <v>98</v>
      </c>
      <c r="V246" t="s">
        <v>62</v>
      </c>
    </row>
    <row r="247" spans="1:22" x14ac:dyDescent="0.3">
      <c r="A247" t="s">
        <v>1102</v>
      </c>
      <c r="B247" t="s">
        <v>1103</v>
      </c>
      <c r="C247">
        <v>27</v>
      </c>
      <c r="D247" t="s">
        <v>24</v>
      </c>
      <c r="E247" t="s">
        <v>26</v>
      </c>
      <c r="F247" t="s">
        <v>82</v>
      </c>
      <c r="G247" t="s">
        <v>1104</v>
      </c>
      <c r="H247" t="s">
        <v>690</v>
      </c>
      <c r="I247" t="s">
        <v>93</v>
      </c>
      <c r="J247" t="s">
        <v>44</v>
      </c>
      <c r="K247">
        <v>3</v>
      </c>
      <c r="L247">
        <v>42646</v>
      </c>
      <c r="M247">
        <v>5</v>
      </c>
      <c r="N247" t="s">
        <v>45</v>
      </c>
      <c r="O247" t="s">
        <v>133</v>
      </c>
      <c r="P247" t="s">
        <v>174</v>
      </c>
      <c r="Q247" t="s">
        <v>1105</v>
      </c>
      <c r="R247" t="s">
        <v>1106</v>
      </c>
      <c r="S247">
        <v>2</v>
      </c>
      <c r="T247" t="s">
        <v>61</v>
      </c>
      <c r="U247">
        <v>432</v>
      </c>
      <c r="V247" t="s">
        <v>37</v>
      </c>
    </row>
    <row r="248" spans="1:22" x14ac:dyDescent="0.3">
      <c r="A248" t="s">
        <v>1107</v>
      </c>
      <c r="B248" t="s">
        <v>617</v>
      </c>
      <c r="C248">
        <v>23</v>
      </c>
      <c r="D248" t="s">
        <v>51</v>
      </c>
      <c r="E248" t="s">
        <v>52</v>
      </c>
      <c r="F248" t="s">
        <v>26</v>
      </c>
      <c r="G248" t="s">
        <v>852</v>
      </c>
      <c r="H248" t="s">
        <v>696</v>
      </c>
      <c r="I248" t="s">
        <v>85</v>
      </c>
      <c r="J248" t="s">
        <v>44</v>
      </c>
      <c r="K248">
        <v>5</v>
      </c>
      <c r="L248">
        <v>22982</v>
      </c>
      <c r="M248">
        <v>5</v>
      </c>
      <c r="N248" t="s">
        <v>56</v>
      </c>
      <c r="O248" t="s">
        <v>133</v>
      </c>
      <c r="P248" t="s">
        <v>69</v>
      </c>
      <c r="Q248" t="s">
        <v>620</v>
      </c>
      <c r="R248" t="s">
        <v>1108</v>
      </c>
      <c r="S248">
        <v>2</v>
      </c>
      <c r="T248" t="s">
        <v>61</v>
      </c>
      <c r="U248">
        <v>260</v>
      </c>
      <c r="V248" t="s">
        <v>79</v>
      </c>
    </row>
    <row r="249" spans="1:22" x14ac:dyDescent="0.3">
      <c r="A249" t="s">
        <v>1109</v>
      </c>
      <c r="B249" t="s">
        <v>527</v>
      </c>
      <c r="C249">
        <v>47</v>
      </c>
      <c r="D249" t="s">
        <v>24</v>
      </c>
      <c r="E249" t="s">
        <v>52</v>
      </c>
      <c r="F249" t="s">
        <v>91</v>
      </c>
      <c r="G249" t="s">
        <v>1110</v>
      </c>
      <c r="H249" t="s">
        <v>143</v>
      </c>
      <c r="I249" t="s">
        <v>108</v>
      </c>
      <c r="J249" t="s">
        <v>44</v>
      </c>
      <c r="L249">
        <v>22987</v>
      </c>
      <c r="M249">
        <v>10</v>
      </c>
      <c r="N249" t="s">
        <v>45</v>
      </c>
      <c r="O249" t="s">
        <v>32</v>
      </c>
      <c r="P249" t="s">
        <v>58</v>
      </c>
      <c r="Q249" t="s">
        <v>530</v>
      </c>
      <c r="R249" t="s">
        <v>1111</v>
      </c>
      <c r="S249">
        <v>5</v>
      </c>
      <c r="T249" t="s">
        <v>61</v>
      </c>
      <c r="U249">
        <v>111</v>
      </c>
      <c r="V249" t="s">
        <v>62</v>
      </c>
    </row>
    <row r="250" spans="1:22" x14ac:dyDescent="0.3">
      <c r="A250" t="s">
        <v>1112</v>
      </c>
      <c r="B250" t="s">
        <v>1113</v>
      </c>
      <c r="C250">
        <v>27</v>
      </c>
      <c r="D250" t="s">
        <v>24</v>
      </c>
      <c r="E250" t="s">
        <v>99</v>
      </c>
      <c r="F250" t="s">
        <v>53</v>
      </c>
      <c r="G250" t="s">
        <v>223</v>
      </c>
      <c r="H250" t="s">
        <v>1114</v>
      </c>
      <c r="I250" t="s">
        <v>85</v>
      </c>
      <c r="J250" t="s">
        <v>44</v>
      </c>
      <c r="K250">
        <v>4</v>
      </c>
      <c r="L250">
        <v>77987</v>
      </c>
      <c r="M250">
        <v>10</v>
      </c>
      <c r="N250" t="s">
        <v>166</v>
      </c>
      <c r="O250" t="s">
        <v>32</v>
      </c>
      <c r="P250" t="s">
        <v>174</v>
      </c>
      <c r="S250">
        <v>5</v>
      </c>
      <c r="T250" t="s">
        <v>96</v>
      </c>
      <c r="U250">
        <v>204</v>
      </c>
      <c r="V250" t="s">
        <v>37</v>
      </c>
    </row>
    <row r="251" spans="1:22" x14ac:dyDescent="0.3">
      <c r="A251" t="s">
        <v>1115</v>
      </c>
      <c r="B251" t="s">
        <v>272</v>
      </c>
      <c r="C251">
        <v>25</v>
      </c>
      <c r="D251" t="s">
        <v>51</v>
      </c>
      <c r="E251" t="s">
        <v>131</v>
      </c>
      <c r="F251" t="s">
        <v>53</v>
      </c>
      <c r="G251" t="s">
        <v>1005</v>
      </c>
      <c r="H251" t="s">
        <v>358</v>
      </c>
      <c r="I251" t="s">
        <v>77</v>
      </c>
      <c r="J251" t="s">
        <v>30</v>
      </c>
      <c r="K251">
        <v>2</v>
      </c>
      <c r="L251">
        <v>63642</v>
      </c>
      <c r="M251">
        <v>5</v>
      </c>
      <c r="N251" t="s">
        <v>31</v>
      </c>
      <c r="O251" t="s">
        <v>32</v>
      </c>
      <c r="P251" t="s">
        <v>174</v>
      </c>
      <c r="Q251" t="s">
        <v>275</v>
      </c>
      <c r="R251" t="s">
        <v>1116</v>
      </c>
      <c r="S251">
        <v>5</v>
      </c>
      <c r="T251" t="s">
        <v>72</v>
      </c>
      <c r="U251">
        <v>184</v>
      </c>
      <c r="V251" t="s">
        <v>62</v>
      </c>
    </row>
    <row r="252" spans="1:22" x14ac:dyDescent="0.3">
      <c r="A252" t="s">
        <v>1117</v>
      </c>
      <c r="B252" t="s">
        <v>1118</v>
      </c>
      <c r="C252">
        <v>60</v>
      </c>
      <c r="D252" t="s">
        <v>51</v>
      </c>
      <c r="E252" t="s">
        <v>52</v>
      </c>
      <c r="F252" t="s">
        <v>53</v>
      </c>
      <c r="G252" t="s">
        <v>398</v>
      </c>
      <c r="H252" t="s">
        <v>1119</v>
      </c>
      <c r="I252" t="s">
        <v>43</v>
      </c>
      <c r="J252" t="s">
        <v>30</v>
      </c>
      <c r="K252">
        <v>1</v>
      </c>
      <c r="L252">
        <v>5765</v>
      </c>
      <c r="M252">
        <v>5</v>
      </c>
      <c r="N252" t="s">
        <v>56</v>
      </c>
      <c r="O252" t="s">
        <v>46</v>
      </c>
      <c r="P252" t="s">
        <v>33</v>
      </c>
      <c r="Q252" t="s">
        <v>1120</v>
      </c>
      <c r="R252" t="s">
        <v>1121</v>
      </c>
      <c r="S252">
        <v>3</v>
      </c>
      <c r="T252" t="s">
        <v>61</v>
      </c>
      <c r="U252">
        <v>62</v>
      </c>
      <c r="V252" t="s">
        <v>37</v>
      </c>
    </row>
    <row r="253" spans="1:22" x14ac:dyDescent="0.3">
      <c r="A253" t="s">
        <v>1122</v>
      </c>
      <c r="B253" t="s">
        <v>338</v>
      </c>
      <c r="C253">
        <v>19</v>
      </c>
      <c r="D253" t="s">
        <v>24</v>
      </c>
      <c r="E253" t="s">
        <v>99</v>
      </c>
      <c r="F253" t="s">
        <v>26</v>
      </c>
      <c r="G253" t="s">
        <v>1123</v>
      </c>
      <c r="H253" t="s">
        <v>894</v>
      </c>
      <c r="I253" t="s">
        <v>93</v>
      </c>
      <c r="J253" t="s">
        <v>30</v>
      </c>
      <c r="K253">
        <v>2</v>
      </c>
      <c r="L253">
        <v>70551</v>
      </c>
      <c r="M253">
        <v>0</v>
      </c>
      <c r="N253" t="s">
        <v>31</v>
      </c>
      <c r="O253" t="s">
        <v>86</v>
      </c>
      <c r="P253" t="s">
        <v>58</v>
      </c>
      <c r="R253" t="s">
        <v>1124</v>
      </c>
      <c r="S253">
        <v>1</v>
      </c>
      <c r="T253" t="s">
        <v>96</v>
      </c>
      <c r="U253">
        <v>68</v>
      </c>
      <c r="V253" t="s">
        <v>37</v>
      </c>
    </row>
    <row r="254" spans="1:22" x14ac:dyDescent="0.3">
      <c r="A254" t="s">
        <v>1125</v>
      </c>
      <c r="B254" t="s">
        <v>333</v>
      </c>
      <c r="C254">
        <v>57</v>
      </c>
      <c r="D254" t="s">
        <v>24</v>
      </c>
      <c r="E254" t="s">
        <v>131</v>
      </c>
      <c r="F254" t="s">
        <v>82</v>
      </c>
      <c r="G254" t="s">
        <v>1126</v>
      </c>
      <c r="H254" t="s">
        <v>1127</v>
      </c>
      <c r="I254" t="s">
        <v>29</v>
      </c>
      <c r="J254" t="s">
        <v>44</v>
      </c>
      <c r="K254">
        <v>3</v>
      </c>
      <c r="L254">
        <v>53547</v>
      </c>
      <c r="M254">
        <v>0</v>
      </c>
      <c r="N254" t="s">
        <v>45</v>
      </c>
      <c r="O254" t="s">
        <v>46</v>
      </c>
      <c r="P254" t="s">
        <v>58</v>
      </c>
      <c r="Q254" t="s">
        <v>336</v>
      </c>
      <c r="R254" t="s">
        <v>1128</v>
      </c>
      <c r="S254">
        <v>2</v>
      </c>
      <c r="T254" t="s">
        <v>36</v>
      </c>
      <c r="U254">
        <v>330</v>
      </c>
      <c r="V254" t="s">
        <v>79</v>
      </c>
    </row>
    <row r="255" spans="1:22" x14ac:dyDescent="0.3">
      <c r="A255" t="s">
        <v>1129</v>
      </c>
      <c r="B255" t="s">
        <v>222</v>
      </c>
      <c r="C255">
        <v>47</v>
      </c>
      <c r="D255" t="s">
        <v>51</v>
      </c>
      <c r="E255" t="s">
        <v>40</v>
      </c>
      <c r="F255" t="s">
        <v>82</v>
      </c>
      <c r="G255" t="s">
        <v>236</v>
      </c>
      <c r="H255" t="s">
        <v>185</v>
      </c>
      <c r="I255" t="s">
        <v>108</v>
      </c>
      <c r="J255" t="s">
        <v>30</v>
      </c>
      <c r="K255">
        <v>5</v>
      </c>
      <c r="L255">
        <v>8455</v>
      </c>
      <c r="M255">
        <v>10</v>
      </c>
      <c r="N255" t="s">
        <v>56</v>
      </c>
      <c r="O255" t="s">
        <v>173</v>
      </c>
      <c r="P255" t="s">
        <v>174</v>
      </c>
      <c r="Q255" t="s">
        <v>225</v>
      </c>
      <c r="R255" t="s">
        <v>1130</v>
      </c>
      <c r="S255">
        <v>2</v>
      </c>
      <c r="T255" t="s">
        <v>96</v>
      </c>
      <c r="U255">
        <v>83</v>
      </c>
      <c r="V255" t="s">
        <v>79</v>
      </c>
    </row>
    <row r="256" spans="1:22" x14ac:dyDescent="0.3">
      <c r="A256" t="s">
        <v>1131</v>
      </c>
      <c r="B256" t="s">
        <v>684</v>
      </c>
      <c r="C256">
        <v>54</v>
      </c>
      <c r="D256" t="s">
        <v>24</v>
      </c>
      <c r="E256" t="s">
        <v>131</v>
      </c>
      <c r="F256" t="s">
        <v>65</v>
      </c>
      <c r="G256" t="s">
        <v>106</v>
      </c>
      <c r="H256" t="s">
        <v>305</v>
      </c>
      <c r="I256" t="s">
        <v>77</v>
      </c>
      <c r="J256" t="s">
        <v>44</v>
      </c>
      <c r="K256">
        <v>4</v>
      </c>
      <c r="L256">
        <v>61172</v>
      </c>
      <c r="M256">
        <v>5</v>
      </c>
      <c r="N256" t="s">
        <v>45</v>
      </c>
      <c r="O256" t="s">
        <v>133</v>
      </c>
      <c r="P256" t="s">
        <v>69</v>
      </c>
      <c r="Q256" t="s">
        <v>785</v>
      </c>
      <c r="R256" t="s">
        <v>1132</v>
      </c>
      <c r="S256">
        <v>1</v>
      </c>
      <c r="T256" t="s">
        <v>72</v>
      </c>
      <c r="U256">
        <v>235</v>
      </c>
      <c r="V256" t="s">
        <v>62</v>
      </c>
    </row>
    <row r="257" spans="1:22" x14ac:dyDescent="0.3">
      <c r="A257" t="s">
        <v>1133</v>
      </c>
      <c r="B257" t="s">
        <v>707</v>
      </c>
      <c r="C257">
        <v>55</v>
      </c>
      <c r="D257" t="s">
        <v>24</v>
      </c>
      <c r="E257" t="s">
        <v>131</v>
      </c>
      <c r="F257" t="s">
        <v>91</v>
      </c>
      <c r="G257" t="s">
        <v>1134</v>
      </c>
      <c r="H257" t="s">
        <v>1135</v>
      </c>
      <c r="I257" t="s">
        <v>29</v>
      </c>
      <c r="J257" t="s">
        <v>30</v>
      </c>
      <c r="K257">
        <v>5</v>
      </c>
      <c r="L257">
        <v>65035</v>
      </c>
      <c r="M257">
        <v>10</v>
      </c>
      <c r="N257" t="s">
        <v>56</v>
      </c>
      <c r="O257" t="s">
        <v>281</v>
      </c>
      <c r="P257" t="s">
        <v>33</v>
      </c>
      <c r="Q257" t="s">
        <v>709</v>
      </c>
      <c r="R257" t="s">
        <v>1136</v>
      </c>
      <c r="S257">
        <v>5</v>
      </c>
      <c r="T257" t="s">
        <v>61</v>
      </c>
      <c r="U257">
        <v>368</v>
      </c>
      <c r="V257" t="s">
        <v>37</v>
      </c>
    </row>
    <row r="258" spans="1:22" x14ac:dyDescent="0.3">
      <c r="A258" t="s">
        <v>1137</v>
      </c>
      <c r="B258" t="s">
        <v>1138</v>
      </c>
      <c r="C258">
        <v>54</v>
      </c>
      <c r="D258" t="s">
        <v>51</v>
      </c>
      <c r="E258" t="s">
        <v>26</v>
      </c>
      <c r="F258" t="s">
        <v>91</v>
      </c>
      <c r="G258" t="s">
        <v>1139</v>
      </c>
      <c r="H258" t="s">
        <v>542</v>
      </c>
      <c r="I258" t="s">
        <v>29</v>
      </c>
      <c r="J258" t="s">
        <v>44</v>
      </c>
      <c r="K258">
        <v>3</v>
      </c>
      <c r="L258">
        <v>71993</v>
      </c>
      <c r="M258">
        <v>10</v>
      </c>
      <c r="N258" t="s">
        <v>56</v>
      </c>
      <c r="O258" t="s">
        <v>173</v>
      </c>
      <c r="P258" t="s">
        <v>174</v>
      </c>
      <c r="Q258" t="s">
        <v>591</v>
      </c>
      <c r="R258" t="s">
        <v>1140</v>
      </c>
      <c r="S258">
        <v>1</v>
      </c>
      <c r="T258" t="s">
        <v>72</v>
      </c>
      <c r="U258">
        <v>453</v>
      </c>
      <c r="V258" t="s">
        <v>37</v>
      </c>
    </row>
    <row r="259" spans="1:22" x14ac:dyDescent="0.3">
      <c r="A259" t="s">
        <v>1141</v>
      </c>
      <c r="B259" t="s">
        <v>182</v>
      </c>
      <c r="C259">
        <v>52</v>
      </c>
      <c r="D259" t="s">
        <v>24</v>
      </c>
      <c r="E259" t="s">
        <v>142</v>
      </c>
      <c r="F259" t="s">
        <v>65</v>
      </c>
      <c r="G259" t="s">
        <v>1142</v>
      </c>
      <c r="H259" t="s">
        <v>1143</v>
      </c>
      <c r="I259" t="s">
        <v>85</v>
      </c>
      <c r="J259" t="s">
        <v>30</v>
      </c>
      <c r="K259">
        <v>2</v>
      </c>
      <c r="L259">
        <v>66877</v>
      </c>
      <c r="M259">
        <v>10</v>
      </c>
      <c r="N259" t="s">
        <v>31</v>
      </c>
      <c r="O259" t="s">
        <v>102</v>
      </c>
      <c r="P259" t="s">
        <v>33</v>
      </c>
      <c r="Q259" t="s">
        <v>186</v>
      </c>
      <c r="R259" t="s">
        <v>1144</v>
      </c>
      <c r="S259">
        <v>3</v>
      </c>
      <c r="T259" t="s">
        <v>61</v>
      </c>
      <c r="U259">
        <v>269</v>
      </c>
      <c r="V259" t="s">
        <v>79</v>
      </c>
    </row>
    <row r="260" spans="1:22" x14ac:dyDescent="0.3">
      <c r="A260" t="s">
        <v>1145</v>
      </c>
      <c r="B260" t="s">
        <v>840</v>
      </c>
      <c r="C260">
        <v>44</v>
      </c>
      <c r="D260" t="s">
        <v>24</v>
      </c>
      <c r="E260" t="s">
        <v>26</v>
      </c>
      <c r="F260" t="s">
        <v>26</v>
      </c>
      <c r="G260" t="s">
        <v>534</v>
      </c>
      <c r="H260" t="s">
        <v>1146</v>
      </c>
      <c r="I260" t="s">
        <v>43</v>
      </c>
      <c r="J260" t="s">
        <v>44</v>
      </c>
      <c r="K260">
        <v>4</v>
      </c>
      <c r="L260">
        <v>25034</v>
      </c>
      <c r="M260">
        <v>5</v>
      </c>
      <c r="N260" t="s">
        <v>31</v>
      </c>
      <c r="O260" t="s">
        <v>173</v>
      </c>
      <c r="P260" t="s">
        <v>69</v>
      </c>
      <c r="Q260" t="s">
        <v>1147</v>
      </c>
      <c r="R260" t="s">
        <v>1148</v>
      </c>
      <c r="S260">
        <v>2</v>
      </c>
      <c r="T260" t="s">
        <v>36</v>
      </c>
      <c r="U260">
        <v>322</v>
      </c>
      <c r="V260" t="s">
        <v>62</v>
      </c>
    </row>
    <row r="261" spans="1:22" x14ac:dyDescent="0.3">
      <c r="A261" t="s">
        <v>1149</v>
      </c>
      <c r="B261" t="s">
        <v>193</v>
      </c>
      <c r="C261">
        <v>43</v>
      </c>
      <c r="D261" t="s">
        <v>51</v>
      </c>
      <c r="E261" t="s">
        <v>52</v>
      </c>
      <c r="F261" t="s">
        <v>26</v>
      </c>
      <c r="G261" t="s">
        <v>1150</v>
      </c>
      <c r="H261" t="s">
        <v>1151</v>
      </c>
      <c r="I261" t="s">
        <v>93</v>
      </c>
      <c r="J261" t="s">
        <v>30</v>
      </c>
      <c r="K261">
        <v>1</v>
      </c>
      <c r="L261">
        <v>59706</v>
      </c>
      <c r="M261">
        <v>15</v>
      </c>
      <c r="N261" t="s">
        <v>166</v>
      </c>
      <c r="O261" t="s">
        <v>281</v>
      </c>
      <c r="P261" t="s">
        <v>58</v>
      </c>
      <c r="Q261" t="s">
        <v>195</v>
      </c>
      <c r="R261" t="s">
        <v>1152</v>
      </c>
      <c r="S261">
        <v>4</v>
      </c>
      <c r="T261" t="s">
        <v>61</v>
      </c>
      <c r="U261">
        <v>156</v>
      </c>
      <c r="V261" t="s">
        <v>62</v>
      </c>
    </row>
    <row r="262" spans="1:22" x14ac:dyDescent="0.3">
      <c r="A262" t="s">
        <v>1153</v>
      </c>
      <c r="B262" t="s">
        <v>606</v>
      </c>
      <c r="C262">
        <v>18</v>
      </c>
      <c r="D262" t="s">
        <v>24</v>
      </c>
      <c r="E262" t="s">
        <v>26</v>
      </c>
      <c r="F262" t="s">
        <v>91</v>
      </c>
      <c r="G262" t="s">
        <v>942</v>
      </c>
      <c r="H262" t="s">
        <v>874</v>
      </c>
      <c r="I262" t="s">
        <v>77</v>
      </c>
      <c r="J262" t="s">
        <v>44</v>
      </c>
      <c r="K262">
        <v>2</v>
      </c>
      <c r="L262">
        <v>51921</v>
      </c>
      <c r="M262">
        <v>15</v>
      </c>
      <c r="N262" t="s">
        <v>31</v>
      </c>
      <c r="O262" t="s">
        <v>102</v>
      </c>
      <c r="P262" t="s">
        <v>69</v>
      </c>
      <c r="Q262" t="s">
        <v>608</v>
      </c>
      <c r="R262" t="s">
        <v>1154</v>
      </c>
      <c r="S262">
        <v>5</v>
      </c>
      <c r="T262" t="s">
        <v>96</v>
      </c>
      <c r="U262">
        <v>67</v>
      </c>
      <c r="V262" t="s">
        <v>62</v>
      </c>
    </row>
    <row r="263" spans="1:22" x14ac:dyDescent="0.3">
      <c r="A263" t="s">
        <v>1155</v>
      </c>
      <c r="B263" t="s">
        <v>689</v>
      </c>
      <c r="C263">
        <v>25</v>
      </c>
      <c r="D263" t="s">
        <v>24</v>
      </c>
      <c r="E263" t="s">
        <v>142</v>
      </c>
      <c r="F263" t="s">
        <v>26</v>
      </c>
      <c r="G263" t="s">
        <v>1156</v>
      </c>
      <c r="H263" t="s">
        <v>171</v>
      </c>
      <c r="I263" t="s">
        <v>93</v>
      </c>
      <c r="J263" t="s">
        <v>44</v>
      </c>
      <c r="K263">
        <v>1</v>
      </c>
      <c r="L263">
        <v>37533</v>
      </c>
      <c r="M263">
        <v>10</v>
      </c>
      <c r="N263" t="s">
        <v>56</v>
      </c>
      <c r="O263" t="s">
        <v>86</v>
      </c>
      <c r="P263" t="s">
        <v>58</v>
      </c>
      <c r="Q263" t="s">
        <v>1105</v>
      </c>
      <c r="R263" t="s">
        <v>1157</v>
      </c>
      <c r="S263">
        <v>1</v>
      </c>
      <c r="T263" t="s">
        <v>61</v>
      </c>
      <c r="U263">
        <v>280</v>
      </c>
      <c r="V263" t="s">
        <v>37</v>
      </c>
    </row>
    <row r="264" spans="1:22" x14ac:dyDescent="0.3">
      <c r="A264" t="s">
        <v>1158</v>
      </c>
      <c r="B264" t="s">
        <v>1118</v>
      </c>
      <c r="C264">
        <v>37</v>
      </c>
      <c r="D264" t="s">
        <v>24</v>
      </c>
      <c r="E264" t="s">
        <v>131</v>
      </c>
      <c r="F264" t="s">
        <v>91</v>
      </c>
      <c r="G264" t="s">
        <v>334</v>
      </c>
      <c r="H264" t="s">
        <v>1159</v>
      </c>
      <c r="I264" t="s">
        <v>85</v>
      </c>
      <c r="J264" t="s">
        <v>44</v>
      </c>
      <c r="K264">
        <v>4</v>
      </c>
      <c r="L264">
        <v>56163</v>
      </c>
      <c r="M264">
        <v>10</v>
      </c>
      <c r="N264" t="s">
        <v>31</v>
      </c>
      <c r="O264" t="s">
        <v>102</v>
      </c>
      <c r="P264" t="s">
        <v>58</v>
      </c>
      <c r="Q264" t="s">
        <v>1120</v>
      </c>
      <c r="S264">
        <v>5</v>
      </c>
      <c r="T264" t="s">
        <v>72</v>
      </c>
      <c r="U264">
        <v>417</v>
      </c>
      <c r="V264" t="s">
        <v>37</v>
      </c>
    </row>
    <row r="265" spans="1:22" x14ac:dyDescent="0.3">
      <c r="A265" t="s">
        <v>1160</v>
      </c>
      <c r="B265" t="s">
        <v>946</v>
      </c>
      <c r="C265">
        <v>30</v>
      </c>
      <c r="D265" t="s">
        <v>24</v>
      </c>
      <c r="E265" t="s">
        <v>131</v>
      </c>
      <c r="F265" t="s">
        <v>65</v>
      </c>
      <c r="G265" t="s">
        <v>607</v>
      </c>
      <c r="H265" t="s">
        <v>490</v>
      </c>
      <c r="I265" t="s">
        <v>85</v>
      </c>
      <c r="J265" t="s">
        <v>30</v>
      </c>
      <c r="K265">
        <v>2</v>
      </c>
      <c r="M265">
        <v>5</v>
      </c>
      <c r="N265" t="s">
        <v>166</v>
      </c>
      <c r="O265" t="s">
        <v>109</v>
      </c>
      <c r="P265" t="s">
        <v>33</v>
      </c>
      <c r="Q265" t="s">
        <v>983</v>
      </c>
      <c r="R265" t="s">
        <v>1161</v>
      </c>
      <c r="S265">
        <v>5</v>
      </c>
      <c r="T265" t="s">
        <v>36</v>
      </c>
      <c r="U265">
        <v>337</v>
      </c>
      <c r="V265" t="s">
        <v>37</v>
      </c>
    </row>
    <row r="266" spans="1:22" x14ac:dyDescent="0.3">
      <c r="A266" t="s">
        <v>1162</v>
      </c>
      <c r="B266" t="s">
        <v>344</v>
      </c>
      <c r="C266">
        <v>41</v>
      </c>
      <c r="D266" t="s">
        <v>51</v>
      </c>
      <c r="E266" t="s">
        <v>229</v>
      </c>
      <c r="F266" t="s">
        <v>53</v>
      </c>
      <c r="G266" t="s">
        <v>1163</v>
      </c>
      <c r="H266" t="s">
        <v>55</v>
      </c>
      <c r="I266" t="s">
        <v>85</v>
      </c>
      <c r="J266" t="s">
        <v>30</v>
      </c>
      <c r="K266">
        <v>5</v>
      </c>
      <c r="L266">
        <v>32000</v>
      </c>
      <c r="M266">
        <v>15</v>
      </c>
      <c r="N266" t="s">
        <v>45</v>
      </c>
      <c r="O266" t="s">
        <v>68</v>
      </c>
      <c r="P266" t="s">
        <v>33</v>
      </c>
      <c r="Q266" t="s">
        <v>347</v>
      </c>
      <c r="R266" t="s">
        <v>1164</v>
      </c>
      <c r="S266">
        <v>2</v>
      </c>
      <c r="T266" t="s">
        <v>61</v>
      </c>
      <c r="U266">
        <v>498</v>
      </c>
      <c r="V266" t="s">
        <v>79</v>
      </c>
    </row>
    <row r="267" spans="1:22" x14ac:dyDescent="0.3">
      <c r="A267" t="s">
        <v>1165</v>
      </c>
      <c r="B267" t="s">
        <v>105</v>
      </c>
      <c r="C267">
        <v>44</v>
      </c>
      <c r="D267" t="s">
        <v>51</v>
      </c>
      <c r="E267" t="s">
        <v>40</v>
      </c>
      <c r="F267" t="s">
        <v>91</v>
      </c>
      <c r="G267" t="s">
        <v>1166</v>
      </c>
      <c r="H267" t="s">
        <v>1167</v>
      </c>
      <c r="I267" t="s">
        <v>77</v>
      </c>
      <c r="J267" t="s">
        <v>30</v>
      </c>
      <c r="K267">
        <v>1</v>
      </c>
      <c r="L267">
        <v>23263</v>
      </c>
      <c r="M267">
        <v>0</v>
      </c>
      <c r="N267" t="s">
        <v>31</v>
      </c>
      <c r="O267" t="s">
        <v>173</v>
      </c>
      <c r="P267" t="s">
        <v>174</v>
      </c>
      <c r="Q267" t="s">
        <v>110</v>
      </c>
      <c r="R267" t="s">
        <v>1168</v>
      </c>
      <c r="S267">
        <v>5</v>
      </c>
      <c r="T267" t="s">
        <v>96</v>
      </c>
      <c r="U267">
        <v>108</v>
      </c>
      <c r="V267" t="s">
        <v>62</v>
      </c>
    </row>
    <row r="268" spans="1:22" x14ac:dyDescent="0.3">
      <c r="A268" t="s">
        <v>1169</v>
      </c>
      <c r="B268" t="s">
        <v>689</v>
      </c>
      <c r="C268">
        <v>35</v>
      </c>
      <c r="D268" t="s">
        <v>51</v>
      </c>
      <c r="E268" t="s">
        <v>99</v>
      </c>
      <c r="F268" t="s">
        <v>82</v>
      </c>
      <c r="G268" t="s">
        <v>151</v>
      </c>
      <c r="H268" t="s">
        <v>1005</v>
      </c>
      <c r="I268" t="s">
        <v>85</v>
      </c>
      <c r="J268" t="s">
        <v>44</v>
      </c>
      <c r="K268">
        <v>3</v>
      </c>
      <c r="L268">
        <v>55972</v>
      </c>
      <c r="M268">
        <v>15</v>
      </c>
      <c r="N268" t="s">
        <v>31</v>
      </c>
      <c r="O268" t="s">
        <v>109</v>
      </c>
      <c r="P268" t="s">
        <v>174</v>
      </c>
      <c r="Q268" t="s">
        <v>1105</v>
      </c>
      <c r="R268" t="s">
        <v>1170</v>
      </c>
      <c r="S268">
        <v>3</v>
      </c>
      <c r="T268" t="s">
        <v>96</v>
      </c>
      <c r="U268">
        <v>95</v>
      </c>
      <c r="V268" t="s">
        <v>37</v>
      </c>
    </row>
    <row r="269" spans="1:22" x14ac:dyDescent="0.3">
      <c r="A269" t="s">
        <v>1171</v>
      </c>
      <c r="B269" t="s">
        <v>228</v>
      </c>
      <c r="C269">
        <v>54</v>
      </c>
      <c r="D269" t="s">
        <v>24</v>
      </c>
      <c r="E269" t="s">
        <v>229</v>
      </c>
      <c r="F269" t="s">
        <v>26</v>
      </c>
      <c r="G269" t="s">
        <v>1065</v>
      </c>
      <c r="H269" t="s">
        <v>345</v>
      </c>
      <c r="I269" t="s">
        <v>108</v>
      </c>
      <c r="J269" t="s">
        <v>44</v>
      </c>
      <c r="K269">
        <v>3</v>
      </c>
      <c r="L269">
        <v>34914</v>
      </c>
      <c r="M269">
        <v>10</v>
      </c>
      <c r="N269" t="s">
        <v>166</v>
      </c>
      <c r="O269" t="s">
        <v>109</v>
      </c>
      <c r="P269" t="s">
        <v>33</v>
      </c>
      <c r="Q269" t="s">
        <v>232</v>
      </c>
      <c r="R269" t="s">
        <v>1172</v>
      </c>
      <c r="S269">
        <v>3</v>
      </c>
      <c r="T269" t="s">
        <v>36</v>
      </c>
      <c r="U269">
        <v>353</v>
      </c>
      <c r="V269" t="s">
        <v>79</v>
      </c>
    </row>
    <row r="270" spans="1:22" x14ac:dyDescent="0.3">
      <c r="A270" t="s">
        <v>1173</v>
      </c>
      <c r="B270" t="s">
        <v>170</v>
      </c>
      <c r="C270">
        <v>21</v>
      </c>
      <c r="D270" t="s">
        <v>24</v>
      </c>
      <c r="E270" t="s">
        <v>142</v>
      </c>
      <c r="F270" t="s">
        <v>53</v>
      </c>
      <c r="G270" t="s">
        <v>704</v>
      </c>
      <c r="H270" t="s">
        <v>1066</v>
      </c>
      <c r="I270" t="s">
        <v>93</v>
      </c>
      <c r="J270" t="s">
        <v>30</v>
      </c>
      <c r="K270">
        <v>5</v>
      </c>
      <c r="L270">
        <v>30081</v>
      </c>
      <c r="M270">
        <v>5</v>
      </c>
      <c r="N270" t="s">
        <v>56</v>
      </c>
      <c r="O270" t="s">
        <v>133</v>
      </c>
      <c r="P270" t="s">
        <v>174</v>
      </c>
      <c r="Q270" t="s">
        <v>175</v>
      </c>
      <c r="R270" t="s">
        <v>1174</v>
      </c>
      <c r="S270">
        <v>3</v>
      </c>
      <c r="T270" t="s">
        <v>61</v>
      </c>
      <c r="U270">
        <v>484</v>
      </c>
      <c r="V270" t="s">
        <v>62</v>
      </c>
    </row>
    <row r="271" spans="1:22" x14ac:dyDescent="0.3">
      <c r="A271" t="s">
        <v>1175</v>
      </c>
      <c r="B271" t="s">
        <v>204</v>
      </c>
      <c r="C271">
        <v>42</v>
      </c>
      <c r="D271" t="s">
        <v>51</v>
      </c>
      <c r="E271" t="s">
        <v>25</v>
      </c>
      <c r="F271" t="s">
        <v>91</v>
      </c>
      <c r="G271" t="s">
        <v>1150</v>
      </c>
      <c r="H271" t="s">
        <v>1176</v>
      </c>
      <c r="I271" t="s">
        <v>77</v>
      </c>
      <c r="J271" t="s">
        <v>30</v>
      </c>
      <c r="K271">
        <v>2</v>
      </c>
      <c r="L271">
        <v>64406</v>
      </c>
      <c r="M271">
        <v>10</v>
      </c>
      <c r="N271" t="s">
        <v>56</v>
      </c>
      <c r="O271" t="s">
        <v>68</v>
      </c>
      <c r="P271" t="s">
        <v>69</v>
      </c>
      <c r="Q271" t="s">
        <v>207</v>
      </c>
      <c r="R271" t="s">
        <v>1177</v>
      </c>
      <c r="S271">
        <v>2</v>
      </c>
      <c r="T271" t="s">
        <v>61</v>
      </c>
      <c r="U271">
        <v>250</v>
      </c>
      <c r="V271" t="s">
        <v>37</v>
      </c>
    </row>
    <row r="272" spans="1:22" x14ac:dyDescent="0.3">
      <c r="A272" t="s">
        <v>1178</v>
      </c>
      <c r="B272" t="s">
        <v>198</v>
      </c>
      <c r="C272">
        <v>19</v>
      </c>
      <c r="D272" t="s">
        <v>24</v>
      </c>
      <c r="E272" t="s">
        <v>229</v>
      </c>
      <c r="F272" t="s">
        <v>82</v>
      </c>
      <c r="G272" t="s">
        <v>1000</v>
      </c>
      <c r="H272" t="s">
        <v>1179</v>
      </c>
      <c r="I272" t="s">
        <v>77</v>
      </c>
      <c r="J272" t="s">
        <v>44</v>
      </c>
      <c r="K272">
        <v>2</v>
      </c>
      <c r="L272">
        <v>69468</v>
      </c>
      <c r="M272">
        <v>5</v>
      </c>
      <c r="N272" t="s">
        <v>45</v>
      </c>
      <c r="O272" t="s">
        <v>102</v>
      </c>
      <c r="P272" t="s">
        <v>69</v>
      </c>
      <c r="Q272" t="s">
        <v>201</v>
      </c>
      <c r="S272">
        <v>2</v>
      </c>
      <c r="T272" t="s">
        <v>36</v>
      </c>
      <c r="U272">
        <v>375</v>
      </c>
      <c r="V272" t="s">
        <v>62</v>
      </c>
    </row>
    <row r="273" spans="1:22" x14ac:dyDescent="0.3">
      <c r="A273" t="s">
        <v>1180</v>
      </c>
      <c r="B273" t="s">
        <v>1181</v>
      </c>
      <c r="C273">
        <v>33</v>
      </c>
      <c r="D273" t="s">
        <v>24</v>
      </c>
      <c r="E273" t="s">
        <v>26</v>
      </c>
      <c r="F273" t="s">
        <v>53</v>
      </c>
      <c r="G273" t="s">
        <v>1182</v>
      </c>
      <c r="H273" t="s">
        <v>716</v>
      </c>
      <c r="I273" t="s">
        <v>77</v>
      </c>
      <c r="J273" t="s">
        <v>44</v>
      </c>
      <c r="K273">
        <v>5</v>
      </c>
      <c r="L273">
        <v>61311</v>
      </c>
      <c r="M273">
        <v>0</v>
      </c>
      <c r="N273" t="s">
        <v>45</v>
      </c>
      <c r="O273" t="s">
        <v>57</v>
      </c>
      <c r="P273" t="s">
        <v>33</v>
      </c>
      <c r="Q273" t="s">
        <v>427</v>
      </c>
      <c r="R273" t="s">
        <v>1183</v>
      </c>
      <c r="S273">
        <v>4</v>
      </c>
      <c r="T273" t="s">
        <v>96</v>
      </c>
      <c r="U273">
        <v>392</v>
      </c>
      <c r="V273" t="s">
        <v>62</v>
      </c>
    </row>
    <row r="274" spans="1:22" x14ac:dyDescent="0.3">
      <c r="A274" t="s">
        <v>1184</v>
      </c>
      <c r="B274" t="s">
        <v>860</v>
      </c>
      <c r="C274">
        <v>25</v>
      </c>
      <c r="D274" t="s">
        <v>24</v>
      </c>
      <c r="E274" t="s">
        <v>229</v>
      </c>
      <c r="F274" t="s">
        <v>53</v>
      </c>
      <c r="G274" t="s">
        <v>383</v>
      </c>
      <c r="H274" t="s">
        <v>384</v>
      </c>
      <c r="I274" t="s">
        <v>43</v>
      </c>
      <c r="J274" t="s">
        <v>30</v>
      </c>
      <c r="K274">
        <v>2</v>
      </c>
      <c r="L274">
        <v>67626</v>
      </c>
      <c r="M274">
        <v>5</v>
      </c>
      <c r="N274" t="s">
        <v>166</v>
      </c>
      <c r="O274" t="s">
        <v>109</v>
      </c>
      <c r="P274" t="s">
        <v>174</v>
      </c>
      <c r="R274" t="s">
        <v>1185</v>
      </c>
      <c r="S274">
        <v>1</v>
      </c>
      <c r="T274" t="s">
        <v>72</v>
      </c>
      <c r="U274">
        <v>384</v>
      </c>
      <c r="V274" t="s">
        <v>37</v>
      </c>
    </row>
    <row r="275" spans="1:22" x14ac:dyDescent="0.3">
      <c r="A275" t="s">
        <v>1186</v>
      </c>
      <c r="B275" t="s">
        <v>39</v>
      </c>
      <c r="C275">
        <v>28</v>
      </c>
      <c r="D275" t="s">
        <v>51</v>
      </c>
      <c r="E275" t="s">
        <v>99</v>
      </c>
      <c r="F275" t="s">
        <v>26</v>
      </c>
      <c r="G275" t="s">
        <v>1187</v>
      </c>
      <c r="H275" t="s">
        <v>384</v>
      </c>
      <c r="I275" t="s">
        <v>43</v>
      </c>
      <c r="J275" t="s">
        <v>30</v>
      </c>
      <c r="K275">
        <v>5</v>
      </c>
      <c r="L275">
        <v>32986</v>
      </c>
      <c r="M275">
        <v>5</v>
      </c>
      <c r="N275" t="s">
        <v>166</v>
      </c>
      <c r="O275" t="s">
        <v>133</v>
      </c>
      <c r="P275" t="s">
        <v>174</v>
      </c>
      <c r="Q275" t="s">
        <v>47</v>
      </c>
      <c r="R275" t="s">
        <v>1188</v>
      </c>
      <c r="S275">
        <v>4</v>
      </c>
      <c r="T275" t="s">
        <v>36</v>
      </c>
      <c r="U275">
        <v>400</v>
      </c>
      <c r="V275" t="s">
        <v>62</v>
      </c>
    </row>
    <row r="276" spans="1:22" x14ac:dyDescent="0.3">
      <c r="A276" t="s">
        <v>1189</v>
      </c>
      <c r="B276" t="s">
        <v>74</v>
      </c>
      <c r="C276">
        <v>24</v>
      </c>
      <c r="D276" t="s">
        <v>24</v>
      </c>
      <c r="E276" t="s">
        <v>229</v>
      </c>
      <c r="F276" t="s">
        <v>53</v>
      </c>
      <c r="G276" t="s">
        <v>1190</v>
      </c>
      <c r="H276" t="s">
        <v>27</v>
      </c>
      <c r="I276" t="s">
        <v>43</v>
      </c>
      <c r="J276" t="s">
        <v>44</v>
      </c>
      <c r="K276">
        <v>3</v>
      </c>
      <c r="L276">
        <v>40052</v>
      </c>
      <c r="M276">
        <v>10</v>
      </c>
      <c r="N276" t="s">
        <v>45</v>
      </c>
      <c r="O276" t="s">
        <v>173</v>
      </c>
      <c r="P276" t="s">
        <v>69</v>
      </c>
      <c r="Q276" t="s">
        <v>78</v>
      </c>
      <c r="R276" t="s">
        <v>1191</v>
      </c>
      <c r="S276">
        <v>3</v>
      </c>
      <c r="T276" t="s">
        <v>96</v>
      </c>
      <c r="U276">
        <v>199</v>
      </c>
      <c r="V276" t="s">
        <v>79</v>
      </c>
    </row>
    <row r="277" spans="1:22" x14ac:dyDescent="0.3">
      <c r="A277" t="s">
        <v>1192</v>
      </c>
      <c r="B277" t="s">
        <v>589</v>
      </c>
      <c r="C277">
        <v>41</v>
      </c>
      <c r="D277" t="s">
        <v>51</v>
      </c>
      <c r="E277" t="s">
        <v>52</v>
      </c>
      <c r="F277" t="s">
        <v>26</v>
      </c>
      <c r="G277" t="s">
        <v>1193</v>
      </c>
      <c r="H277" t="s">
        <v>1194</v>
      </c>
      <c r="I277" t="s">
        <v>77</v>
      </c>
      <c r="J277" t="s">
        <v>44</v>
      </c>
      <c r="K277">
        <v>3</v>
      </c>
      <c r="L277">
        <v>8791</v>
      </c>
      <c r="M277">
        <v>5</v>
      </c>
      <c r="N277" t="s">
        <v>166</v>
      </c>
      <c r="O277" t="s">
        <v>173</v>
      </c>
      <c r="P277" t="s">
        <v>58</v>
      </c>
      <c r="Q277" t="s">
        <v>591</v>
      </c>
      <c r="R277" t="s">
        <v>1195</v>
      </c>
      <c r="S277">
        <v>4</v>
      </c>
      <c r="T277" t="s">
        <v>61</v>
      </c>
      <c r="U277">
        <v>120</v>
      </c>
      <c r="V277" t="s">
        <v>79</v>
      </c>
    </row>
    <row r="278" spans="1:22" x14ac:dyDescent="0.3">
      <c r="A278" t="s">
        <v>1196</v>
      </c>
      <c r="B278" t="s">
        <v>1118</v>
      </c>
      <c r="C278">
        <v>29</v>
      </c>
      <c r="D278" t="s">
        <v>24</v>
      </c>
      <c r="E278" t="s">
        <v>40</v>
      </c>
      <c r="F278" t="s">
        <v>82</v>
      </c>
      <c r="G278" t="s">
        <v>1197</v>
      </c>
      <c r="H278" t="s">
        <v>1198</v>
      </c>
      <c r="I278" t="s">
        <v>108</v>
      </c>
      <c r="J278" t="s">
        <v>44</v>
      </c>
      <c r="K278">
        <v>4</v>
      </c>
      <c r="L278">
        <v>24123</v>
      </c>
      <c r="M278">
        <v>0</v>
      </c>
      <c r="N278" t="s">
        <v>56</v>
      </c>
      <c r="O278" t="s">
        <v>133</v>
      </c>
      <c r="P278" t="s">
        <v>33</v>
      </c>
      <c r="Q278" t="s">
        <v>1120</v>
      </c>
      <c r="R278" t="s">
        <v>1199</v>
      </c>
      <c r="S278">
        <v>2</v>
      </c>
      <c r="T278" t="s">
        <v>36</v>
      </c>
      <c r="U278">
        <v>108</v>
      </c>
      <c r="V278" t="s">
        <v>79</v>
      </c>
    </row>
    <row r="279" spans="1:22" x14ac:dyDescent="0.3">
      <c r="A279" t="s">
        <v>1200</v>
      </c>
      <c r="B279" t="s">
        <v>382</v>
      </c>
      <c r="C279">
        <v>42</v>
      </c>
      <c r="D279" t="s">
        <v>24</v>
      </c>
      <c r="E279" t="s">
        <v>40</v>
      </c>
      <c r="F279" t="s">
        <v>65</v>
      </c>
      <c r="G279" t="s">
        <v>1201</v>
      </c>
      <c r="H279" t="s">
        <v>1202</v>
      </c>
      <c r="I279" t="s">
        <v>85</v>
      </c>
      <c r="J279" t="s">
        <v>30</v>
      </c>
      <c r="K279">
        <v>3</v>
      </c>
      <c r="M279">
        <v>5</v>
      </c>
      <c r="N279" t="s">
        <v>56</v>
      </c>
      <c r="O279" t="s">
        <v>46</v>
      </c>
      <c r="P279" t="s">
        <v>33</v>
      </c>
      <c r="Q279" t="s">
        <v>385</v>
      </c>
      <c r="R279" t="s">
        <v>1203</v>
      </c>
      <c r="S279">
        <v>2</v>
      </c>
      <c r="T279" t="s">
        <v>96</v>
      </c>
      <c r="U279">
        <v>277</v>
      </c>
      <c r="V279" t="s">
        <v>37</v>
      </c>
    </row>
    <row r="280" spans="1:22" x14ac:dyDescent="0.3">
      <c r="A280" t="s">
        <v>1204</v>
      </c>
      <c r="B280" t="s">
        <v>344</v>
      </c>
      <c r="C280">
        <v>22</v>
      </c>
      <c r="D280" t="s">
        <v>24</v>
      </c>
      <c r="E280" t="s">
        <v>40</v>
      </c>
      <c r="F280" t="s">
        <v>26</v>
      </c>
      <c r="G280" t="s">
        <v>768</v>
      </c>
      <c r="H280" t="s">
        <v>1205</v>
      </c>
      <c r="I280" t="s">
        <v>77</v>
      </c>
      <c r="J280" t="s">
        <v>30</v>
      </c>
      <c r="K280">
        <v>2</v>
      </c>
      <c r="L280">
        <v>32499</v>
      </c>
      <c r="M280">
        <v>0</v>
      </c>
      <c r="N280" t="s">
        <v>166</v>
      </c>
      <c r="O280" t="s">
        <v>109</v>
      </c>
      <c r="P280" t="s">
        <v>33</v>
      </c>
      <c r="Q280" t="s">
        <v>347</v>
      </c>
      <c r="R280" t="s">
        <v>1206</v>
      </c>
      <c r="S280">
        <v>1</v>
      </c>
      <c r="T280" t="s">
        <v>96</v>
      </c>
      <c r="U280">
        <v>320</v>
      </c>
      <c r="V280" t="s">
        <v>62</v>
      </c>
    </row>
    <row r="281" spans="1:22" x14ac:dyDescent="0.3">
      <c r="A281" t="s">
        <v>1207</v>
      </c>
      <c r="B281" t="s">
        <v>466</v>
      </c>
      <c r="C281">
        <v>55</v>
      </c>
      <c r="D281" t="s">
        <v>24</v>
      </c>
      <c r="E281" t="s">
        <v>26</v>
      </c>
      <c r="F281" t="s">
        <v>53</v>
      </c>
      <c r="G281" t="s">
        <v>158</v>
      </c>
      <c r="H281" t="s">
        <v>1208</v>
      </c>
      <c r="I281" t="s">
        <v>43</v>
      </c>
      <c r="J281" t="s">
        <v>30</v>
      </c>
      <c r="K281">
        <v>1</v>
      </c>
      <c r="L281">
        <v>46399</v>
      </c>
      <c r="M281">
        <v>10</v>
      </c>
      <c r="N281" t="s">
        <v>31</v>
      </c>
      <c r="O281" t="s">
        <v>86</v>
      </c>
      <c r="P281" t="s">
        <v>33</v>
      </c>
      <c r="Q281" t="s">
        <v>468</v>
      </c>
      <c r="R281" t="s">
        <v>1209</v>
      </c>
      <c r="S281">
        <v>1</v>
      </c>
      <c r="T281" t="s">
        <v>36</v>
      </c>
      <c r="U281">
        <v>183</v>
      </c>
      <c r="V281" t="s">
        <v>79</v>
      </c>
    </row>
    <row r="282" spans="1:22" x14ac:dyDescent="0.3">
      <c r="A282" t="s">
        <v>1210</v>
      </c>
      <c r="B282" t="s">
        <v>946</v>
      </c>
      <c r="C282">
        <v>41</v>
      </c>
      <c r="D282" t="s">
        <v>24</v>
      </c>
      <c r="E282" t="s">
        <v>142</v>
      </c>
      <c r="F282" t="s">
        <v>53</v>
      </c>
      <c r="G282" t="s">
        <v>1211</v>
      </c>
      <c r="H282" t="s">
        <v>1212</v>
      </c>
      <c r="I282" t="s">
        <v>29</v>
      </c>
      <c r="J282" t="s">
        <v>30</v>
      </c>
      <c r="K282">
        <v>5</v>
      </c>
      <c r="L282">
        <v>38753</v>
      </c>
      <c r="M282">
        <v>15</v>
      </c>
      <c r="N282" t="s">
        <v>45</v>
      </c>
      <c r="O282" t="s">
        <v>109</v>
      </c>
      <c r="P282" t="s">
        <v>69</v>
      </c>
      <c r="Q282" t="s">
        <v>983</v>
      </c>
      <c r="R282" t="s">
        <v>1213</v>
      </c>
      <c r="S282">
        <v>2</v>
      </c>
      <c r="T282" t="s">
        <v>61</v>
      </c>
      <c r="U282">
        <v>420</v>
      </c>
      <c r="V282" t="s">
        <v>37</v>
      </c>
    </row>
    <row r="283" spans="1:22" x14ac:dyDescent="0.3">
      <c r="A283" t="s">
        <v>1214</v>
      </c>
      <c r="B283" t="s">
        <v>278</v>
      </c>
      <c r="C283">
        <v>25</v>
      </c>
      <c r="D283" t="s">
        <v>24</v>
      </c>
      <c r="E283" t="s">
        <v>99</v>
      </c>
      <c r="F283" t="s">
        <v>26</v>
      </c>
      <c r="G283" t="s">
        <v>1047</v>
      </c>
      <c r="H283" t="s">
        <v>146</v>
      </c>
      <c r="I283" t="s">
        <v>43</v>
      </c>
      <c r="J283" t="s">
        <v>30</v>
      </c>
      <c r="K283">
        <v>4</v>
      </c>
      <c r="L283">
        <v>5814</v>
      </c>
      <c r="M283">
        <v>10</v>
      </c>
      <c r="N283" t="s">
        <v>45</v>
      </c>
      <c r="O283" t="s">
        <v>173</v>
      </c>
      <c r="P283" t="s">
        <v>33</v>
      </c>
      <c r="Q283" t="s">
        <v>282</v>
      </c>
      <c r="R283" t="s">
        <v>1215</v>
      </c>
      <c r="S283">
        <v>4</v>
      </c>
      <c r="T283" t="s">
        <v>61</v>
      </c>
      <c r="U283">
        <v>334</v>
      </c>
      <c r="V283" t="s">
        <v>37</v>
      </c>
    </row>
    <row r="284" spans="1:22" x14ac:dyDescent="0.3">
      <c r="A284" t="s">
        <v>1216</v>
      </c>
      <c r="B284" t="s">
        <v>509</v>
      </c>
      <c r="C284">
        <v>44</v>
      </c>
      <c r="D284" t="s">
        <v>51</v>
      </c>
      <c r="E284" t="s">
        <v>25</v>
      </c>
      <c r="F284" t="s">
        <v>65</v>
      </c>
      <c r="G284" t="s">
        <v>1217</v>
      </c>
      <c r="H284" t="s">
        <v>1126</v>
      </c>
      <c r="I284" t="s">
        <v>29</v>
      </c>
      <c r="J284" t="s">
        <v>30</v>
      </c>
      <c r="L284">
        <v>16267</v>
      </c>
      <c r="M284">
        <v>15</v>
      </c>
      <c r="N284" t="s">
        <v>56</v>
      </c>
      <c r="O284" t="s">
        <v>133</v>
      </c>
      <c r="P284" t="s">
        <v>174</v>
      </c>
      <c r="Q284" t="s">
        <v>512</v>
      </c>
      <c r="R284" t="s">
        <v>1218</v>
      </c>
      <c r="S284">
        <v>5</v>
      </c>
      <c r="T284" t="s">
        <v>61</v>
      </c>
      <c r="U284">
        <v>194</v>
      </c>
      <c r="V284" t="s">
        <v>62</v>
      </c>
    </row>
    <row r="285" spans="1:22" x14ac:dyDescent="0.3">
      <c r="A285" t="s">
        <v>1219</v>
      </c>
      <c r="B285" t="s">
        <v>555</v>
      </c>
      <c r="C285">
        <v>48</v>
      </c>
      <c r="D285" t="s">
        <v>51</v>
      </c>
      <c r="E285" t="s">
        <v>25</v>
      </c>
      <c r="F285" t="s">
        <v>82</v>
      </c>
      <c r="G285" t="s">
        <v>521</v>
      </c>
      <c r="H285" t="s">
        <v>251</v>
      </c>
      <c r="I285" t="s">
        <v>93</v>
      </c>
      <c r="J285" t="s">
        <v>44</v>
      </c>
      <c r="K285">
        <v>4</v>
      </c>
      <c r="L285">
        <v>61731</v>
      </c>
      <c r="M285">
        <v>15</v>
      </c>
      <c r="N285" t="s">
        <v>56</v>
      </c>
      <c r="O285" t="s">
        <v>86</v>
      </c>
      <c r="P285" t="s">
        <v>58</v>
      </c>
      <c r="Q285" t="s">
        <v>558</v>
      </c>
      <c r="S285">
        <v>2</v>
      </c>
      <c r="T285" t="s">
        <v>96</v>
      </c>
      <c r="U285">
        <v>195</v>
      </c>
      <c r="V285" t="s">
        <v>37</v>
      </c>
    </row>
    <row r="286" spans="1:22" x14ac:dyDescent="0.3">
      <c r="A286" t="s">
        <v>1220</v>
      </c>
      <c r="B286" t="s">
        <v>617</v>
      </c>
      <c r="C286">
        <v>32</v>
      </c>
      <c r="D286" t="s">
        <v>24</v>
      </c>
      <c r="E286" t="s">
        <v>229</v>
      </c>
      <c r="F286" t="s">
        <v>26</v>
      </c>
      <c r="G286" t="s">
        <v>1221</v>
      </c>
      <c r="H286" t="s">
        <v>1222</v>
      </c>
      <c r="I286" t="s">
        <v>108</v>
      </c>
      <c r="J286" t="s">
        <v>30</v>
      </c>
      <c r="K286">
        <v>2</v>
      </c>
      <c r="L286">
        <v>45479</v>
      </c>
      <c r="M286">
        <v>15</v>
      </c>
      <c r="N286" t="s">
        <v>56</v>
      </c>
      <c r="O286" t="s">
        <v>46</v>
      </c>
      <c r="P286" t="s">
        <v>69</v>
      </c>
      <c r="Q286" t="s">
        <v>620</v>
      </c>
      <c r="R286" t="s">
        <v>1223</v>
      </c>
      <c r="S286">
        <v>3</v>
      </c>
      <c r="T286" t="s">
        <v>61</v>
      </c>
      <c r="U286">
        <v>141</v>
      </c>
      <c r="V286" t="s">
        <v>79</v>
      </c>
    </row>
    <row r="287" spans="1:22" x14ac:dyDescent="0.3">
      <c r="A287" t="s">
        <v>1224</v>
      </c>
      <c r="B287" t="s">
        <v>98</v>
      </c>
      <c r="C287">
        <v>35</v>
      </c>
      <c r="D287" t="s">
        <v>24</v>
      </c>
      <c r="E287" t="s">
        <v>229</v>
      </c>
      <c r="F287" t="s">
        <v>82</v>
      </c>
      <c r="G287" t="s">
        <v>1225</v>
      </c>
      <c r="H287" t="s">
        <v>629</v>
      </c>
      <c r="I287" t="s">
        <v>29</v>
      </c>
      <c r="J287" t="s">
        <v>44</v>
      </c>
      <c r="K287">
        <v>4</v>
      </c>
      <c r="L287">
        <v>56229</v>
      </c>
      <c r="M287">
        <v>10</v>
      </c>
      <c r="N287" t="s">
        <v>31</v>
      </c>
      <c r="O287" t="s">
        <v>68</v>
      </c>
      <c r="P287" t="s">
        <v>58</v>
      </c>
      <c r="Q287" t="s">
        <v>103</v>
      </c>
      <c r="R287" t="s">
        <v>1226</v>
      </c>
      <c r="S287">
        <v>5</v>
      </c>
      <c r="T287" t="s">
        <v>72</v>
      </c>
      <c r="U287">
        <v>465</v>
      </c>
      <c r="V287" t="s">
        <v>79</v>
      </c>
    </row>
    <row r="288" spans="1:22" x14ac:dyDescent="0.3">
      <c r="A288" t="s">
        <v>1227</v>
      </c>
      <c r="B288" t="s">
        <v>338</v>
      </c>
      <c r="C288">
        <v>25</v>
      </c>
      <c r="D288" t="s">
        <v>24</v>
      </c>
      <c r="E288" t="s">
        <v>40</v>
      </c>
      <c r="F288" t="s">
        <v>53</v>
      </c>
      <c r="G288" t="s">
        <v>473</v>
      </c>
      <c r="H288" t="s">
        <v>137</v>
      </c>
      <c r="I288" t="s">
        <v>108</v>
      </c>
      <c r="J288" t="s">
        <v>44</v>
      </c>
      <c r="K288">
        <v>4</v>
      </c>
      <c r="L288">
        <v>42439</v>
      </c>
      <c r="M288">
        <v>10</v>
      </c>
      <c r="N288" t="s">
        <v>166</v>
      </c>
      <c r="O288" t="s">
        <v>86</v>
      </c>
      <c r="P288" t="s">
        <v>174</v>
      </c>
      <c r="Q288" t="s">
        <v>341</v>
      </c>
      <c r="R288" t="s">
        <v>1228</v>
      </c>
      <c r="S288">
        <v>5</v>
      </c>
      <c r="T288" t="s">
        <v>36</v>
      </c>
      <c r="U288">
        <v>345</v>
      </c>
      <c r="V288" t="s">
        <v>37</v>
      </c>
    </row>
    <row r="289" spans="1:22" x14ac:dyDescent="0.3">
      <c r="A289" t="s">
        <v>1229</v>
      </c>
      <c r="B289" t="s">
        <v>293</v>
      </c>
      <c r="C289">
        <v>24</v>
      </c>
      <c r="D289" t="s">
        <v>24</v>
      </c>
      <c r="E289" t="s">
        <v>229</v>
      </c>
      <c r="F289" t="s">
        <v>65</v>
      </c>
      <c r="G289" t="s">
        <v>1230</v>
      </c>
      <c r="H289" t="s">
        <v>1076</v>
      </c>
      <c r="I289" t="s">
        <v>85</v>
      </c>
      <c r="J289" t="s">
        <v>30</v>
      </c>
      <c r="K289">
        <v>4</v>
      </c>
      <c r="L289">
        <v>32636</v>
      </c>
      <c r="M289">
        <v>15</v>
      </c>
      <c r="N289" t="s">
        <v>166</v>
      </c>
      <c r="O289" t="s">
        <v>32</v>
      </c>
      <c r="P289" t="s">
        <v>33</v>
      </c>
      <c r="Q289" t="s">
        <v>1231</v>
      </c>
      <c r="R289" t="s">
        <v>1232</v>
      </c>
      <c r="S289">
        <v>3</v>
      </c>
      <c r="T289" t="s">
        <v>96</v>
      </c>
      <c r="U289">
        <v>498</v>
      </c>
      <c r="V289" t="s">
        <v>79</v>
      </c>
    </row>
    <row r="290" spans="1:22" x14ac:dyDescent="0.3">
      <c r="A290" t="s">
        <v>1233</v>
      </c>
      <c r="B290" t="s">
        <v>650</v>
      </c>
      <c r="C290">
        <v>32</v>
      </c>
      <c r="D290" t="s">
        <v>24</v>
      </c>
      <c r="E290" t="s">
        <v>25</v>
      </c>
      <c r="F290" t="s">
        <v>65</v>
      </c>
      <c r="G290" t="s">
        <v>1073</v>
      </c>
      <c r="H290" t="s">
        <v>829</v>
      </c>
      <c r="I290" t="s">
        <v>108</v>
      </c>
      <c r="J290" t="s">
        <v>30</v>
      </c>
      <c r="K290">
        <v>5</v>
      </c>
      <c r="L290">
        <v>35051</v>
      </c>
      <c r="M290">
        <v>10</v>
      </c>
      <c r="N290" t="s">
        <v>166</v>
      </c>
      <c r="O290" t="s">
        <v>46</v>
      </c>
      <c r="P290" t="s">
        <v>33</v>
      </c>
      <c r="Q290" t="s">
        <v>653</v>
      </c>
      <c r="R290" t="s">
        <v>1234</v>
      </c>
      <c r="S290">
        <v>1</v>
      </c>
      <c r="T290" t="s">
        <v>36</v>
      </c>
      <c r="U290">
        <v>197</v>
      </c>
      <c r="V290" t="s">
        <v>79</v>
      </c>
    </row>
    <row r="291" spans="1:22" x14ac:dyDescent="0.3">
      <c r="A291" t="s">
        <v>1235</v>
      </c>
      <c r="B291" t="s">
        <v>589</v>
      </c>
      <c r="C291">
        <v>28</v>
      </c>
      <c r="D291" t="s">
        <v>163</v>
      </c>
      <c r="E291" t="s">
        <v>25</v>
      </c>
      <c r="F291" t="s">
        <v>53</v>
      </c>
      <c r="G291" t="s">
        <v>909</v>
      </c>
      <c r="H291" t="s">
        <v>486</v>
      </c>
      <c r="I291" t="s">
        <v>43</v>
      </c>
      <c r="J291" t="s">
        <v>30</v>
      </c>
      <c r="K291">
        <v>2</v>
      </c>
      <c r="L291">
        <v>76624</v>
      </c>
      <c r="M291">
        <v>10</v>
      </c>
      <c r="N291" t="s">
        <v>56</v>
      </c>
      <c r="O291" t="s">
        <v>133</v>
      </c>
      <c r="P291" t="s">
        <v>58</v>
      </c>
      <c r="Q291" t="s">
        <v>591</v>
      </c>
      <c r="R291" t="s">
        <v>1236</v>
      </c>
      <c r="S291">
        <v>5</v>
      </c>
      <c r="T291" t="s">
        <v>61</v>
      </c>
      <c r="U291">
        <v>205</v>
      </c>
      <c r="V291" t="s">
        <v>62</v>
      </c>
    </row>
    <row r="292" spans="1:22" x14ac:dyDescent="0.3">
      <c r="A292" t="s">
        <v>1237</v>
      </c>
      <c r="B292" t="s">
        <v>333</v>
      </c>
      <c r="C292">
        <v>37</v>
      </c>
      <c r="D292" t="s">
        <v>24</v>
      </c>
      <c r="E292" t="s">
        <v>131</v>
      </c>
      <c r="F292" t="s">
        <v>82</v>
      </c>
      <c r="G292" t="s">
        <v>399</v>
      </c>
      <c r="H292" t="s">
        <v>598</v>
      </c>
      <c r="I292" t="s">
        <v>85</v>
      </c>
      <c r="J292" t="s">
        <v>44</v>
      </c>
      <c r="K292">
        <v>1</v>
      </c>
      <c r="L292">
        <v>19324</v>
      </c>
      <c r="M292">
        <v>5</v>
      </c>
      <c r="N292" t="s">
        <v>56</v>
      </c>
      <c r="O292" t="s">
        <v>32</v>
      </c>
      <c r="P292" t="s">
        <v>58</v>
      </c>
      <c r="Q292" t="s">
        <v>336</v>
      </c>
      <c r="R292" t="s">
        <v>1238</v>
      </c>
      <c r="S292">
        <v>3</v>
      </c>
      <c r="T292" t="s">
        <v>61</v>
      </c>
      <c r="U292">
        <v>85</v>
      </c>
      <c r="V292" t="s">
        <v>79</v>
      </c>
    </row>
    <row r="293" spans="1:22" x14ac:dyDescent="0.3">
      <c r="A293" t="s">
        <v>1239</v>
      </c>
      <c r="B293" t="s">
        <v>198</v>
      </c>
      <c r="C293">
        <v>26</v>
      </c>
      <c r="D293" t="s">
        <v>24</v>
      </c>
      <c r="E293" t="s">
        <v>229</v>
      </c>
      <c r="F293" t="s">
        <v>53</v>
      </c>
      <c r="G293" t="s">
        <v>1240</v>
      </c>
      <c r="H293" t="s">
        <v>1241</v>
      </c>
      <c r="I293" t="s">
        <v>43</v>
      </c>
      <c r="J293" t="s">
        <v>30</v>
      </c>
      <c r="K293">
        <v>3</v>
      </c>
      <c r="L293">
        <v>30814</v>
      </c>
      <c r="M293">
        <v>15</v>
      </c>
      <c r="N293" t="s">
        <v>45</v>
      </c>
      <c r="O293" t="s">
        <v>173</v>
      </c>
      <c r="P293" t="s">
        <v>174</v>
      </c>
      <c r="Q293" t="s">
        <v>201</v>
      </c>
      <c r="R293" t="s">
        <v>1242</v>
      </c>
      <c r="S293">
        <v>3</v>
      </c>
      <c r="T293" t="s">
        <v>72</v>
      </c>
      <c r="U293">
        <v>200</v>
      </c>
      <c r="V293" t="s">
        <v>37</v>
      </c>
    </row>
    <row r="294" spans="1:22" x14ac:dyDescent="0.3">
      <c r="A294" t="s">
        <v>1243</v>
      </c>
      <c r="B294" t="s">
        <v>39</v>
      </c>
      <c r="C294">
        <v>23</v>
      </c>
      <c r="D294" t="s">
        <v>51</v>
      </c>
      <c r="E294" t="s">
        <v>40</v>
      </c>
      <c r="F294" t="s">
        <v>65</v>
      </c>
      <c r="G294" t="s">
        <v>1244</v>
      </c>
      <c r="H294" t="s">
        <v>816</v>
      </c>
      <c r="I294" t="s">
        <v>29</v>
      </c>
      <c r="J294" t="s">
        <v>30</v>
      </c>
      <c r="K294">
        <v>5</v>
      </c>
      <c r="L294">
        <v>33092</v>
      </c>
      <c r="M294">
        <v>0</v>
      </c>
      <c r="N294" t="s">
        <v>56</v>
      </c>
      <c r="O294" t="s">
        <v>68</v>
      </c>
      <c r="P294" t="s">
        <v>58</v>
      </c>
      <c r="Q294" t="s">
        <v>47</v>
      </c>
      <c r="R294" t="s">
        <v>1245</v>
      </c>
      <c r="S294">
        <v>5</v>
      </c>
      <c r="T294" t="s">
        <v>61</v>
      </c>
      <c r="U294">
        <v>497</v>
      </c>
      <c r="V294" t="s">
        <v>62</v>
      </c>
    </row>
    <row r="295" spans="1:22" x14ac:dyDescent="0.3">
      <c r="A295" t="s">
        <v>1246</v>
      </c>
      <c r="B295" t="s">
        <v>228</v>
      </c>
      <c r="C295">
        <v>53</v>
      </c>
      <c r="D295" t="s">
        <v>51</v>
      </c>
      <c r="E295" t="s">
        <v>131</v>
      </c>
      <c r="F295" t="s">
        <v>82</v>
      </c>
      <c r="G295" t="s">
        <v>178</v>
      </c>
      <c r="H295" t="s">
        <v>1247</v>
      </c>
      <c r="I295" t="s">
        <v>77</v>
      </c>
      <c r="J295" t="s">
        <v>30</v>
      </c>
      <c r="K295">
        <v>1</v>
      </c>
      <c r="L295">
        <v>75794</v>
      </c>
      <c r="M295">
        <v>15</v>
      </c>
      <c r="N295" t="s">
        <v>31</v>
      </c>
      <c r="O295" t="s">
        <v>173</v>
      </c>
      <c r="P295" t="s">
        <v>174</v>
      </c>
      <c r="R295" t="s">
        <v>1248</v>
      </c>
      <c r="S295">
        <v>2</v>
      </c>
      <c r="T295" t="s">
        <v>36</v>
      </c>
      <c r="U295">
        <v>117</v>
      </c>
      <c r="V295" t="s">
        <v>62</v>
      </c>
    </row>
    <row r="296" spans="1:22" x14ac:dyDescent="0.3">
      <c r="A296" t="s">
        <v>1249</v>
      </c>
      <c r="B296" t="s">
        <v>50</v>
      </c>
      <c r="C296">
        <v>38</v>
      </c>
      <c r="D296" t="s">
        <v>51</v>
      </c>
      <c r="E296" t="s">
        <v>52</v>
      </c>
      <c r="F296" t="s">
        <v>65</v>
      </c>
      <c r="G296" t="s">
        <v>1250</v>
      </c>
      <c r="H296" t="s">
        <v>685</v>
      </c>
      <c r="I296" t="s">
        <v>29</v>
      </c>
      <c r="J296" t="s">
        <v>30</v>
      </c>
      <c r="K296">
        <v>3</v>
      </c>
      <c r="L296">
        <v>22152</v>
      </c>
      <c r="M296">
        <v>0</v>
      </c>
      <c r="N296" t="s">
        <v>31</v>
      </c>
      <c r="O296" t="s">
        <v>281</v>
      </c>
      <c r="P296" t="s">
        <v>69</v>
      </c>
      <c r="R296" t="s">
        <v>1251</v>
      </c>
      <c r="S296">
        <v>3</v>
      </c>
      <c r="T296" t="s">
        <v>61</v>
      </c>
      <c r="U296">
        <v>269</v>
      </c>
      <c r="V296" t="s">
        <v>37</v>
      </c>
    </row>
    <row r="297" spans="1:22" x14ac:dyDescent="0.3">
      <c r="A297" t="s">
        <v>1252</v>
      </c>
      <c r="B297" t="s">
        <v>50</v>
      </c>
      <c r="C297">
        <v>18</v>
      </c>
      <c r="D297" t="s">
        <v>51</v>
      </c>
      <c r="E297" t="s">
        <v>99</v>
      </c>
      <c r="F297" t="s">
        <v>91</v>
      </c>
      <c r="G297" t="s">
        <v>1253</v>
      </c>
      <c r="H297" t="s">
        <v>1182</v>
      </c>
      <c r="I297" t="s">
        <v>85</v>
      </c>
      <c r="J297" t="s">
        <v>30</v>
      </c>
      <c r="K297">
        <v>4</v>
      </c>
      <c r="L297">
        <v>14620</v>
      </c>
      <c r="M297">
        <v>0</v>
      </c>
      <c r="N297" t="s">
        <v>166</v>
      </c>
      <c r="O297" t="s">
        <v>68</v>
      </c>
      <c r="P297" t="s">
        <v>58</v>
      </c>
      <c r="Q297" t="s">
        <v>59</v>
      </c>
      <c r="R297" t="s">
        <v>1254</v>
      </c>
      <c r="S297">
        <v>2</v>
      </c>
      <c r="T297" t="s">
        <v>36</v>
      </c>
      <c r="U297">
        <v>336</v>
      </c>
      <c r="V297" t="s">
        <v>79</v>
      </c>
    </row>
    <row r="298" spans="1:22" x14ac:dyDescent="0.3">
      <c r="A298" t="s">
        <v>1255</v>
      </c>
      <c r="B298" t="s">
        <v>954</v>
      </c>
      <c r="C298">
        <v>23</v>
      </c>
      <c r="D298" t="s">
        <v>51</v>
      </c>
      <c r="E298" t="s">
        <v>142</v>
      </c>
      <c r="F298" t="s">
        <v>26</v>
      </c>
      <c r="G298" t="s">
        <v>942</v>
      </c>
      <c r="H298" t="s">
        <v>1256</v>
      </c>
      <c r="I298" t="s">
        <v>43</v>
      </c>
      <c r="J298" t="s">
        <v>44</v>
      </c>
      <c r="K298">
        <v>4</v>
      </c>
      <c r="L298">
        <v>19078</v>
      </c>
      <c r="M298">
        <v>10</v>
      </c>
      <c r="N298" t="s">
        <v>166</v>
      </c>
      <c r="O298" t="s">
        <v>57</v>
      </c>
      <c r="P298" t="s">
        <v>58</v>
      </c>
      <c r="R298" t="s">
        <v>1257</v>
      </c>
      <c r="S298">
        <v>5</v>
      </c>
      <c r="T298" t="s">
        <v>61</v>
      </c>
      <c r="U298">
        <v>297</v>
      </c>
      <c r="V298" t="s">
        <v>79</v>
      </c>
    </row>
    <row r="299" spans="1:22" x14ac:dyDescent="0.3">
      <c r="A299" t="s">
        <v>1258</v>
      </c>
      <c r="B299" t="s">
        <v>125</v>
      </c>
      <c r="C299">
        <v>52</v>
      </c>
      <c r="D299" t="s">
        <v>24</v>
      </c>
      <c r="E299" t="s">
        <v>131</v>
      </c>
      <c r="F299" t="s">
        <v>26</v>
      </c>
      <c r="G299" t="s">
        <v>1259</v>
      </c>
      <c r="H299" t="s">
        <v>1260</v>
      </c>
      <c r="I299" t="s">
        <v>43</v>
      </c>
      <c r="J299" t="s">
        <v>30</v>
      </c>
      <c r="K299">
        <v>2</v>
      </c>
      <c r="L299">
        <v>28839</v>
      </c>
      <c r="M299">
        <v>15</v>
      </c>
      <c r="N299" t="s">
        <v>56</v>
      </c>
      <c r="O299" t="s">
        <v>173</v>
      </c>
      <c r="P299" t="s">
        <v>33</v>
      </c>
      <c r="Q299" t="s">
        <v>756</v>
      </c>
      <c r="R299" t="s">
        <v>1261</v>
      </c>
      <c r="S299">
        <v>4</v>
      </c>
      <c r="T299" t="s">
        <v>72</v>
      </c>
      <c r="U299">
        <v>426</v>
      </c>
      <c r="V299" t="s">
        <v>79</v>
      </c>
    </row>
    <row r="300" spans="1:22" x14ac:dyDescent="0.3">
      <c r="A300" t="s">
        <v>1262</v>
      </c>
      <c r="B300" t="s">
        <v>729</v>
      </c>
      <c r="C300">
        <v>18</v>
      </c>
      <c r="D300" t="s">
        <v>51</v>
      </c>
      <c r="E300" t="s">
        <v>52</v>
      </c>
      <c r="F300" t="s">
        <v>53</v>
      </c>
      <c r="G300" t="s">
        <v>1263</v>
      </c>
      <c r="H300" t="s">
        <v>1264</v>
      </c>
      <c r="I300" t="s">
        <v>29</v>
      </c>
      <c r="J300" t="s">
        <v>44</v>
      </c>
      <c r="K300">
        <v>1</v>
      </c>
      <c r="L300">
        <v>24887</v>
      </c>
      <c r="M300">
        <v>10</v>
      </c>
      <c r="N300" t="s">
        <v>166</v>
      </c>
      <c r="O300" t="s">
        <v>173</v>
      </c>
      <c r="P300" t="s">
        <v>33</v>
      </c>
      <c r="Q300" t="s">
        <v>732</v>
      </c>
      <c r="R300" t="s">
        <v>1265</v>
      </c>
      <c r="S300">
        <v>3</v>
      </c>
      <c r="T300" t="s">
        <v>36</v>
      </c>
      <c r="U300">
        <v>152</v>
      </c>
      <c r="V300" t="s">
        <v>62</v>
      </c>
    </row>
    <row r="301" spans="1:22" x14ac:dyDescent="0.3">
      <c r="A301" t="s">
        <v>1266</v>
      </c>
      <c r="B301" t="s">
        <v>361</v>
      </c>
      <c r="C301">
        <v>21</v>
      </c>
      <c r="D301" t="s">
        <v>51</v>
      </c>
      <c r="E301" t="s">
        <v>131</v>
      </c>
      <c r="F301" t="s">
        <v>53</v>
      </c>
      <c r="G301" t="s">
        <v>274</v>
      </c>
      <c r="H301" t="s">
        <v>1267</v>
      </c>
      <c r="I301" t="s">
        <v>43</v>
      </c>
      <c r="J301" t="s">
        <v>30</v>
      </c>
      <c r="K301">
        <v>1</v>
      </c>
      <c r="L301">
        <v>55254</v>
      </c>
      <c r="M301">
        <v>5</v>
      </c>
      <c r="N301" t="s">
        <v>31</v>
      </c>
      <c r="O301" t="s">
        <v>68</v>
      </c>
      <c r="P301" t="s">
        <v>69</v>
      </c>
      <c r="R301" t="s">
        <v>1268</v>
      </c>
      <c r="S301">
        <v>4</v>
      </c>
      <c r="T301" t="s">
        <v>72</v>
      </c>
      <c r="U301">
        <v>83</v>
      </c>
      <c r="V301" t="s">
        <v>37</v>
      </c>
    </row>
    <row r="302" spans="1:22" x14ac:dyDescent="0.3">
      <c r="A302" t="s">
        <v>1269</v>
      </c>
      <c r="B302" t="s">
        <v>209</v>
      </c>
      <c r="C302">
        <v>20</v>
      </c>
      <c r="D302" t="s">
        <v>24</v>
      </c>
      <c r="E302" t="s">
        <v>40</v>
      </c>
      <c r="F302" t="s">
        <v>91</v>
      </c>
      <c r="G302" t="s">
        <v>1270</v>
      </c>
      <c r="H302" t="s">
        <v>1271</v>
      </c>
      <c r="I302" t="s">
        <v>43</v>
      </c>
      <c r="J302" t="s">
        <v>30</v>
      </c>
      <c r="K302">
        <v>5</v>
      </c>
      <c r="L302">
        <v>65494</v>
      </c>
      <c r="M302">
        <v>5</v>
      </c>
      <c r="N302" t="s">
        <v>31</v>
      </c>
      <c r="O302" t="s">
        <v>46</v>
      </c>
      <c r="P302" t="s">
        <v>58</v>
      </c>
      <c r="Q302" t="s">
        <v>1001</v>
      </c>
      <c r="R302" t="s">
        <v>1272</v>
      </c>
      <c r="S302">
        <v>3</v>
      </c>
      <c r="T302" t="s">
        <v>36</v>
      </c>
      <c r="U302">
        <v>104</v>
      </c>
      <c r="V302" t="s">
        <v>37</v>
      </c>
    </row>
    <row r="303" spans="1:22" x14ac:dyDescent="0.3">
      <c r="A303" t="s">
        <v>1273</v>
      </c>
      <c r="B303" t="s">
        <v>743</v>
      </c>
      <c r="C303">
        <v>56</v>
      </c>
      <c r="D303" t="s">
        <v>51</v>
      </c>
      <c r="E303" t="s">
        <v>229</v>
      </c>
      <c r="F303" t="s">
        <v>91</v>
      </c>
      <c r="G303" t="s">
        <v>1100</v>
      </c>
      <c r="H303" t="s">
        <v>1274</v>
      </c>
      <c r="I303" t="s">
        <v>77</v>
      </c>
      <c r="J303" t="s">
        <v>30</v>
      </c>
      <c r="K303">
        <v>4</v>
      </c>
      <c r="L303">
        <v>47703</v>
      </c>
      <c r="M303">
        <v>10</v>
      </c>
      <c r="N303" t="s">
        <v>56</v>
      </c>
      <c r="O303" t="s">
        <v>109</v>
      </c>
      <c r="P303" t="s">
        <v>69</v>
      </c>
      <c r="R303" t="s">
        <v>1275</v>
      </c>
      <c r="S303">
        <v>1</v>
      </c>
      <c r="T303" t="s">
        <v>61</v>
      </c>
      <c r="U303">
        <v>469</v>
      </c>
      <c r="V303" t="s">
        <v>37</v>
      </c>
    </row>
    <row r="304" spans="1:22" x14ac:dyDescent="0.3">
      <c r="A304" t="s">
        <v>1276</v>
      </c>
      <c r="B304" t="s">
        <v>411</v>
      </c>
      <c r="C304">
        <v>26</v>
      </c>
      <c r="D304" t="s">
        <v>24</v>
      </c>
      <c r="E304" t="s">
        <v>131</v>
      </c>
      <c r="F304" t="s">
        <v>91</v>
      </c>
      <c r="G304" t="s">
        <v>1054</v>
      </c>
      <c r="H304" t="s">
        <v>657</v>
      </c>
      <c r="I304" t="s">
        <v>29</v>
      </c>
      <c r="J304" t="s">
        <v>44</v>
      </c>
      <c r="K304">
        <v>2</v>
      </c>
      <c r="M304">
        <v>0</v>
      </c>
      <c r="N304" t="s">
        <v>45</v>
      </c>
      <c r="O304" t="s">
        <v>57</v>
      </c>
      <c r="P304" t="s">
        <v>33</v>
      </c>
      <c r="Q304" t="s">
        <v>414</v>
      </c>
      <c r="R304" t="s">
        <v>1277</v>
      </c>
      <c r="S304">
        <v>3</v>
      </c>
      <c r="T304" t="s">
        <v>61</v>
      </c>
      <c r="U304">
        <v>415</v>
      </c>
      <c r="V304" t="s">
        <v>37</v>
      </c>
    </row>
    <row r="305" spans="1:22" x14ac:dyDescent="0.3">
      <c r="A305" t="s">
        <v>1278</v>
      </c>
      <c r="B305" t="s">
        <v>303</v>
      </c>
      <c r="C305">
        <v>27</v>
      </c>
      <c r="D305" t="s">
        <v>24</v>
      </c>
      <c r="E305" t="s">
        <v>99</v>
      </c>
      <c r="F305" t="s">
        <v>91</v>
      </c>
      <c r="G305" t="s">
        <v>667</v>
      </c>
      <c r="H305" t="s">
        <v>350</v>
      </c>
      <c r="I305" t="s">
        <v>108</v>
      </c>
      <c r="J305" t="s">
        <v>30</v>
      </c>
      <c r="K305">
        <v>5</v>
      </c>
      <c r="L305">
        <v>70542</v>
      </c>
      <c r="M305">
        <v>5</v>
      </c>
      <c r="N305" t="s">
        <v>166</v>
      </c>
      <c r="O305" t="s">
        <v>86</v>
      </c>
      <c r="P305" t="s">
        <v>174</v>
      </c>
      <c r="R305" t="s">
        <v>1279</v>
      </c>
      <c r="S305">
        <v>3</v>
      </c>
      <c r="T305" t="s">
        <v>72</v>
      </c>
      <c r="U305">
        <v>268</v>
      </c>
      <c r="V305" t="s">
        <v>79</v>
      </c>
    </row>
    <row r="306" spans="1:22" x14ac:dyDescent="0.3">
      <c r="A306" t="s">
        <v>1280</v>
      </c>
      <c r="B306" t="s">
        <v>547</v>
      </c>
      <c r="C306">
        <v>18</v>
      </c>
      <c r="D306" t="s">
        <v>51</v>
      </c>
      <c r="E306" t="s">
        <v>229</v>
      </c>
      <c r="F306" t="s">
        <v>82</v>
      </c>
      <c r="G306" t="s">
        <v>1221</v>
      </c>
      <c r="H306" t="s">
        <v>1281</v>
      </c>
      <c r="I306" t="s">
        <v>77</v>
      </c>
      <c r="J306" t="s">
        <v>30</v>
      </c>
      <c r="K306">
        <v>1</v>
      </c>
      <c r="L306">
        <v>17378</v>
      </c>
      <c r="M306">
        <v>15</v>
      </c>
      <c r="N306" t="s">
        <v>56</v>
      </c>
      <c r="O306" t="s">
        <v>46</v>
      </c>
      <c r="P306" t="s">
        <v>174</v>
      </c>
      <c r="Q306" t="s">
        <v>549</v>
      </c>
      <c r="R306" t="s">
        <v>1282</v>
      </c>
      <c r="S306">
        <v>2</v>
      </c>
      <c r="T306" t="s">
        <v>96</v>
      </c>
      <c r="U306">
        <v>192</v>
      </c>
      <c r="V306" t="s">
        <v>62</v>
      </c>
    </row>
    <row r="307" spans="1:22" x14ac:dyDescent="0.3">
      <c r="A307" t="s">
        <v>1283</v>
      </c>
      <c r="B307" t="s">
        <v>222</v>
      </c>
      <c r="C307">
        <v>32</v>
      </c>
      <c r="D307" t="s">
        <v>51</v>
      </c>
      <c r="E307" t="s">
        <v>26</v>
      </c>
      <c r="F307" t="s">
        <v>65</v>
      </c>
      <c r="G307" t="s">
        <v>1284</v>
      </c>
      <c r="H307" t="s">
        <v>353</v>
      </c>
      <c r="I307" t="s">
        <v>29</v>
      </c>
      <c r="J307" t="s">
        <v>44</v>
      </c>
      <c r="L307">
        <v>37584</v>
      </c>
      <c r="M307">
        <v>10</v>
      </c>
      <c r="N307" t="s">
        <v>45</v>
      </c>
      <c r="O307" t="s">
        <v>109</v>
      </c>
      <c r="P307" t="s">
        <v>69</v>
      </c>
      <c r="R307" t="s">
        <v>1285</v>
      </c>
      <c r="S307">
        <v>4</v>
      </c>
      <c r="T307" t="s">
        <v>96</v>
      </c>
      <c r="U307">
        <v>282</v>
      </c>
      <c r="V307" t="s">
        <v>79</v>
      </c>
    </row>
    <row r="308" spans="1:22" x14ac:dyDescent="0.3">
      <c r="A308" t="s">
        <v>1286</v>
      </c>
      <c r="B308" t="s">
        <v>193</v>
      </c>
      <c r="C308">
        <v>54</v>
      </c>
      <c r="D308" t="s">
        <v>24</v>
      </c>
      <c r="E308" t="s">
        <v>142</v>
      </c>
      <c r="F308" t="s">
        <v>91</v>
      </c>
      <c r="G308" t="s">
        <v>1287</v>
      </c>
      <c r="H308" t="s">
        <v>1288</v>
      </c>
      <c r="I308" t="s">
        <v>93</v>
      </c>
      <c r="J308" t="s">
        <v>44</v>
      </c>
      <c r="K308">
        <v>2</v>
      </c>
      <c r="L308">
        <v>5395</v>
      </c>
      <c r="M308">
        <v>5</v>
      </c>
      <c r="N308" t="s">
        <v>166</v>
      </c>
      <c r="O308" t="s">
        <v>133</v>
      </c>
      <c r="P308" t="s">
        <v>69</v>
      </c>
      <c r="Q308" t="s">
        <v>195</v>
      </c>
      <c r="R308" t="s">
        <v>1289</v>
      </c>
      <c r="S308">
        <v>5</v>
      </c>
      <c r="T308" t="s">
        <v>72</v>
      </c>
      <c r="U308">
        <v>297</v>
      </c>
      <c r="V308" t="s">
        <v>79</v>
      </c>
    </row>
    <row r="309" spans="1:22" x14ac:dyDescent="0.3">
      <c r="A309" t="s">
        <v>1290</v>
      </c>
      <c r="B309" t="s">
        <v>650</v>
      </c>
      <c r="C309">
        <v>23</v>
      </c>
      <c r="D309" t="s">
        <v>51</v>
      </c>
      <c r="E309" t="s">
        <v>142</v>
      </c>
      <c r="F309" t="s">
        <v>26</v>
      </c>
      <c r="G309" t="s">
        <v>1291</v>
      </c>
      <c r="H309" t="s">
        <v>1292</v>
      </c>
      <c r="I309" t="s">
        <v>29</v>
      </c>
      <c r="J309" t="s">
        <v>44</v>
      </c>
      <c r="K309">
        <v>4</v>
      </c>
      <c r="L309">
        <v>48872</v>
      </c>
      <c r="M309">
        <v>5</v>
      </c>
      <c r="N309" t="s">
        <v>31</v>
      </c>
      <c r="O309" t="s">
        <v>109</v>
      </c>
      <c r="P309" t="s">
        <v>69</v>
      </c>
      <c r="Q309" t="s">
        <v>653</v>
      </c>
      <c r="S309">
        <v>5</v>
      </c>
      <c r="T309" t="s">
        <v>72</v>
      </c>
      <c r="U309">
        <v>336</v>
      </c>
      <c r="V309" t="s">
        <v>37</v>
      </c>
    </row>
    <row r="310" spans="1:22" x14ac:dyDescent="0.3">
      <c r="A310" t="s">
        <v>1293</v>
      </c>
      <c r="B310" t="s">
        <v>570</v>
      </c>
      <c r="C310">
        <v>48</v>
      </c>
      <c r="D310" t="s">
        <v>24</v>
      </c>
      <c r="E310" t="s">
        <v>52</v>
      </c>
      <c r="F310" t="s">
        <v>53</v>
      </c>
      <c r="G310" t="s">
        <v>28</v>
      </c>
      <c r="H310" t="s">
        <v>1294</v>
      </c>
      <c r="I310" t="s">
        <v>93</v>
      </c>
      <c r="J310" t="s">
        <v>30</v>
      </c>
      <c r="K310">
        <v>2</v>
      </c>
      <c r="L310">
        <v>64740</v>
      </c>
      <c r="M310">
        <v>5</v>
      </c>
      <c r="N310" t="s">
        <v>166</v>
      </c>
      <c r="O310" t="s">
        <v>102</v>
      </c>
      <c r="P310" t="s">
        <v>33</v>
      </c>
      <c r="Q310" t="s">
        <v>573</v>
      </c>
      <c r="R310" t="s">
        <v>1295</v>
      </c>
      <c r="S310">
        <v>4</v>
      </c>
      <c r="T310" t="s">
        <v>61</v>
      </c>
      <c r="U310">
        <v>264</v>
      </c>
      <c r="V310" t="s">
        <v>37</v>
      </c>
    </row>
    <row r="311" spans="1:22" x14ac:dyDescent="0.3">
      <c r="A311" t="s">
        <v>1296</v>
      </c>
      <c r="B311" t="s">
        <v>397</v>
      </c>
      <c r="C311">
        <v>41</v>
      </c>
      <c r="D311" t="s">
        <v>51</v>
      </c>
      <c r="E311" t="s">
        <v>99</v>
      </c>
      <c r="F311" t="s">
        <v>91</v>
      </c>
      <c r="G311" t="s">
        <v>66</v>
      </c>
      <c r="H311" t="s">
        <v>1240</v>
      </c>
      <c r="I311" t="s">
        <v>93</v>
      </c>
      <c r="J311" t="s">
        <v>30</v>
      </c>
      <c r="K311">
        <v>4</v>
      </c>
      <c r="L311">
        <v>30443</v>
      </c>
      <c r="M311">
        <v>15</v>
      </c>
      <c r="N311" t="s">
        <v>56</v>
      </c>
      <c r="O311" t="s">
        <v>102</v>
      </c>
      <c r="P311" t="s">
        <v>33</v>
      </c>
      <c r="S311">
        <v>1</v>
      </c>
      <c r="T311" t="s">
        <v>36</v>
      </c>
      <c r="U311">
        <v>480</v>
      </c>
      <c r="V311" t="s">
        <v>79</v>
      </c>
    </row>
    <row r="312" spans="1:22" x14ac:dyDescent="0.3">
      <c r="A312" t="s">
        <v>1297</v>
      </c>
      <c r="B312" t="s">
        <v>457</v>
      </c>
      <c r="C312">
        <v>25</v>
      </c>
      <c r="D312" t="s">
        <v>51</v>
      </c>
      <c r="E312" t="s">
        <v>40</v>
      </c>
      <c r="F312" t="s">
        <v>53</v>
      </c>
      <c r="G312" t="s">
        <v>744</v>
      </c>
      <c r="H312" t="s">
        <v>583</v>
      </c>
      <c r="I312" t="s">
        <v>108</v>
      </c>
      <c r="J312" t="s">
        <v>30</v>
      </c>
      <c r="K312">
        <v>2</v>
      </c>
      <c r="L312">
        <v>47706</v>
      </c>
      <c r="M312">
        <v>5</v>
      </c>
      <c r="N312" t="s">
        <v>56</v>
      </c>
      <c r="O312" t="s">
        <v>281</v>
      </c>
      <c r="P312" t="s">
        <v>33</v>
      </c>
      <c r="Q312" t="s">
        <v>595</v>
      </c>
      <c r="R312" t="s">
        <v>1298</v>
      </c>
      <c r="S312">
        <v>3</v>
      </c>
      <c r="T312" t="s">
        <v>61</v>
      </c>
      <c r="U312">
        <v>51</v>
      </c>
      <c r="V312" t="s">
        <v>37</v>
      </c>
    </row>
    <row r="313" spans="1:22" x14ac:dyDescent="0.3">
      <c r="A313" t="s">
        <v>1299</v>
      </c>
      <c r="B313" t="s">
        <v>50</v>
      </c>
      <c r="C313">
        <v>20</v>
      </c>
      <c r="D313" t="s">
        <v>24</v>
      </c>
      <c r="E313" t="s">
        <v>142</v>
      </c>
      <c r="F313" t="s">
        <v>91</v>
      </c>
      <c r="G313" t="s">
        <v>1009</v>
      </c>
      <c r="H313" t="s">
        <v>1104</v>
      </c>
      <c r="I313" t="s">
        <v>29</v>
      </c>
      <c r="J313" t="s">
        <v>44</v>
      </c>
      <c r="K313">
        <v>3</v>
      </c>
      <c r="L313">
        <v>12570</v>
      </c>
      <c r="M313">
        <v>10</v>
      </c>
      <c r="N313" t="s">
        <v>56</v>
      </c>
      <c r="O313" t="s">
        <v>46</v>
      </c>
      <c r="P313" t="s">
        <v>174</v>
      </c>
      <c r="Q313" t="s">
        <v>59</v>
      </c>
      <c r="R313" t="s">
        <v>1300</v>
      </c>
      <c r="S313">
        <v>3</v>
      </c>
      <c r="T313" t="s">
        <v>72</v>
      </c>
      <c r="U313">
        <v>426</v>
      </c>
      <c r="V313" t="s">
        <v>37</v>
      </c>
    </row>
    <row r="314" spans="1:22" x14ac:dyDescent="0.3">
      <c r="A314" t="s">
        <v>1301</v>
      </c>
      <c r="B314" t="s">
        <v>527</v>
      </c>
      <c r="C314">
        <v>50</v>
      </c>
      <c r="D314" t="s">
        <v>51</v>
      </c>
      <c r="E314" t="s">
        <v>52</v>
      </c>
      <c r="F314" t="s">
        <v>91</v>
      </c>
      <c r="G314" t="s">
        <v>1302</v>
      </c>
      <c r="H314" t="s">
        <v>882</v>
      </c>
      <c r="I314" t="s">
        <v>43</v>
      </c>
      <c r="J314" t="s">
        <v>30</v>
      </c>
      <c r="K314">
        <v>3</v>
      </c>
      <c r="L314">
        <v>13201</v>
      </c>
      <c r="M314">
        <v>0</v>
      </c>
      <c r="N314" t="s">
        <v>31</v>
      </c>
      <c r="O314" t="s">
        <v>57</v>
      </c>
      <c r="P314" t="s">
        <v>33</v>
      </c>
      <c r="Q314" t="s">
        <v>530</v>
      </c>
      <c r="R314" t="s">
        <v>1303</v>
      </c>
      <c r="S314">
        <v>3</v>
      </c>
      <c r="T314" t="s">
        <v>61</v>
      </c>
      <c r="U314">
        <v>485</v>
      </c>
      <c r="V314" t="s">
        <v>62</v>
      </c>
    </row>
    <row r="315" spans="1:22" x14ac:dyDescent="0.3">
      <c r="A315" t="s">
        <v>1304</v>
      </c>
      <c r="B315" t="s">
        <v>216</v>
      </c>
      <c r="C315">
        <v>49</v>
      </c>
      <c r="D315" t="s">
        <v>51</v>
      </c>
      <c r="E315" t="s">
        <v>99</v>
      </c>
      <c r="F315" t="s">
        <v>65</v>
      </c>
      <c r="G315" t="s">
        <v>1217</v>
      </c>
      <c r="H315" t="s">
        <v>750</v>
      </c>
      <c r="I315" t="s">
        <v>108</v>
      </c>
      <c r="J315" t="s">
        <v>30</v>
      </c>
      <c r="K315">
        <v>4</v>
      </c>
      <c r="L315">
        <v>10193</v>
      </c>
      <c r="M315">
        <v>15</v>
      </c>
      <c r="N315" t="s">
        <v>166</v>
      </c>
      <c r="O315" t="s">
        <v>46</v>
      </c>
      <c r="P315" t="s">
        <v>58</v>
      </c>
      <c r="Q315" t="s">
        <v>219</v>
      </c>
      <c r="S315">
        <v>4</v>
      </c>
      <c r="T315" t="s">
        <v>61</v>
      </c>
      <c r="U315">
        <v>410</v>
      </c>
      <c r="V315" t="s">
        <v>37</v>
      </c>
    </row>
    <row r="316" spans="1:22" x14ac:dyDescent="0.3">
      <c r="A316" t="s">
        <v>1305</v>
      </c>
      <c r="B316" t="s">
        <v>150</v>
      </c>
      <c r="C316">
        <v>52</v>
      </c>
      <c r="D316" t="s">
        <v>24</v>
      </c>
      <c r="E316" t="s">
        <v>99</v>
      </c>
      <c r="F316" t="s">
        <v>53</v>
      </c>
      <c r="G316" t="s">
        <v>1306</v>
      </c>
      <c r="H316" t="s">
        <v>1307</v>
      </c>
      <c r="I316" t="s">
        <v>77</v>
      </c>
      <c r="J316" t="s">
        <v>44</v>
      </c>
      <c r="K316">
        <v>4</v>
      </c>
      <c r="L316">
        <v>43513</v>
      </c>
      <c r="M316">
        <v>5</v>
      </c>
      <c r="N316" t="s">
        <v>166</v>
      </c>
      <c r="O316" t="s">
        <v>86</v>
      </c>
      <c r="P316" t="s">
        <v>174</v>
      </c>
      <c r="Q316" t="s">
        <v>153</v>
      </c>
      <c r="S316">
        <v>4</v>
      </c>
      <c r="T316" t="s">
        <v>72</v>
      </c>
      <c r="U316">
        <v>480</v>
      </c>
      <c r="V316" t="s">
        <v>62</v>
      </c>
    </row>
    <row r="317" spans="1:22" x14ac:dyDescent="0.3">
      <c r="A317" t="s">
        <v>1308</v>
      </c>
      <c r="B317" t="s">
        <v>1309</v>
      </c>
      <c r="C317">
        <v>47</v>
      </c>
      <c r="D317" t="s">
        <v>24</v>
      </c>
      <c r="E317" t="s">
        <v>52</v>
      </c>
      <c r="F317" t="s">
        <v>82</v>
      </c>
      <c r="G317" t="s">
        <v>1310</v>
      </c>
      <c r="H317" t="s">
        <v>493</v>
      </c>
      <c r="I317" t="s">
        <v>43</v>
      </c>
      <c r="J317" t="s">
        <v>44</v>
      </c>
      <c r="K317">
        <v>5</v>
      </c>
      <c r="L317">
        <v>10978</v>
      </c>
      <c r="M317">
        <v>10</v>
      </c>
      <c r="N317" t="s">
        <v>31</v>
      </c>
      <c r="O317" t="s">
        <v>46</v>
      </c>
      <c r="P317" t="s">
        <v>58</v>
      </c>
      <c r="Q317" t="s">
        <v>1311</v>
      </c>
      <c r="R317" t="s">
        <v>1312</v>
      </c>
      <c r="S317">
        <v>5</v>
      </c>
      <c r="T317" t="s">
        <v>96</v>
      </c>
      <c r="U317">
        <v>83</v>
      </c>
      <c r="V317" t="s">
        <v>79</v>
      </c>
    </row>
    <row r="318" spans="1:22" x14ac:dyDescent="0.3">
      <c r="A318" t="s">
        <v>1313</v>
      </c>
      <c r="B318" t="s">
        <v>1309</v>
      </c>
      <c r="C318">
        <v>25</v>
      </c>
      <c r="D318" t="s">
        <v>24</v>
      </c>
      <c r="E318" t="s">
        <v>131</v>
      </c>
      <c r="F318" t="s">
        <v>91</v>
      </c>
      <c r="G318" t="s">
        <v>800</v>
      </c>
      <c r="H318" t="s">
        <v>1081</v>
      </c>
      <c r="I318" t="s">
        <v>93</v>
      </c>
      <c r="J318" t="s">
        <v>30</v>
      </c>
      <c r="K318">
        <v>5</v>
      </c>
      <c r="L318">
        <v>56127</v>
      </c>
      <c r="M318">
        <v>5</v>
      </c>
      <c r="N318" t="s">
        <v>166</v>
      </c>
      <c r="O318" t="s">
        <v>281</v>
      </c>
      <c r="P318" t="s">
        <v>69</v>
      </c>
      <c r="S318">
        <v>4</v>
      </c>
      <c r="T318" t="s">
        <v>96</v>
      </c>
      <c r="U318">
        <v>180</v>
      </c>
      <c r="V318" t="s">
        <v>79</v>
      </c>
    </row>
    <row r="319" spans="1:22" x14ac:dyDescent="0.3">
      <c r="A319" t="s">
        <v>1314</v>
      </c>
      <c r="B319" t="s">
        <v>228</v>
      </c>
      <c r="C319">
        <v>32</v>
      </c>
      <c r="D319" t="s">
        <v>24</v>
      </c>
      <c r="E319" t="s">
        <v>142</v>
      </c>
      <c r="F319" t="s">
        <v>65</v>
      </c>
      <c r="G319" t="s">
        <v>700</v>
      </c>
      <c r="H319" t="s">
        <v>1315</v>
      </c>
      <c r="I319" t="s">
        <v>108</v>
      </c>
      <c r="J319" t="s">
        <v>30</v>
      </c>
      <c r="K319">
        <v>1</v>
      </c>
      <c r="L319">
        <v>65043</v>
      </c>
      <c r="M319">
        <v>10</v>
      </c>
      <c r="N319" t="s">
        <v>56</v>
      </c>
      <c r="O319" t="s">
        <v>46</v>
      </c>
      <c r="P319" t="s">
        <v>33</v>
      </c>
      <c r="Q319" t="s">
        <v>232</v>
      </c>
      <c r="R319" t="s">
        <v>1316</v>
      </c>
      <c r="S319">
        <v>1</v>
      </c>
      <c r="T319" t="s">
        <v>72</v>
      </c>
      <c r="U319">
        <v>64</v>
      </c>
      <c r="V319" t="s">
        <v>37</v>
      </c>
    </row>
    <row r="320" spans="1:22" x14ac:dyDescent="0.3">
      <c r="A320" t="s">
        <v>1317</v>
      </c>
      <c r="B320" t="s">
        <v>650</v>
      </c>
      <c r="C320">
        <v>33</v>
      </c>
      <c r="D320" t="s">
        <v>51</v>
      </c>
      <c r="E320" t="s">
        <v>142</v>
      </c>
      <c r="F320" t="s">
        <v>65</v>
      </c>
      <c r="G320" t="s">
        <v>744</v>
      </c>
      <c r="H320" t="s">
        <v>901</v>
      </c>
      <c r="I320" t="s">
        <v>93</v>
      </c>
      <c r="J320" t="s">
        <v>44</v>
      </c>
      <c r="K320">
        <v>5</v>
      </c>
      <c r="L320">
        <v>54815</v>
      </c>
      <c r="M320">
        <v>0</v>
      </c>
      <c r="N320" t="s">
        <v>166</v>
      </c>
      <c r="O320" t="s">
        <v>109</v>
      </c>
      <c r="P320" t="s">
        <v>58</v>
      </c>
      <c r="Q320" t="s">
        <v>653</v>
      </c>
      <c r="R320" t="s">
        <v>1318</v>
      </c>
      <c r="S320">
        <v>5</v>
      </c>
      <c r="T320" t="s">
        <v>96</v>
      </c>
      <c r="U320">
        <v>183</v>
      </c>
      <c r="V320" t="s">
        <v>79</v>
      </c>
    </row>
    <row r="321" spans="1:22" x14ac:dyDescent="0.3">
      <c r="A321" t="s">
        <v>1319</v>
      </c>
      <c r="B321" t="s">
        <v>285</v>
      </c>
      <c r="C321">
        <v>43</v>
      </c>
      <c r="D321" t="s">
        <v>24</v>
      </c>
      <c r="E321" t="s">
        <v>40</v>
      </c>
      <c r="F321" t="s">
        <v>82</v>
      </c>
      <c r="G321" t="s">
        <v>1320</v>
      </c>
      <c r="H321" t="s">
        <v>1321</v>
      </c>
      <c r="I321" t="s">
        <v>85</v>
      </c>
      <c r="J321" t="s">
        <v>44</v>
      </c>
      <c r="K321">
        <v>1</v>
      </c>
      <c r="L321">
        <v>31382</v>
      </c>
      <c r="M321">
        <v>0</v>
      </c>
      <c r="N321" t="s">
        <v>31</v>
      </c>
      <c r="O321" t="s">
        <v>46</v>
      </c>
      <c r="P321" t="s">
        <v>58</v>
      </c>
      <c r="Q321" t="s">
        <v>300</v>
      </c>
      <c r="R321" t="s">
        <v>1322</v>
      </c>
      <c r="S321">
        <v>4</v>
      </c>
      <c r="T321" t="s">
        <v>61</v>
      </c>
      <c r="U321">
        <v>63</v>
      </c>
      <c r="V321" t="s">
        <v>37</v>
      </c>
    </row>
    <row r="322" spans="1:22" x14ac:dyDescent="0.3">
      <c r="A322" t="s">
        <v>1323</v>
      </c>
      <c r="B322" t="s">
        <v>1324</v>
      </c>
      <c r="C322">
        <v>32</v>
      </c>
      <c r="D322" t="s">
        <v>51</v>
      </c>
      <c r="E322" t="s">
        <v>52</v>
      </c>
      <c r="F322" t="s">
        <v>65</v>
      </c>
      <c r="G322" t="s">
        <v>1325</v>
      </c>
      <c r="H322" t="s">
        <v>1326</v>
      </c>
      <c r="I322" t="s">
        <v>29</v>
      </c>
      <c r="J322" t="s">
        <v>30</v>
      </c>
      <c r="K322">
        <v>2</v>
      </c>
      <c r="L322">
        <v>71564</v>
      </c>
      <c r="M322">
        <v>5</v>
      </c>
      <c r="N322" t="s">
        <v>56</v>
      </c>
      <c r="O322" t="s">
        <v>32</v>
      </c>
      <c r="P322" t="s">
        <v>58</v>
      </c>
      <c r="Q322" t="s">
        <v>1147</v>
      </c>
      <c r="R322" t="s">
        <v>1327</v>
      </c>
      <c r="S322">
        <v>1</v>
      </c>
      <c r="T322" t="s">
        <v>72</v>
      </c>
      <c r="U322">
        <v>497</v>
      </c>
      <c r="V322" t="s">
        <v>37</v>
      </c>
    </row>
    <row r="323" spans="1:22" x14ac:dyDescent="0.3">
      <c r="A323" t="s">
        <v>1328</v>
      </c>
      <c r="B323" t="s">
        <v>645</v>
      </c>
      <c r="C323">
        <v>40</v>
      </c>
      <c r="D323" t="s">
        <v>24</v>
      </c>
      <c r="E323" t="s">
        <v>52</v>
      </c>
      <c r="F323" t="s">
        <v>65</v>
      </c>
      <c r="G323" t="s">
        <v>830</v>
      </c>
      <c r="H323" t="s">
        <v>680</v>
      </c>
      <c r="I323" t="s">
        <v>29</v>
      </c>
      <c r="J323" t="s">
        <v>44</v>
      </c>
      <c r="K323">
        <v>4</v>
      </c>
      <c r="L323">
        <v>79878</v>
      </c>
      <c r="M323">
        <v>15</v>
      </c>
      <c r="N323" t="s">
        <v>56</v>
      </c>
      <c r="O323" t="s">
        <v>102</v>
      </c>
      <c r="P323" t="s">
        <v>58</v>
      </c>
      <c r="Q323" t="s">
        <v>647</v>
      </c>
      <c r="R323" t="s">
        <v>1329</v>
      </c>
      <c r="S323">
        <v>2</v>
      </c>
      <c r="T323" t="s">
        <v>72</v>
      </c>
      <c r="U323">
        <v>50</v>
      </c>
      <c r="V323" t="s">
        <v>62</v>
      </c>
    </row>
    <row r="324" spans="1:22" x14ac:dyDescent="0.3">
      <c r="A324" t="s">
        <v>1330</v>
      </c>
      <c r="B324" t="s">
        <v>50</v>
      </c>
      <c r="C324">
        <v>50</v>
      </c>
      <c r="D324" t="s">
        <v>51</v>
      </c>
      <c r="E324" t="s">
        <v>25</v>
      </c>
      <c r="F324" t="s">
        <v>65</v>
      </c>
      <c r="G324" t="s">
        <v>1331</v>
      </c>
      <c r="H324" t="s">
        <v>1332</v>
      </c>
      <c r="I324" t="s">
        <v>43</v>
      </c>
      <c r="J324" t="s">
        <v>30</v>
      </c>
      <c r="K324">
        <v>3</v>
      </c>
      <c r="L324">
        <v>58329</v>
      </c>
      <c r="M324">
        <v>15</v>
      </c>
      <c r="N324" t="s">
        <v>31</v>
      </c>
      <c r="O324" t="s">
        <v>86</v>
      </c>
      <c r="P324" t="s">
        <v>69</v>
      </c>
      <c r="R324" t="s">
        <v>1333</v>
      </c>
      <c r="S324">
        <v>1</v>
      </c>
      <c r="T324" t="s">
        <v>36</v>
      </c>
      <c r="U324">
        <v>208</v>
      </c>
      <c r="V324" t="s">
        <v>37</v>
      </c>
    </row>
    <row r="325" spans="1:22" x14ac:dyDescent="0.3">
      <c r="A325" t="s">
        <v>1334</v>
      </c>
      <c r="B325" t="s">
        <v>457</v>
      </c>
      <c r="C325">
        <v>45</v>
      </c>
      <c r="D325" t="s">
        <v>51</v>
      </c>
      <c r="E325" t="s">
        <v>99</v>
      </c>
      <c r="F325" t="s">
        <v>26</v>
      </c>
      <c r="G325" t="s">
        <v>1274</v>
      </c>
      <c r="H325" t="s">
        <v>809</v>
      </c>
      <c r="I325" t="s">
        <v>29</v>
      </c>
      <c r="J325" t="s">
        <v>44</v>
      </c>
      <c r="K325">
        <v>5</v>
      </c>
      <c r="L325">
        <v>59259</v>
      </c>
      <c r="M325">
        <v>0</v>
      </c>
      <c r="N325" t="s">
        <v>166</v>
      </c>
      <c r="O325" t="s">
        <v>133</v>
      </c>
      <c r="P325" t="s">
        <v>58</v>
      </c>
      <c r="Q325" t="s">
        <v>595</v>
      </c>
      <c r="R325" t="s">
        <v>1335</v>
      </c>
      <c r="S325">
        <v>3</v>
      </c>
      <c r="T325" t="s">
        <v>96</v>
      </c>
      <c r="U325">
        <v>146</v>
      </c>
      <c r="V325" t="s">
        <v>62</v>
      </c>
    </row>
    <row r="326" spans="1:22" x14ac:dyDescent="0.3">
      <c r="A326" t="s">
        <v>1336</v>
      </c>
      <c r="B326" t="s">
        <v>808</v>
      </c>
      <c r="C326">
        <v>48</v>
      </c>
      <c r="D326" t="s">
        <v>51</v>
      </c>
      <c r="E326" t="s">
        <v>131</v>
      </c>
      <c r="F326" t="s">
        <v>82</v>
      </c>
      <c r="G326" t="s">
        <v>1150</v>
      </c>
      <c r="H326" t="s">
        <v>1337</v>
      </c>
      <c r="I326" t="s">
        <v>29</v>
      </c>
      <c r="J326" t="s">
        <v>30</v>
      </c>
      <c r="K326">
        <v>4</v>
      </c>
      <c r="L326">
        <v>13486</v>
      </c>
      <c r="M326">
        <v>0</v>
      </c>
      <c r="N326" t="s">
        <v>31</v>
      </c>
      <c r="O326" t="s">
        <v>86</v>
      </c>
      <c r="P326" t="s">
        <v>69</v>
      </c>
      <c r="Q326" t="s">
        <v>191</v>
      </c>
      <c r="R326" t="s">
        <v>1338</v>
      </c>
      <c r="S326">
        <v>2</v>
      </c>
      <c r="T326" t="s">
        <v>36</v>
      </c>
      <c r="U326">
        <v>368</v>
      </c>
      <c r="V326" t="s">
        <v>62</v>
      </c>
    </row>
    <row r="327" spans="1:22" x14ac:dyDescent="0.3">
      <c r="A327" t="s">
        <v>1339</v>
      </c>
      <c r="B327" t="s">
        <v>1340</v>
      </c>
      <c r="C327">
        <v>58</v>
      </c>
      <c r="D327" t="s">
        <v>51</v>
      </c>
      <c r="E327" t="s">
        <v>229</v>
      </c>
      <c r="F327" t="s">
        <v>65</v>
      </c>
      <c r="G327" t="s">
        <v>368</v>
      </c>
      <c r="H327" t="s">
        <v>1341</v>
      </c>
      <c r="I327" t="s">
        <v>29</v>
      </c>
      <c r="J327" t="s">
        <v>30</v>
      </c>
      <c r="K327">
        <v>4</v>
      </c>
      <c r="M327">
        <v>15</v>
      </c>
      <c r="N327" t="s">
        <v>31</v>
      </c>
      <c r="O327" t="s">
        <v>57</v>
      </c>
      <c r="P327" t="s">
        <v>33</v>
      </c>
      <c r="Q327" t="s">
        <v>1342</v>
      </c>
      <c r="R327" t="s">
        <v>1343</v>
      </c>
      <c r="S327">
        <v>1</v>
      </c>
      <c r="T327" t="s">
        <v>36</v>
      </c>
      <c r="U327">
        <v>189</v>
      </c>
      <c r="V327" t="s">
        <v>37</v>
      </c>
    </row>
    <row r="328" spans="1:22" x14ac:dyDescent="0.3">
      <c r="A328" t="s">
        <v>1344</v>
      </c>
      <c r="B328" t="s">
        <v>182</v>
      </c>
      <c r="C328">
        <v>31</v>
      </c>
      <c r="D328" t="s">
        <v>163</v>
      </c>
      <c r="E328" t="s">
        <v>131</v>
      </c>
      <c r="F328" t="s">
        <v>82</v>
      </c>
      <c r="G328" t="s">
        <v>1345</v>
      </c>
      <c r="H328" t="s">
        <v>511</v>
      </c>
      <c r="I328" t="s">
        <v>77</v>
      </c>
      <c r="J328" t="s">
        <v>44</v>
      </c>
      <c r="K328">
        <v>3</v>
      </c>
      <c r="L328">
        <v>69797</v>
      </c>
      <c r="M328">
        <v>5</v>
      </c>
      <c r="N328" t="s">
        <v>166</v>
      </c>
      <c r="O328" t="s">
        <v>86</v>
      </c>
      <c r="P328" t="s">
        <v>174</v>
      </c>
      <c r="Q328" t="s">
        <v>186</v>
      </c>
      <c r="R328" t="s">
        <v>1346</v>
      </c>
      <c r="S328">
        <v>1</v>
      </c>
      <c r="T328" t="s">
        <v>96</v>
      </c>
      <c r="U328">
        <v>345</v>
      </c>
      <c r="V328" t="s">
        <v>79</v>
      </c>
    </row>
    <row r="329" spans="1:22" x14ac:dyDescent="0.3">
      <c r="A329" t="s">
        <v>1347</v>
      </c>
      <c r="B329" t="s">
        <v>64</v>
      </c>
      <c r="C329">
        <v>30</v>
      </c>
      <c r="D329" t="s">
        <v>24</v>
      </c>
      <c r="E329" t="s">
        <v>142</v>
      </c>
      <c r="F329" t="s">
        <v>65</v>
      </c>
      <c r="G329" t="s">
        <v>1259</v>
      </c>
      <c r="H329" t="s">
        <v>100</v>
      </c>
      <c r="I329" t="s">
        <v>43</v>
      </c>
      <c r="J329" t="s">
        <v>30</v>
      </c>
      <c r="K329">
        <v>1</v>
      </c>
      <c r="L329">
        <v>50647</v>
      </c>
      <c r="M329">
        <v>15</v>
      </c>
      <c r="N329" t="s">
        <v>45</v>
      </c>
      <c r="O329" t="s">
        <v>46</v>
      </c>
      <c r="P329" t="s">
        <v>174</v>
      </c>
      <c r="Q329" t="s">
        <v>70</v>
      </c>
      <c r="R329" t="s">
        <v>1348</v>
      </c>
      <c r="S329">
        <v>5</v>
      </c>
      <c r="T329" t="s">
        <v>36</v>
      </c>
      <c r="U329">
        <v>366</v>
      </c>
      <c r="V329" t="s">
        <v>79</v>
      </c>
    </row>
    <row r="330" spans="1:22" x14ac:dyDescent="0.3">
      <c r="A330" t="s">
        <v>1349</v>
      </c>
      <c r="B330" t="s">
        <v>98</v>
      </c>
      <c r="C330">
        <v>43</v>
      </c>
      <c r="D330" t="s">
        <v>51</v>
      </c>
      <c r="E330" t="s">
        <v>25</v>
      </c>
      <c r="F330" t="s">
        <v>53</v>
      </c>
      <c r="G330" t="s">
        <v>1350</v>
      </c>
      <c r="H330" t="s">
        <v>538</v>
      </c>
      <c r="I330" t="s">
        <v>93</v>
      </c>
      <c r="J330" t="s">
        <v>44</v>
      </c>
      <c r="K330">
        <v>2</v>
      </c>
      <c r="L330">
        <v>12736</v>
      </c>
      <c r="M330">
        <v>0</v>
      </c>
      <c r="N330" t="s">
        <v>166</v>
      </c>
      <c r="O330" t="s">
        <v>109</v>
      </c>
      <c r="P330" t="s">
        <v>58</v>
      </c>
      <c r="S330">
        <v>3</v>
      </c>
      <c r="T330" t="s">
        <v>36</v>
      </c>
      <c r="U330">
        <v>72</v>
      </c>
      <c r="V330" t="s">
        <v>37</v>
      </c>
    </row>
    <row r="331" spans="1:22" x14ac:dyDescent="0.3">
      <c r="A331" t="s">
        <v>1351</v>
      </c>
      <c r="B331" t="s">
        <v>327</v>
      </c>
      <c r="C331">
        <v>28</v>
      </c>
      <c r="D331" t="s">
        <v>51</v>
      </c>
      <c r="E331" t="s">
        <v>131</v>
      </c>
      <c r="F331" t="s">
        <v>91</v>
      </c>
      <c r="G331" t="s">
        <v>442</v>
      </c>
      <c r="H331" t="s">
        <v>852</v>
      </c>
      <c r="I331" t="s">
        <v>85</v>
      </c>
      <c r="J331" t="s">
        <v>30</v>
      </c>
      <c r="K331">
        <v>3</v>
      </c>
      <c r="L331">
        <v>63119</v>
      </c>
      <c r="M331">
        <v>5</v>
      </c>
      <c r="N331" t="s">
        <v>166</v>
      </c>
      <c r="O331" t="s">
        <v>68</v>
      </c>
      <c r="P331" t="s">
        <v>174</v>
      </c>
      <c r="Q331" t="s">
        <v>330</v>
      </c>
      <c r="R331" t="s">
        <v>1352</v>
      </c>
      <c r="S331">
        <v>4</v>
      </c>
      <c r="T331" t="s">
        <v>61</v>
      </c>
      <c r="U331">
        <v>75</v>
      </c>
      <c r="V331" t="s">
        <v>79</v>
      </c>
    </row>
    <row r="332" spans="1:22" x14ac:dyDescent="0.3">
      <c r="A332" t="s">
        <v>1353</v>
      </c>
      <c r="B332" t="s">
        <v>130</v>
      </c>
      <c r="C332">
        <v>57</v>
      </c>
      <c r="D332" t="s">
        <v>51</v>
      </c>
      <c r="E332" t="s">
        <v>142</v>
      </c>
      <c r="F332" t="s">
        <v>91</v>
      </c>
      <c r="G332" t="s">
        <v>1354</v>
      </c>
      <c r="H332" t="s">
        <v>152</v>
      </c>
      <c r="I332" t="s">
        <v>93</v>
      </c>
      <c r="J332" t="s">
        <v>44</v>
      </c>
      <c r="K332">
        <v>4</v>
      </c>
      <c r="L332">
        <v>60556</v>
      </c>
      <c r="M332">
        <v>10</v>
      </c>
      <c r="N332" t="s">
        <v>56</v>
      </c>
      <c r="O332" t="s">
        <v>102</v>
      </c>
      <c r="P332" t="s">
        <v>58</v>
      </c>
      <c r="Q332" t="s">
        <v>1355</v>
      </c>
      <c r="R332" t="s">
        <v>1356</v>
      </c>
      <c r="S332">
        <v>2</v>
      </c>
      <c r="T332" t="s">
        <v>72</v>
      </c>
      <c r="U332">
        <v>401</v>
      </c>
      <c r="V332" t="s">
        <v>62</v>
      </c>
    </row>
    <row r="333" spans="1:22" x14ac:dyDescent="0.3">
      <c r="A333" t="s">
        <v>1357</v>
      </c>
      <c r="B333" t="s">
        <v>113</v>
      </c>
      <c r="C333">
        <v>21</v>
      </c>
      <c r="D333" t="s">
        <v>51</v>
      </c>
      <c r="E333" t="s">
        <v>142</v>
      </c>
      <c r="F333" t="s">
        <v>91</v>
      </c>
      <c r="G333" t="s">
        <v>1358</v>
      </c>
      <c r="H333" t="s">
        <v>902</v>
      </c>
      <c r="I333" t="s">
        <v>43</v>
      </c>
      <c r="J333" t="s">
        <v>30</v>
      </c>
      <c r="K333">
        <v>5</v>
      </c>
      <c r="L333">
        <v>77266</v>
      </c>
      <c r="M333">
        <v>5</v>
      </c>
      <c r="N333" t="s">
        <v>166</v>
      </c>
      <c r="O333" t="s">
        <v>173</v>
      </c>
      <c r="P333" t="s">
        <v>174</v>
      </c>
      <c r="Q333" t="s">
        <v>116</v>
      </c>
      <c r="R333" t="s">
        <v>1359</v>
      </c>
      <c r="S333">
        <v>3</v>
      </c>
      <c r="T333" t="s">
        <v>61</v>
      </c>
      <c r="U333">
        <v>208</v>
      </c>
      <c r="V333" t="s">
        <v>62</v>
      </c>
    </row>
    <row r="334" spans="1:22" x14ac:dyDescent="0.3">
      <c r="A334" t="s">
        <v>1360</v>
      </c>
      <c r="B334" t="s">
        <v>1361</v>
      </c>
      <c r="C334">
        <v>22</v>
      </c>
      <c r="D334" t="s">
        <v>51</v>
      </c>
      <c r="E334" t="s">
        <v>40</v>
      </c>
      <c r="F334" t="s">
        <v>53</v>
      </c>
      <c r="G334" t="s">
        <v>1362</v>
      </c>
      <c r="H334" t="s">
        <v>1363</v>
      </c>
      <c r="I334" t="s">
        <v>93</v>
      </c>
      <c r="J334" t="s">
        <v>30</v>
      </c>
      <c r="K334">
        <v>3</v>
      </c>
      <c r="L334">
        <v>62953</v>
      </c>
      <c r="M334">
        <v>10</v>
      </c>
      <c r="N334" t="s">
        <v>31</v>
      </c>
      <c r="O334" t="s">
        <v>109</v>
      </c>
      <c r="P334" t="s">
        <v>33</v>
      </c>
      <c r="Q334" t="s">
        <v>595</v>
      </c>
      <c r="S334">
        <v>4</v>
      </c>
      <c r="T334" t="s">
        <v>36</v>
      </c>
      <c r="U334">
        <v>260</v>
      </c>
      <c r="V334" t="s">
        <v>62</v>
      </c>
    </row>
    <row r="335" spans="1:22" x14ac:dyDescent="0.3">
      <c r="A335" t="s">
        <v>1364</v>
      </c>
      <c r="B335" t="s">
        <v>589</v>
      </c>
      <c r="C335">
        <v>29</v>
      </c>
      <c r="D335" t="s">
        <v>183</v>
      </c>
      <c r="E335" t="s">
        <v>26</v>
      </c>
      <c r="F335" t="s">
        <v>65</v>
      </c>
      <c r="G335" t="s">
        <v>335</v>
      </c>
      <c r="H335" t="s">
        <v>1365</v>
      </c>
      <c r="I335" t="s">
        <v>43</v>
      </c>
      <c r="J335" t="s">
        <v>44</v>
      </c>
      <c r="L335">
        <v>46000</v>
      </c>
      <c r="M335">
        <v>5</v>
      </c>
      <c r="N335" t="s">
        <v>45</v>
      </c>
      <c r="O335" t="s">
        <v>102</v>
      </c>
      <c r="P335" t="s">
        <v>174</v>
      </c>
      <c r="Q335" t="s">
        <v>591</v>
      </c>
      <c r="R335" t="s">
        <v>1366</v>
      </c>
      <c r="S335">
        <v>4</v>
      </c>
      <c r="T335" t="s">
        <v>36</v>
      </c>
      <c r="U335">
        <v>344</v>
      </c>
      <c r="V335" t="s">
        <v>79</v>
      </c>
    </row>
    <row r="336" spans="1:22" x14ac:dyDescent="0.3">
      <c r="A336" t="s">
        <v>1367</v>
      </c>
      <c r="B336" t="s">
        <v>90</v>
      </c>
      <c r="C336">
        <v>45</v>
      </c>
      <c r="D336" t="s">
        <v>51</v>
      </c>
      <c r="E336" t="s">
        <v>142</v>
      </c>
      <c r="F336" t="s">
        <v>26</v>
      </c>
      <c r="G336" t="s">
        <v>1368</v>
      </c>
      <c r="H336" t="s">
        <v>1369</v>
      </c>
      <c r="I336" t="s">
        <v>85</v>
      </c>
      <c r="J336" t="s">
        <v>44</v>
      </c>
      <c r="K336">
        <v>3</v>
      </c>
      <c r="L336">
        <v>14736</v>
      </c>
      <c r="M336">
        <v>5</v>
      </c>
      <c r="N336" t="s">
        <v>166</v>
      </c>
      <c r="O336" t="s">
        <v>32</v>
      </c>
      <c r="P336" t="s">
        <v>33</v>
      </c>
      <c r="Q336" t="s">
        <v>94</v>
      </c>
      <c r="R336" t="s">
        <v>1370</v>
      </c>
      <c r="S336">
        <v>2</v>
      </c>
      <c r="T336" t="s">
        <v>96</v>
      </c>
      <c r="U336">
        <v>235</v>
      </c>
      <c r="V336" t="s">
        <v>62</v>
      </c>
    </row>
    <row r="337" spans="1:22" x14ac:dyDescent="0.3">
      <c r="A337" t="s">
        <v>1371</v>
      </c>
      <c r="B337" t="s">
        <v>509</v>
      </c>
      <c r="C337">
        <v>56</v>
      </c>
      <c r="D337" t="s">
        <v>51</v>
      </c>
      <c r="E337" t="s">
        <v>229</v>
      </c>
      <c r="F337" t="s">
        <v>82</v>
      </c>
      <c r="G337" t="s">
        <v>1073</v>
      </c>
      <c r="H337" t="s">
        <v>1372</v>
      </c>
      <c r="I337" t="s">
        <v>77</v>
      </c>
      <c r="J337" t="s">
        <v>44</v>
      </c>
      <c r="L337">
        <v>17419</v>
      </c>
      <c r="M337">
        <v>10</v>
      </c>
      <c r="N337" t="s">
        <v>31</v>
      </c>
      <c r="O337" t="s">
        <v>102</v>
      </c>
      <c r="P337" t="s">
        <v>58</v>
      </c>
      <c r="Q337" t="s">
        <v>512</v>
      </c>
      <c r="R337" t="s">
        <v>1373</v>
      </c>
      <c r="S337">
        <v>4</v>
      </c>
      <c r="T337" t="s">
        <v>72</v>
      </c>
      <c r="U337">
        <v>395</v>
      </c>
      <c r="V337" t="s">
        <v>37</v>
      </c>
    </row>
    <row r="338" spans="1:22" x14ac:dyDescent="0.3">
      <c r="A338" t="s">
        <v>1374</v>
      </c>
      <c r="B338" t="s">
        <v>457</v>
      </c>
      <c r="C338">
        <v>48</v>
      </c>
      <c r="D338" t="s">
        <v>24</v>
      </c>
      <c r="E338" t="s">
        <v>99</v>
      </c>
      <c r="F338" t="s">
        <v>91</v>
      </c>
      <c r="G338" t="s">
        <v>1375</v>
      </c>
      <c r="H338" t="s">
        <v>1376</v>
      </c>
      <c r="I338" t="s">
        <v>43</v>
      </c>
      <c r="J338" t="s">
        <v>30</v>
      </c>
      <c r="K338">
        <v>2</v>
      </c>
      <c r="L338">
        <v>38137</v>
      </c>
      <c r="M338">
        <v>0</v>
      </c>
      <c r="N338" t="s">
        <v>31</v>
      </c>
      <c r="O338" t="s">
        <v>46</v>
      </c>
      <c r="P338" t="s">
        <v>174</v>
      </c>
      <c r="Q338" t="s">
        <v>595</v>
      </c>
      <c r="R338" t="s">
        <v>1377</v>
      </c>
      <c r="S338">
        <v>1</v>
      </c>
      <c r="T338" t="s">
        <v>36</v>
      </c>
      <c r="U338">
        <v>123</v>
      </c>
      <c r="V338" t="s">
        <v>79</v>
      </c>
    </row>
    <row r="339" spans="1:22" x14ac:dyDescent="0.3">
      <c r="A339" t="s">
        <v>1378</v>
      </c>
      <c r="B339" t="s">
        <v>243</v>
      </c>
      <c r="C339">
        <v>46</v>
      </c>
      <c r="D339" t="s">
        <v>24</v>
      </c>
      <c r="E339" t="s">
        <v>40</v>
      </c>
      <c r="F339" t="s">
        <v>53</v>
      </c>
      <c r="G339" t="s">
        <v>1379</v>
      </c>
      <c r="H339" t="s">
        <v>1163</v>
      </c>
      <c r="I339" t="s">
        <v>77</v>
      </c>
      <c r="J339" t="s">
        <v>44</v>
      </c>
      <c r="K339">
        <v>5</v>
      </c>
      <c r="L339">
        <v>18325</v>
      </c>
      <c r="M339">
        <v>15</v>
      </c>
      <c r="N339" t="s">
        <v>56</v>
      </c>
      <c r="O339" t="s">
        <v>173</v>
      </c>
      <c r="P339" t="s">
        <v>69</v>
      </c>
      <c r="Q339" t="s">
        <v>246</v>
      </c>
      <c r="R339" t="s">
        <v>1380</v>
      </c>
      <c r="S339">
        <v>5</v>
      </c>
      <c r="T339" t="s">
        <v>96</v>
      </c>
      <c r="U339">
        <v>382</v>
      </c>
      <c r="V339" t="s">
        <v>79</v>
      </c>
    </row>
    <row r="340" spans="1:22" x14ac:dyDescent="0.3">
      <c r="A340" t="s">
        <v>1381</v>
      </c>
      <c r="B340" t="s">
        <v>527</v>
      </c>
      <c r="C340">
        <v>37</v>
      </c>
      <c r="D340" t="s">
        <v>24</v>
      </c>
      <c r="E340" t="s">
        <v>25</v>
      </c>
      <c r="F340" t="s">
        <v>82</v>
      </c>
      <c r="G340" t="s">
        <v>1256</v>
      </c>
      <c r="H340" t="s">
        <v>83</v>
      </c>
      <c r="I340" t="s">
        <v>29</v>
      </c>
      <c r="J340" t="s">
        <v>30</v>
      </c>
      <c r="K340">
        <v>5</v>
      </c>
      <c r="L340">
        <v>49806</v>
      </c>
      <c r="M340">
        <v>0</v>
      </c>
      <c r="N340" t="s">
        <v>166</v>
      </c>
      <c r="O340" t="s">
        <v>109</v>
      </c>
      <c r="P340" t="s">
        <v>69</v>
      </c>
      <c r="Q340" t="s">
        <v>530</v>
      </c>
      <c r="R340" t="s">
        <v>1382</v>
      </c>
      <c r="S340">
        <v>5</v>
      </c>
      <c r="T340" t="s">
        <v>72</v>
      </c>
      <c r="U340">
        <v>195</v>
      </c>
      <c r="V340" t="s">
        <v>37</v>
      </c>
    </row>
    <row r="341" spans="1:22" x14ac:dyDescent="0.3">
      <c r="A341" t="s">
        <v>1383</v>
      </c>
      <c r="B341" t="s">
        <v>309</v>
      </c>
      <c r="C341">
        <v>26</v>
      </c>
      <c r="D341" t="s">
        <v>24</v>
      </c>
      <c r="E341" t="s">
        <v>40</v>
      </c>
      <c r="F341" t="s">
        <v>53</v>
      </c>
      <c r="G341" t="s">
        <v>829</v>
      </c>
      <c r="H341" t="s">
        <v>1372</v>
      </c>
      <c r="I341" t="s">
        <v>93</v>
      </c>
      <c r="J341" t="s">
        <v>30</v>
      </c>
      <c r="K341">
        <v>4</v>
      </c>
      <c r="L341">
        <v>13207</v>
      </c>
      <c r="M341">
        <v>10</v>
      </c>
      <c r="N341" t="s">
        <v>31</v>
      </c>
      <c r="O341" t="s">
        <v>109</v>
      </c>
      <c r="P341" t="s">
        <v>33</v>
      </c>
      <c r="Q341" t="s">
        <v>312</v>
      </c>
      <c r="R341" t="s">
        <v>1384</v>
      </c>
      <c r="S341">
        <v>3</v>
      </c>
      <c r="T341" t="s">
        <v>61</v>
      </c>
      <c r="U341">
        <v>364</v>
      </c>
      <c r="V341" t="s">
        <v>37</v>
      </c>
    </row>
    <row r="342" spans="1:22" x14ac:dyDescent="0.3">
      <c r="A342" t="s">
        <v>1385</v>
      </c>
      <c r="B342" t="s">
        <v>1309</v>
      </c>
      <c r="C342">
        <v>60</v>
      </c>
      <c r="D342" t="s">
        <v>51</v>
      </c>
      <c r="E342" t="s">
        <v>229</v>
      </c>
      <c r="F342" t="s">
        <v>91</v>
      </c>
      <c r="G342" t="s">
        <v>1386</v>
      </c>
      <c r="H342" t="s">
        <v>894</v>
      </c>
      <c r="I342" t="s">
        <v>77</v>
      </c>
      <c r="J342" t="s">
        <v>30</v>
      </c>
      <c r="K342">
        <v>5</v>
      </c>
      <c r="L342">
        <v>5826</v>
      </c>
      <c r="M342">
        <v>10</v>
      </c>
      <c r="N342" t="s">
        <v>166</v>
      </c>
      <c r="O342" t="s">
        <v>57</v>
      </c>
      <c r="P342" t="s">
        <v>58</v>
      </c>
      <c r="Q342" t="s">
        <v>1311</v>
      </c>
      <c r="R342" t="s">
        <v>1387</v>
      </c>
      <c r="S342">
        <v>3</v>
      </c>
      <c r="T342" t="s">
        <v>36</v>
      </c>
      <c r="U342">
        <v>154</v>
      </c>
      <c r="V342" t="s">
        <v>62</v>
      </c>
    </row>
    <row r="343" spans="1:22" x14ac:dyDescent="0.3">
      <c r="A343" t="s">
        <v>1388</v>
      </c>
      <c r="B343" t="s">
        <v>235</v>
      </c>
      <c r="C343">
        <v>18</v>
      </c>
      <c r="D343" t="s">
        <v>24</v>
      </c>
      <c r="E343" t="s">
        <v>25</v>
      </c>
      <c r="F343" t="s">
        <v>65</v>
      </c>
      <c r="G343" t="s">
        <v>680</v>
      </c>
      <c r="H343" t="s">
        <v>256</v>
      </c>
      <c r="I343" t="s">
        <v>108</v>
      </c>
      <c r="J343" t="s">
        <v>44</v>
      </c>
      <c r="K343">
        <v>1</v>
      </c>
      <c r="L343">
        <v>47063</v>
      </c>
      <c r="M343">
        <v>10</v>
      </c>
      <c r="N343" t="s">
        <v>56</v>
      </c>
      <c r="O343" t="s">
        <v>57</v>
      </c>
      <c r="P343" t="s">
        <v>174</v>
      </c>
      <c r="Q343" t="s">
        <v>871</v>
      </c>
      <c r="S343">
        <v>5</v>
      </c>
      <c r="T343" t="s">
        <v>61</v>
      </c>
      <c r="U343">
        <v>185</v>
      </c>
      <c r="V343" t="s">
        <v>79</v>
      </c>
    </row>
    <row r="344" spans="1:22" x14ac:dyDescent="0.3">
      <c r="A344" t="s">
        <v>1389</v>
      </c>
      <c r="B344" t="s">
        <v>702</v>
      </c>
      <c r="C344">
        <v>27</v>
      </c>
      <c r="D344" t="s">
        <v>51</v>
      </c>
      <c r="E344" t="s">
        <v>99</v>
      </c>
      <c r="F344" t="s">
        <v>26</v>
      </c>
      <c r="G344" t="s">
        <v>1390</v>
      </c>
      <c r="H344" t="s">
        <v>1362</v>
      </c>
      <c r="I344" t="s">
        <v>29</v>
      </c>
      <c r="J344" t="s">
        <v>30</v>
      </c>
      <c r="K344">
        <v>4</v>
      </c>
      <c r="L344">
        <v>12921</v>
      </c>
      <c r="M344">
        <v>5</v>
      </c>
      <c r="N344" t="s">
        <v>45</v>
      </c>
      <c r="O344" t="s">
        <v>102</v>
      </c>
      <c r="P344" t="s">
        <v>69</v>
      </c>
      <c r="R344" t="s">
        <v>1391</v>
      </c>
      <c r="S344">
        <v>1</v>
      </c>
      <c r="T344" t="s">
        <v>61</v>
      </c>
      <c r="U344">
        <v>499</v>
      </c>
      <c r="V344" t="s">
        <v>62</v>
      </c>
    </row>
    <row r="345" spans="1:22" x14ac:dyDescent="0.3">
      <c r="A345" t="s">
        <v>1392</v>
      </c>
      <c r="B345" t="s">
        <v>707</v>
      </c>
      <c r="C345">
        <v>19</v>
      </c>
      <c r="D345" t="s">
        <v>183</v>
      </c>
      <c r="E345" t="s">
        <v>52</v>
      </c>
      <c r="F345" t="s">
        <v>53</v>
      </c>
      <c r="G345" t="s">
        <v>1076</v>
      </c>
      <c r="H345" t="s">
        <v>735</v>
      </c>
      <c r="I345" t="s">
        <v>77</v>
      </c>
      <c r="J345" t="s">
        <v>30</v>
      </c>
      <c r="K345">
        <v>1</v>
      </c>
      <c r="L345">
        <v>38955</v>
      </c>
      <c r="M345">
        <v>10</v>
      </c>
      <c r="N345" t="s">
        <v>45</v>
      </c>
      <c r="O345" t="s">
        <v>102</v>
      </c>
      <c r="P345" t="s">
        <v>58</v>
      </c>
      <c r="Q345" t="s">
        <v>709</v>
      </c>
      <c r="R345" t="s">
        <v>1393</v>
      </c>
      <c r="S345">
        <v>4</v>
      </c>
      <c r="T345" t="s">
        <v>96</v>
      </c>
      <c r="U345">
        <v>362</v>
      </c>
      <c r="V345" t="s">
        <v>62</v>
      </c>
    </row>
    <row r="346" spans="1:22" x14ac:dyDescent="0.3">
      <c r="A346" t="s">
        <v>1394</v>
      </c>
      <c r="B346" t="s">
        <v>285</v>
      </c>
      <c r="C346">
        <v>58</v>
      </c>
      <c r="D346" t="s">
        <v>51</v>
      </c>
      <c r="E346" t="s">
        <v>26</v>
      </c>
      <c r="F346" t="s">
        <v>53</v>
      </c>
      <c r="G346" t="s">
        <v>244</v>
      </c>
      <c r="H346" t="s">
        <v>335</v>
      </c>
      <c r="I346" t="s">
        <v>85</v>
      </c>
      <c r="J346" t="s">
        <v>44</v>
      </c>
      <c r="K346">
        <v>5</v>
      </c>
      <c r="M346">
        <v>5</v>
      </c>
      <c r="N346" t="s">
        <v>166</v>
      </c>
      <c r="O346" t="s">
        <v>173</v>
      </c>
      <c r="P346" t="s">
        <v>58</v>
      </c>
      <c r="Q346" t="s">
        <v>300</v>
      </c>
      <c r="S346">
        <v>2</v>
      </c>
      <c r="T346" t="s">
        <v>72</v>
      </c>
      <c r="U346">
        <v>231</v>
      </c>
      <c r="V346" t="s">
        <v>79</v>
      </c>
    </row>
    <row r="347" spans="1:22" x14ac:dyDescent="0.3">
      <c r="A347" t="s">
        <v>1395</v>
      </c>
      <c r="B347" t="s">
        <v>1396</v>
      </c>
      <c r="C347">
        <v>55</v>
      </c>
      <c r="D347" t="s">
        <v>51</v>
      </c>
      <c r="E347" t="s">
        <v>99</v>
      </c>
      <c r="F347" t="s">
        <v>26</v>
      </c>
      <c r="G347" t="s">
        <v>430</v>
      </c>
      <c r="H347" t="s">
        <v>633</v>
      </c>
      <c r="I347" t="s">
        <v>43</v>
      </c>
      <c r="J347" t="s">
        <v>30</v>
      </c>
      <c r="K347">
        <v>1</v>
      </c>
      <c r="L347">
        <v>12299</v>
      </c>
      <c r="M347">
        <v>15</v>
      </c>
      <c r="N347" t="s">
        <v>56</v>
      </c>
      <c r="O347" t="s">
        <v>281</v>
      </c>
      <c r="P347" t="s">
        <v>69</v>
      </c>
      <c r="Q347" t="s">
        <v>1397</v>
      </c>
      <c r="R347" t="s">
        <v>1398</v>
      </c>
      <c r="S347">
        <v>2</v>
      </c>
      <c r="T347" t="s">
        <v>72</v>
      </c>
      <c r="U347">
        <v>76</v>
      </c>
      <c r="V347" t="s">
        <v>62</v>
      </c>
    </row>
    <row r="348" spans="1:22" x14ac:dyDescent="0.3">
      <c r="A348" t="s">
        <v>1399</v>
      </c>
      <c r="B348" t="s">
        <v>601</v>
      </c>
      <c r="C348">
        <v>47</v>
      </c>
      <c r="D348" t="s">
        <v>163</v>
      </c>
      <c r="E348" t="s">
        <v>99</v>
      </c>
      <c r="F348" t="s">
        <v>26</v>
      </c>
      <c r="G348" t="s">
        <v>1127</v>
      </c>
      <c r="H348" t="s">
        <v>1400</v>
      </c>
      <c r="I348" t="s">
        <v>108</v>
      </c>
      <c r="J348" t="s">
        <v>44</v>
      </c>
      <c r="K348">
        <v>4</v>
      </c>
      <c r="L348">
        <v>77509</v>
      </c>
      <c r="M348">
        <v>10</v>
      </c>
      <c r="N348" t="s">
        <v>166</v>
      </c>
      <c r="O348" t="s">
        <v>109</v>
      </c>
      <c r="P348" t="s">
        <v>174</v>
      </c>
      <c r="Q348" t="s">
        <v>603</v>
      </c>
      <c r="R348" t="s">
        <v>1401</v>
      </c>
      <c r="S348">
        <v>2</v>
      </c>
      <c r="T348" t="s">
        <v>72</v>
      </c>
      <c r="U348">
        <v>326</v>
      </c>
      <c r="V348" t="s">
        <v>62</v>
      </c>
    </row>
    <row r="349" spans="1:22" x14ac:dyDescent="0.3">
      <c r="A349" t="s">
        <v>1402</v>
      </c>
      <c r="B349" t="s">
        <v>74</v>
      </c>
      <c r="C349">
        <v>24</v>
      </c>
      <c r="D349" t="s">
        <v>51</v>
      </c>
      <c r="E349" t="s">
        <v>131</v>
      </c>
      <c r="F349" t="s">
        <v>26</v>
      </c>
      <c r="G349" t="s">
        <v>1403</v>
      </c>
      <c r="H349" t="s">
        <v>685</v>
      </c>
      <c r="I349" t="s">
        <v>77</v>
      </c>
      <c r="J349" t="s">
        <v>44</v>
      </c>
      <c r="K349">
        <v>3</v>
      </c>
      <c r="L349">
        <v>34308</v>
      </c>
      <c r="M349">
        <v>5</v>
      </c>
      <c r="N349" t="s">
        <v>56</v>
      </c>
      <c r="O349" t="s">
        <v>86</v>
      </c>
      <c r="P349" t="s">
        <v>33</v>
      </c>
      <c r="Q349" t="s">
        <v>78</v>
      </c>
      <c r="R349" t="s">
        <v>1404</v>
      </c>
      <c r="S349">
        <v>3</v>
      </c>
      <c r="T349" t="s">
        <v>61</v>
      </c>
      <c r="U349">
        <v>397</v>
      </c>
      <c r="V349" t="s">
        <v>37</v>
      </c>
    </row>
    <row r="350" spans="1:22" x14ac:dyDescent="0.3">
      <c r="A350" t="s">
        <v>1405</v>
      </c>
      <c r="B350" t="s">
        <v>860</v>
      </c>
      <c r="C350">
        <v>52</v>
      </c>
      <c r="D350" t="s">
        <v>51</v>
      </c>
      <c r="E350" t="s">
        <v>229</v>
      </c>
      <c r="F350" t="s">
        <v>26</v>
      </c>
      <c r="G350" t="s">
        <v>1406</v>
      </c>
      <c r="H350" t="s">
        <v>768</v>
      </c>
      <c r="I350" t="s">
        <v>108</v>
      </c>
      <c r="J350" t="s">
        <v>44</v>
      </c>
      <c r="K350">
        <v>2</v>
      </c>
      <c r="L350">
        <v>33225</v>
      </c>
      <c r="M350">
        <v>0</v>
      </c>
      <c r="N350" t="s">
        <v>31</v>
      </c>
      <c r="O350" t="s">
        <v>86</v>
      </c>
      <c r="P350" t="s">
        <v>58</v>
      </c>
      <c r="Q350" t="s">
        <v>862</v>
      </c>
      <c r="R350" t="s">
        <v>1407</v>
      </c>
      <c r="S350">
        <v>3</v>
      </c>
      <c r="T350" t="s">
        <v>96</v>
      </c>
      <c r="U350">
        <v>352</v>
      </c>
      <c r="V350" t="s">
        <v>79</v>
      </c>
    </row>
    <row r="351" spans="1:22" x14ac:dyDescent="0.3">
      <c r="A351" t="s">
        <v>1408</v>
      </c>
      <c r="B351" t="s">
        <v>1409</v>
      </c>
      <c r="C351">
        <v>23</v>
      </c>
      <c r="D351" t="s">
        <v>51</v>
      </c>
      <c r="E351" t="s">
        <v>229</v>
      </c>
      <c r="F351" t="s">
        <v>26</v>
      </c>
      <c r="G351" t="s">
        <v>462</v>
      </c>
      <c r="H351" t="s">
        <v>1410</v>
      </c>
      <c r="I351" t="s">
        <v>108</v>
      </c>
      <c r="J351" t="s">
        <v>44</v>
      </c>
      <c r="K351">
        <v>3</v>
      </c>
      <c r="L351">
        <v>40881</v>
      </c>
      <c r="M351">
        <v>10</v>
      </c>
      <c r="N351" t="s">
        <v>31</v>
      </c>
      <c r="O351" t="s">
        <v>109</v>
      </c>
      <c r="P351" t="s">
        <v>58</v>
      </c>
      <c r="Q351" t="s">
        <v>1082</v>
      </c>
      <c r="R351" t="s">
        <v>1411</v>
      </c>
      <c r="S351">
        <v>4</v>
      </c>
      <c r="T351" t="s">
        <v>72</v>
      </c>
      <c r="U351">
        <v>145</v>
      </c>
      <c r="V351" t="s">
        <v>37</v>
      </c>
    </row>
    <row r="352" spans="1:22" x14ac:dyDescent="0.3">
      <c r="A352" t="s">
        <v>1412</v>
      </c>
      <c r="B352" t="s">
        <v>39</v>
      </c>
      <c r="C352">
        <v>27</v>
      </c>
      <c r="D352" t="s">
        <v>51</v>
      </c>
      <c r="E352" t="s">
        <v>142</v>
      </c>
      <c r="F352" t="s">
        <v>82</v>
      </c>
      <c r="G352" t="s">
        <v>1291</v>
      </c>
      <c r="H352" t="s">
        <v>691</v>
      </c>
      <c r="I352" t="s">
        <v>93</v>
      </c>
      <c r="J352" t="s">
        <v>30</v>
      </c>
      <c r="K352">
        <v>3</v>
      </c>
      <c r="L352">
        <v>20427</v>
      </c>
      <c r="M352">
        <v>5</v>
      </c>
      <c r="N352" t="s">
        <v>31</v>
      </c>
      <c r="O352" t="s">
        <v>46</v>
      </c>
      <c r="P352" t="s">
        <v>174</v>
      </c>
      <c r="Q352" t="s">
        <v>47</v>
      </c>
      <c r="R352" t="s">
        <v>1413</v>
      </c>
      <c r="S352">
        <v>5</v>
      </c>
      <c r="T352" t="s">
        <v>96</v>
      </c>
      <c r="U352">
        <v>422</v>
      </c>
      <c r="V352" t="s">
        <v>79</v>
      </c>
    </row>
    <row r="353" spans="1:22" x14ac:dyDescent="0.3">
      <c r="A353" t="s">
        <v>1414</v>
      </c>
      <c r="B353" t="s">
        <v>141</v>
      </c>
      <c r="C353">
        <v>46</v>
      </c>
      <c r="D353" t="s">
        <v>51</v>
      </c>
      <c r="E353" t="s">
        <v>40</v>
      </c>
      <c r="F353" t="s">
        <v>26</v>
      </c>
      <c r="G353" t="s">
        <v>1022</v>
      </c>
      <c r="H353" t="s">
        <v>586</v>
      </c>
      <c r="I353" t="s">
        <v>29</v>
      </c>
      <c r="J353" t="s">
        <v>44</v>
      </c>
      <c r="K353">
        <v>4</v>
      </c>
      <c r="L353">
        <v>8245</v>
      </c>
      <c r="M353">
        <v>5</v>
      </c>
      <c r="N353" t="s">
        <v>166</v>
      </c>
      <c r="O353" t="s">
        <v>281</v>
      </c>
      <c r="P353" t="s">
        <v>33</v>
      </c>
      <c r="Q353" t="s">
        <v>144</v>
      </c>
      <c r="R353" t="s">
        <v>1415</v>
      </c>
      <c r="S353">
        <v>2</v>
      </c>
      <c r="T353" t="s">
        <v>96</v>
      </c>
      <c r="U353">
        <v>162</v>
      </c>
      <c r="V353" t="s">
        <v>37</v>
      </c>
    </row>
    <row r="354" spans="1:22" x14ac:dyDescent="0.3">
      <c r="A354" t="s">
        <v>1416</v>
      </c>
      <c r="B354" t="s">
        <v>90</v>
      </c>
      <c r="C354">
        <v>37</v>
      </c>
      <c r="D354" t="s">
        <v>24</v>
      </c>
      <c r="E354" t="s">
        <v>25</v>
      </c>
      <c r="F354" t="s">
        <v>91</v>
      </c>
      <c r="G354" t="s">
        <v>1417</v>
      </c>
      <c r="H354" t="s">
        <v>1259</v>
      </c>
      <c r="I354" t="s">
        <v>43</v>
      </c>
      <c r="J354" t="s">
        <v>30</v>
      </c>
      <c r="K354">
        <v>3</v>
      </c>
      <c r="L354">
        <v>53140</v>
      </c>
      <c r="M354">
        <v>0</v>
      </c>
      <c r="N354" t="s">
        <v>45</v>
      </c>
      <c r="O354" t="s">
        <v>281</v>
      </c>
      <c r="P354" t="s">
        <v>69</v>
      </c>
      <c r="Q354" t="s">
        <v>94</v>
      </c>
      <c r="R354" t="s">
        <v>1418</v>
      </c>
      <c r="S354">
        <v>4</v>
      </c>
      <c r="T354" t="s">
        <v>96</v>
      </c>
      <c r="U354">
        <v>179</v>
      </c>
      <c r="V354" t="s">
        <v>62</v>
      </c>
    </row>
    <row r="355" spans="1:22" x14ac:dyDescent="0.3">
      <c r="A355" t="s">
        <v>1419</v>
      </c>
      <c r="B355" t="s">
        <v>850</v>
      </c>
      <c r="C355">
        <v>49</v>
      </c>
      <c r="D355" t="s">
        <v>24</v>
      </c>
      <c r="E355" t="s">
        <v>131</v>
      </c>
      <c r="F355" t="s">
        <v>65</v>
      </c>
      <c r="G355" t="s">
        <v>1146</v>
      </c>
      <c r="H355" t="s">
        <v>535</v>
      </c>
      <c r="I355" t="s">
        <v>29</v>
      </c>
      <c r="J355" t="s">
        <v>30</v>
      </c>
      <c r="K355">
        <v>3</v>
      </c>
      <c r="L355">
        <v>41115</v>
      </c>
      <c r="M355">
        <v>10</v>
      </c>
      <c r="N355" t="s">
        <v>56</v>
      </c>
      <c r="O355" t="s">
        <v>281</v>
      </c>
      <c r="P355" t="s">
        <v>33</v>
      </c>
      <c r="S355">
        <v>4</v>
      </c>
      <c r="T355" t="s">
        <v>96</v>
      </c>
      <c r="U355">
        <v>287</v>
      </c>
      <c r="V355" t="s">
        <v>62</v>
      </c>
    </row>
    <row r="356" spans="1:22" x14ac:dyDescent="0.3">
      <c r="A356" t="s">
        <v>1420</v>
      </c>
      <c r="B356" t="s">
        <v>946</v>
      </c>
      <c r="C356">
        <v>19</v>
      </c>
      <c r="D356" t="s">
        <v>51</v>
      </c>
      <c r="E356" t="s">
        <v>131</v>
      </c>
      <c r="F356" t="s">
        <v>26</v>
      </c>
      <c r="G356" t="s">
        <v>1421</v>
      </c>
      <c r="H356" t="s">
        <v>843</v>
      </c>
      <c r="I356" t="s">
        <v>108</v>
      </c>
      <c r="J356" t="s">
        <v>30</v>
      </c>
      <c r="K356">
        <v>2</v>
      </c>
      <c r="L356">
        <v>52233</v>
      </c>
      <c r="M356">
        <v>0</v>
      </c>
      <c r="N356" t="s">
        <v>56</v>
      </c>
      <c r="O356" t="s">
        <v>109</v>
      </c>
      <c r="P356" t="s">
        <v>58</v>
      </c>
      <c r="R356" t="s">
        <v>1422</v>
      </c>
      <c r="S356">
        <v>2</v>
      </c>
      <c r="T356" t="s">
        <v>36</v>
      </c>
      <c r="U356">
        <v>362</v>
      </c>
      <c r="V356" t="s">
        <v>37</v>
      </c>
    </row>
    <row r="357" spans="1:22" x14ac:dyDescent="0.3">
      <c r="A357" t="s">
        <v>1423</v>
      </c>
      <c r="B357" t="s">
        <v>527</v>
      </c>
      <c r="C357">
        <v>23</v>
      </c>
      <c r="D357" t="s">
        <v>24</v>
      </c>
      <c r="E357" t="s">
        <v>229</v>
      </c>
      <c r="F357" t="s">
        <v>26</v>
      </c>
      <c r="G357" t="s">
        <v>158</v>
      </c>
      <c r="H357" t="s">
        <v>1179</v>
      </c>
      <c r="I357" t="s">
        <v>29</v>
      </c>
      <c r="J357" t="s">
        <v>44</v>
      </c>
      <c r="K357">
        <v>4</v>
      </c>
      <c r="L357">
        <v>30087</v>
      </c>
      <c r="M357">
        <v>0</v>
      </c>
      <c r="N357" t="s">
        <v>166</v>
      </c>
      <c r="O357" t="s">
        <v>57</v>
      </c>
      <c r="P357" t="s">
        <v>174</v>
      </c>
      <c r="Q357" t="s">
        <v>530</v>
      </c>
      <c r="S357">
        <v>2</v>
      </c>
      <c r="T357" t="s">
        <v>61</v>
      </c>
      <c r="U357">
        <v>343</v>
      </c>
      <c r="V357" t="s">
        <v>37</v>
      </c>
    </row>
    <row r="358" spans="1:22" x14ac:dyDescent="0.3">
      <c r="A358" t="s">
        <v>1424</v>
      </c>
      <c r="B358" t="s">
        <v>1425</v>
      </c>
      <c r="C358">
        <v>29</v>
      </c>
      <c r="D358" t="s">
        <v>24</v>
      </c>
      <c r="E358" t="s">
        <v>52</v>
      </c>
      <c r="F358" t="s">
        <v>26</v>
      </c>
      <c r="G358" t="s">
        <v>1426</v>
      </c>
      <c r="H358" t="s">
        <v>815</v>
      </c>
      <c r="I358" t="s">
        <v>85</v>
      </c>
      <c r="J358" t="s">
        <v>30</v>
      </c>
      <c r="K358">
        <v>2</v>
      </c>
      <c r="L358">
        <v>6596</v>
      </c>
      <c r="M358">
        <v>0</v>
      </c>
      <c r="N358" t="s">
        <v>45</v>
      </c>
      <c r="O358" t="s">
        <v>133</v>
      </c>
      <c r="P358" t="s">
        <v>58</v>
      </c>
      <c r="Q358" t="s">
        <v>1427</v>
      </c>
      <c r="S358">
        <v>4</v>
      </c>
      <c r="T358" t="s">
        <v>72</v>
      </c>
      <c r="U358">
        <v>451</v>
      </c>
      <c r="V358" t="s">
        <v>79</v>
      </c>
    </row>
    <row r="359" spans="1:22" x14ac:dyDescent="0.3">
      <c r="A359" t="s">
        <v>1428</v>
      </c>
      <c r="B359" t="s">
        <v>808</v>
      </c>
      <c r="C359">
        <v>20</v>
      </c>
      <c r="D359" t="s">
        <v>24</v>
      </c>
      <c r="E359" t="s">
        <v>99</v>
      </c>
      <c r="F359" t="s">
        <v>26</v>
      </c>
      <c r="G359" t="s">
        <v>1429</v>
      </c>
      <c r="H359" t="s">
        <v>1430</v>
      </c>
      <c r="I359" t="s">
        <v>85</v>
      </c>
      <c r="J359" t="s">
        <v>44</v>
      </c>
      <c r="K359">
        <v>3</v>
      </c>
      <c r="L359">
        <v>18029</v>
      </c>
      <c r="M359">
        <v>10</v>
      </c>
      <c r="N359" t="s">
        <v>31</v>
      </c>
      <c r="O359" t="s">
        <v>109</v>
      </c>
      <c r="P359" t="s">
        <v>58</v>
      </c>
      <c r="Q359" t="s">
        <v>191</v>
      </c>
      <c r="R359" t="s">
        <v>1431</v>
      </c>
      <c r="S359">
        <v>2</v>
      </c>
      <c r="T359" t="s">
        <v>61</v>
      </c>
      <c r="U359">
        <v>174</v>
      </c>
      <c r="V359" t="s">
        <v>79</v>
      </c>
    </row>
    <row r="360" spans="1:22" x14ac:dyDescent="0.3">
      <c r="A360" t="s">
        <v>1432</v>
      </c>
      <c r="B360" t="s">
        <v>684</v>
      </c>
      <c r="C360">
        <v>37</v>
      </c>
      <c r="D360" t="s">
        <v>51</v>
      </c>
      <c r="E360" t="s">
        <v>131</v>
      </c>
      <c r="F360" t="s">
        <v>65</v>
      </c>
      <c r="G360" t="s">
        <v>1433</v>
      </c>
      <c r="H360" t="s">
        <v>1434</v>
      </c>
      <c r="I360" t="s">
        <v>93</v>
      </c>
      <c r="J360" t="s">
        <v>44</v>
      </c>
      <c r="K360">
        <v>3</v>
      </c>
      <c r="L360">
        <v>6706</v>
      </c>
      <c r="M360">
        <v>10</v>
      </c>
      <c r="N360" t="s">
        <v>56</v>
      </c>
      <c r="O360" t="s">
        <v>86</v>
      </c>
      <c r="P360" t="s">
        <v>58</v>
      </c>
      <c r="R360" t="s">
        <v>1435</v>
      </c>
      <c r="S360">
        <v>4</v>
      </c>
      <c r="T360" t="s">
        <v>72</v>
      </c>
      <c r="U360">
        <v>227</v>
      </c>
      <c r="V360" t="s">
        <v>37</v>
      </c>
    </row>
    <row r="361" spans="1:22" x14ac:dyDescent="0.3">
      <c r="A361" t="s">
        <v>1436</v>
      </c>
      <c r="B361" t="s">
        <v>272</v>
      </c>
      <c r="C361">
        <v>50</v>
      </c>
      <c r="D361" t="s">
        <v>24</v>
      </c>
      <c r="E361" t="s">
        <v>229</v>
      </c>
      <c r="F361" t="s">
        <v>26</v>
      </c>
      <c r="G361" t="s">
        <v>1437</v>
      </c>
      <c r="H361" t="s">
        <v>1047</v>
      </c>
      <c r="I361" t="s">
        <v>77</v>
      </c>
      <c r="J361" t="s">
        <v>44</v>
      </c>
      <c r="K361">
        <v>5</v>
      </c>
      <c r="L361">
        <v>14900</v>
      </c>
      <c r="M361">
        <v>5</v>
      </c>
      <c r="N361" t="s">
        <v>166</v>
      </c>
      <c r="O361" t="s">
        <v>57</v>
      </c>
      <c r="P361" t="s">
        <v>69</v>
      </c>
      <c r="R361" t="s">
        <v>1438</v>
      </c>
      <c r="S361">
        <v>3</v>
      </c>
      <c r="T361" t="s">
        <v>61</v>
      </c>
      <c r="U361">
        <v>208</v>
      </c>
      <c r="V361" t="s">
        <v>62</v>
      </c>
    </row>
    <row r="362" spans="1:22" x14ac:dyDescent="0.3">
      <c r="A362" t="s">
        <v>1439</v>
      </c>
      <c r="B362" t="s">
        <v>150</v>
      </c>
      <c r="C362">
        <v>24</v>
      </c>
      <c r="D362" t="s">
        <v>24</v>
      </c>
      <c r="E362" t="s">
        <v>99</v>
      </c>
      <c r="F362" t="s">
        <v>65</v>
      </c>
      <c r="G362" t="s">
        <v>213</v>
      </c>
      <c r="H362" t="s">
        <v>1440</v>
      </c>
      <c r="I362" t="s">
        <v>85</v>
      </c>
      <c r="J362" t="s">
        <v>30</v>
      </c>
      <c r="K362">
        <v>2</v>
      </c>
      <c r="L362">
        <v>29815</v>
      </c>
      <c r="M362">
        <v>10</v>
      </c>
      <c r="N362" t="s">
        <v>45</v>
      </c>
      <c r="O362" t="s">
        <v>109</v>
      </c>
      <c r="P362" t="s">
        <v>174</v>
      </c>
      <c r="Q362" t="s">
        <v>153</v>
      </c>
      <c r="R362" t="s">
        <v>1441</v>
      </c>
      <c r="S362">
        <v>4</v>
      </c>
      <c r="T362" t="s">
        <v>72</v>
      </c>
      <c r="U362">
        <v>246</v>
      </c>
      <c r="V362" t="s">
        <v>62</v>
      </c>
    </row>
    <row r="363" spans="1:22" x14ac:dyDescent="0.3">
      <c r="A363" t="s">
        <v>1442</v>
      </c>
      <c r="B363" t="s">
        <v>1443</v>
      </c>
      <c r="C363">
        <v>23</v>
      </c>
      <c r="D363" t="s">
        <v>24</v>
      </c>
      <c r="E363" t="s">
        <v>25</v>
      </c>
      <c r="F363" t="s">
        <v>91</v>
      </c>
      <c r="G363" t="s">
        <v>244</v>
      </c>
      <c r="H363" t="s">
        <v>245</v>
      </c>
      <c r="I363" t="s">
        <v>29</v>
      </c>
      <c r="J363" t="s">
        <v>44</v>
      </c>
      <c r="K363">
        <v>3</v>
      </c>
      <c r="L363">
        <v>8201</v>
      </c>
      <c r="M363">
        <v>15</v>
      </c>
      <c r="N363" t="s">
        <v>166</v>
      </c>
      <c r="O363" t="s">
        <v>173</v>
      </c>
      <c r="P363" t="s">
        <v>58</v>
      </c>
      <c r="Q363" t="s">
        <v>1444</v>
      </c>
      <c r="R363" t="s">
        <v>1445</v>
      </c>
      <c r="S363">
        <v>3</v>
      </c>
      <c r="T363" t="s">
        <v>72</v>
      </c>
      <c r="U363">
        <v>428</v>
      </c>
      <c r="V363" t="s">
        <v>79</v>
      </c>
    </row>
    <row r="364" spans="1:22" x14ac:dyDescent="0.3">
      <c r="A364" t="s">
        <v>1446</v>
      </c>
      <c r="B364" t="s">
        <v>278</v>
      </c>
      <c r="C364">
        <v>34</v>
      </c>
      <c r="D364" t="s">
        <v>51</v>
      </c>
      <c r="E364" t="s">
        <v>229</v>
      </c>
      <c r="F364" t="s">
        <v>65</v>
      </c>
      <c r="G364" t="s">
        <v>566</v>
      </c>
      <c r="H364" t="s">
        <v>1447</v>
      </c>
      <c r="I364" t="s">
        <v>85</v>
      </c>
      <c r="J364" t="s">
        <v>44</v>
      </c>
      <c r="K364">
        <v>3</v>
      </c>
      <c r="L364">
        <v>77513</v>
      </c>
      <c r="M364">
        <v>5</v>
      </c>
      <c r="N364" t="s">
        <v>166</v>
      </c>
      <c r="O364" t="s">
        <v>57</v>
      </c>
      <c r="P364" t="s">
        <v>69</v>
      </c>
      <c r="R364" t="s">
        <v>1448</v>
      </c>
      <c r="S364">
        <v>2</v>
      </c>
      <c r="T364" t="s">
        <v>72</v>
      </c>
      <c r="U364">
        <v>481</v>
      </c>
      <c r="V364" t="s">
        <v>62</v>
      </c>
    </row>
    <row r="365" spans="1:22" x14ac:dyDescent="0.3">
      <c r="A365" t="s">
        <v>1449</v>
      </c>
      <c r="B365" t="s">
        <v>23</v>
      </c>
      <c r="C365">
        <v>58</v>
      </c>
      <c r="D365" t="s">
        <v>24</v>
      </c>
      <c r="E365" t="s">
        <v>52</v>
      </c>
      <c r="F365" t="s">
        <v>82</v>
      </c>
      <c r="G365" t="s">
        <v>1450</v>
      </c>
      <c r="H365" t="s">
        <v>1451</v>
      </c>
      <c r="I365" t="s">
        <v>77</v>
      </c>
      <c r="J365" t="s">
        <v>44</v>
      </c>
      <c r="K365">
        <v>5</v>
      </c>
      <c r="L365">
        <v>51602</v>
      </c>
      <c r="M365">
        <v>10</v>
      </c>
      <c r="N365" t="s">
        <v>45</v>
      </c>
      <c r="O365" t="s">
        <v>46</v>
      </c>
      <c r="P365" t="s">
        <v>33</v>
      </c>
      <c r="Q365" t="s">
        <v>34</v>
      </c>
      <c r="R365" t="s">
        <v>1452</v>
      </c>
      <c r="S365">
        <v>4</v>
      </c>
      <c r="T365" t="s">
        <v>36</v>
      </c>
      <c r="U365">
        <v>256</v>
      </c>
      <c r="V365" t="s">
        <v>79</v>
      </c>
    </row>
    <row r="366" spans="1:22" x14ac:dyDescent="0.3">
      <c r="A366" t="s">
        <v>1453</v>
      </c>
      <c r="B366" t="s">
        <v>74</v>
      </c>
      <c r="C366">
        <v>30</v>
      </c>
      <c r="D366" t="s">
        <v>51</v>
      </c>
      <c r="E366" t="s">
        <v>40</v>
      </c>
      <c r="F366" t="s">
        <v>53</v>
      </c>
      <c r="G366" t="s">
        <v>656</v>
      </c>
      <c r="H366" t="s">
        <v>926</v>
      </c>
      <c r="I366" t="s">
        <v>85</v>
      </c>
      <c r="J366" t="s">
        <v>44</v>
      </c>
      <c r="K366">
        <v>1</v>
      </c>
      <c r="L366">
        <v>24817</v>
      </c>
      <c r="M366">
        <v>15</v>
      </c>
      <c r="N366" t="s">
        <v>45</v>
      </c>
      <c r="O366" t="s">
        <v>102</v>
      </c>
      <c r="P366" t="s">
        <v>33</v>
      </c>
      <c r="Q366" t="s">
        <v>78</v>
      </c>
      <c r="R366" t="s">
        <v>1454</v>
      </c>
      <c r="S366">
        <v>1</v>
      </c>
      <c r="T366" t="s">
        <v>72</v>
      </c>
      <c r="U366">
        <v>192</v>
      </c>
      <c r="V366" t="s">
        <v>79</v>
      </c>
    </row>
    <row r="367" spans="1:22" x14ac:dyDescent="0.3">
      <c r="A367" t="s">
        <v>1455</v>
      </c>
      <c r="B367" t="s">
        <v>50</v>
      </c>
      <c r="C367">
        <v>31</v>
      </c>
      <c r="D367" t="s">
        <v>51</v>
      </c>
      <c r="E367" t="s">
        <v>142</v>
      </c>
      <c r="F367" t="s">
        <v>53</v>
      </c>
      <c r="G367" t="s">
        <v>1100</v>
      </c>
      <c r="H367" t="s">
        <v>1274</v>
      </c>
      <c r="I367" t="s">
        <v>43</v>
      </c>
      <c r="J367" t="s">
        <v>44</v>
      </c>
      <c r="K367">
        <v>4</v>
      </c>
      <c r="L367">
        <v>67112</v>
      </c>
      <c r="M367">
        <v>15</v>
      </c>
      <c r="N367" t="s">
        <v>166</v>
      </c>
      <c r="O367" t="s">
        <v>281</v>
      </c>
      <c r="P367" t="s">
        <v>58</v>
      </c>
      <c r="Q367" t="s">
        <v>59</v>
      </c>
      <c r="R367" t="s">
        <v>1456</v>
      </c>
      <c r="S367">
        <v>3</v>
      </c>
      <c r="T367" t="s">
        <v>72</v>
      </c>
      <c r="U367">
        <v>385</v>
      </c>
      <c r="V367" t="s">
        <v>37</v>
      </c>
    </row>
    <row r="368" spans="1:22" x14ac:dyDescent="0.3">
      <c r="A368" t="s">
        <v>1457</v>
      </c>
      <c r="B368" t="s">
        <v>278</v>
      </c>
      <c r="C368">
        <v>48</v>
      </c>
      <c r="D368" t="s">
        <v>24</v>
      </c>
      <c r="E368" t="s">
        <v>99</v>
      </c>
      <c r="F368" t="s">
        <v>26</v>
      </c>
      <c r="G368" t="s">
        <v>529</v>
      </c>
      <c r="H368" t="s">
        <v>510</v>
      </c>
      <c r="I368" t="s">
        <v>43</v>
      </c>
      <c r="J368" t="s">
        <v>30</v>
      </c>
      <c r="K368">
        <v>5</v>
      </c>
      <c r="L368">
        <v>64870</v>
      </c>
      <c r="M368">
        <v>5</v>
      </c>
      <c r="N368" t="s">
        <v>45</v>
      </c>
      <c r="O368" t="s">
        <v>133</v>
      </c>
      <c r="P368" t="s">
        <v>33</v>
      </c>
      <c r="Q368" t="s">
        <v>282</v>
      </c>
      <c r="R368" t="s">
        <v>1458</v>
      </c>
      <c r="S368">
        <v>5</v>
      </c>
      <c r="T368" t="s">
        <v>61</v>
      </c>
      <c r="U368">
        <v>490</v>
      </c>
      <c r="V368" t="s">
        <v>79</v>
      </c>
    </row>
    <row r="369" spans="1:22" x14ac:dyDescent="0.3">
      <c r="A369" t="s">
        <v>1459</v>
      </c>
      <c r="B369" t="s">
        <v>255</v>
      </c>
      <c r="C369">
        <v>43</v>
      </c>
      <c r="D369" t="s">
        <v>51</v>
      </c>
      <c r="E369" t="s">
        <v>25</v>
      </c>
      <c r="F369" t="s">
        <v>53</v>
      </c>
      <c r="G369" t="s">
        <v>1460</v>
      </c>
      <c r="H369" t="s">
        <v>1270</v>
      </c>
      <c r="I369" t="s">
        <v>93</v>
      </c>
      <c r="J369" t="s">
        <v>30</v>
      </c>
      <c r="K369">
        <v>2</v>
      </c>
      <c r="L369">
        <v>46693</v>
      </c>
      <c r="M369">
        <v>15</v>
      </c>
      <c r="N369" t="s">
        <v>31</v>
      </c>
      <c r="O369" t="s">
        <v>173</v>
      </c>
      <c r="P369" t="s">
        <v>33</v>
      </c>
      <c r="R369" t="s">
        <v>1461</v>
      </c>
      <c r="S369">
        <v>1</v>
      </c>
      <c r="T369" t="s">
        <v>36</v>
      </c>
      <c r="U369">
        <v>193</v>
      </c>
      <c r="V369" t="s">
        <v>62</v>
      </c>
    </row>
    <row r="370" spans="1:22" x14ac:dyDescent="0.3">
      <c r="A370" t="s">
        <v>1462</v>
      </c>
      <c r="B370" t="s">
        <v>476</v>
      </c>
      <c r="C370">
        <v>32</v>
      </c>
      <c r="D370" t="s">
        <v>51</v>
      </c>
      <c r="E370" t="s">
        <v>25</v>
      </c>
      <c r="F370" t="s">
        <v>82</v>
      </c>
      <c r="G370" t="s">
        <v>759</v>
      </c>
      <c r="H370" t="s">
        <v>1463</v>
      </c>
      <c r="I370" t="s">
        <v>43</v>
      </c>
      <c r="J370" t="s">
        <v>30</v>
      </c>
      <c r="L370">
        <v>71979</v>
      </c>
      <c r="M370">
        <v>5</v>
      </c>
      <c r="N370" t="s">
        <v>56</v>
      </c>
      <c r="O370" t="s">
        <v>281</v>
      </c>
      <c r="P370" t="s">
        <v>33</v>
      </c>
      <c r="Q370" t="s">
        <v>478</v>
      </c>
      <c r="R370" t="s">
        <v>1464</v>
      </c>
      <c r="S370">
        <v>1</v>
      </c>
      <c r="T370" t="s">
        <v>36</v>
      </c>
      <c r="U370">
        <v>316</v>
      </c>
      <c r="V370" t="s">
        <v>62</v>
      </c>
    </row>
    <row r="371" spans="1:22" x14ac:dyDescent="0.3">
      <c r="A371" t="s">
        <v>1465</v>
      </c>
      <c r="B371" t="s">
        <v>601</v>
      </c>
      <c r="C371">
        <v>45</v>
      </c>
      <c r="D371" t="s">
        <v>51</v>
      </c>
      <c r="E371" t="s">
        <v>40</v>
      </c>
      <c r="F371" t="s">
        <v>26</v>
      </c>
      <c r="G371" t="s">
        <v>1466</v>
      </c>
      <c r="H371" t="s">
        <v>1187</v>
      </c>
      <c r="I371" t="s">
        <v>93</v>
      </c>
      <c r="J371" t="s">
        <v>30</v>
      </c>
      <c r="K371">
        <v>3</v>
      </c>
      <c r="L371">
        <v>52830</v>
      </c>
      <c r="M371">
        <v>0</v>
      </c>
      <c r="N371" t="s">
        <v>31</v>
      </c>
      <c r="O371" t="s">
        <v>68</v>
      </c>
      <c r="P371" t="s">
        <v>33</v>
      </c>
      <c r="R371" t="s">
        <v>1467</v>
      </c>
      <c r="S371">
        <v>3</v>
      </c>
      <c r="T371" t="s">
        <v>36</v>
      </c>
      <c r="U371">
        <v>234</v>
      </c>
      <c r="V371" t="s">
        <v>79</v>
      </c>
    </row>
    <row r="372" spans="1:22" x14ac:dyDescent="0.3">
      <c r="A372" t="s">
        <v>1468</v>
      </c>
      <c r="B372" t="s">
        <v>570</v>
      </c>
      <c r="C372">
        <v>24</v>
      </c>
      <c r="D372" t="s">
        <v>24</v>
      </c>
      <c r="E372" t="s">
        <v>142</v>
      </c>
      <c r="F372" t="s">
        <v>65</v>
      </c>
      <c r="G372" t="s">
        <v>1135</v>
      </c>
      <c r="H372" t="s">
        <v>1469</v>
      </c>
      <c r="I372" t="s">
        <v>29</v>
      </c>
      <c r="J372" t="s">
        <v>44</v>
      </c>
      <c r="K372">
        <v>1</v>
      </c>
      <c r="L372">
        <v>40702</v>
      </c>
      <c r="M372">
        <v>15</v>
      </c>
      <c r="N372" t="s">
        <v>31</v>
      </c>
      <c r="O372" t="s">
        <v>133</v>
      </c>
      <c r="P372" t="s">
        <v>174</v>
      </c>
      <c r="Q372" t="s">
        <v>573</v>
      </c>
      <c r="R372" t="s">
        <v>1470</v>
      </c>
      <c r="S372">
        <v>1</v>
      </c>
      <c r="T372" t="s">
        <v>72</v>
      </c>
      <c r="U372">
        <v>405</v>
      </c>
      <c r="V372" t="s">
        <v>37</v>
      </c>
    </row>
    <row r="373" spans="1:22" x14ac:dyDescent="0.3">
      <c r="A373" t="s">
        <v>1471</v>
      </c>
      <c r="B373" t="s">
        <v>382</v>
      </c>
      <c r="C373">
        <v>59</v>
      </c>
      <c r="D373" t="s">
        <v>51</v>
      </c>
      <c r="E373" t="s">
        <v>25</v>
      </c>
      <c r="F373" t="s">
        <v>53</v>
      </c>
      <c r="G373" t="s">
        <v>552</v>
      </c>
      <c r="H373" t="s">
        <v>1400</v>
      </c>
      <c r="I373" t="s">
        <v>85</v>
      </c>
      <c r="J373" t="s">
        <v>30</v>
      </c>
      <c r="K373">
        <v>5</v>
      </c>
      <c r="L373">
        <v>35256</v>
      </c>
      <c r="M373">
        <v>10</v>
      </c>
      <c r="N373" t="s">
        <v>56</v>
      </c>
      <c r="O373" t="s">
        <v>46</v>
      </c>
      <c r="P373" t="s">
        <v>33</v>
      </c>
      <c r="Q373" t="s">
        <v>385</v>
      </c>
      <c r="R373" t="s">
        <v>1472</v>
      </c>
      <c r="S373">
        <v>4</v>
      </c>
      <c r="T373" t="s">
        <v>72</v>
      </c>
      <c r="U373">
        <v>401</v>
      </c>
      <c r="V373" t="s">
        <v>62</v>
      </c>
    </row>
    <row r="374" spans="1:22" x14ac:dyDescent="0.3">
      <c r="A374" t="s">
        <v>1473</v>
      </c>
      <c r="B374" t="s">
        <v>1309</v>
      </c>
      <c r="C374">
        <v>18</v>
      </c>
      <c r="D374" t="s">
        <v>24</v>
      </c>
      <c r="E374" t="s">
        <v>99</v>
      </c>
      <c r="F374" t="s">
        <v>53</v>
      </c>
      <c r="G374" t="s">
        <v>1474</v>
      </c>
      <c r="H374" t="s">
        <v>820</v>
      </c>
      <c r="I374" t="s">
        <v>29</v>
      </c>
      <c r="J374" t="s">
        <v>30</v>
      </c>
      <c r="K374">
        <v>2</v>
      </c>
      <c r="L374">
        <v>79251</v>
      </c>
      <c r="M374">
        <v>0</v>
      </c>
      <c r="N374" t="s">
        <v>45</v>
      </c>
      <c r="O374" t="s">
        <v>281</v>
      </c>
      <c r="P374" t="s">
        <v>58</v>
      </c>
      <c r="Q374" t="s">
        <v>1311</v>
      </c>
      <c r="R374" t="s">
        <v>1475</v>
      </c>
      <c r="S374">
        <v>3</v>
      </c>
      <c r="T374" t="s">
        <v>61</v>
      </c>
      <c r="U374">
        <v>373</v>
      </c>
      <c r="V374" t="s">
        <v>62</v>
      </c>
    </row>
    <row r="375" spans="1:22" x14ac:dyDescent="0.3">
      <c r="A375" t="s">
        <v>1476</v>
      </c>
      <c r="B375" t="s">
        <v>315</v>
      </c>
      <c r="C375">
        <v>28</v>
      </c>
      <c r="D375" t="s">
        <v>183</v>
      </c>
      <c r="E375" t="s">
        <v>52</v>
      </c>
      <c r="F375" t="s">
        <v>82</v>
      </c>
      <c r="G375" t="s">
        <v>1477</v>
      </c>
      <c r="H375" t="s">
        <v>263</v>
      </c>
      <c r="I375" t="s">
        <v>77</v>
      </c>
      <c r="J375" t="s">
        <v>44</v>
      </c>
      <c r="K375">
        <v>4</v>
      </c>
      <c r="L375">
        <v>19368</v>
      </c>
      <c r="M375">
        <v>0</v>
      </c>
      <c r="N375" t="s">
        <v>56</v>
      </c>
      <c r="O375" t="s">
        <v>68</v>
      </c>
      <c r="P375" t="s">
        <v>174</v>
      </c>
      <c r="Q375" t="s">
        <v>318</v>
      </c>
      <c r="R375" t="s">
        <v>1478</v>
      </c>
      <c r="S375">
        <v>4</v>
      </c>
      <c r="T375" t="s">
        <v>61</v>
      </c>
      <c r="U375">
        <v>179</v>
      </c>
      <c r="V375" t="s">
        <v>37</v>
      </c>
    </row>
    <row r="376" spans="1:22" x14ac:dyDescent="0.3">
      <c r="A376" t="s">
        <v>1479</v>
      </c>
      <c r="B376" t="s">
        <v>547</v>
      </c>
      <c r="C376">
        <v>32</v>
      </c>
      <c r="D376" t="s">
        <v>24</v>
      </c>
      <c r="E376" t="s">
        <v>229</v>
      </c>
      <c r="F376" t="s">
        <v>53</v>
      </c>
      <c r="G376" t="s">
        <v>1031</v>
      </c>
      <c r="H376" t="s">
        <v>1480</v>
      </c>
      <c r="I376" t="s">
        <v>93</v>
      </c>
      <c r="J376" t="s">
        <v>44</v>
      </c>
      <c r="K376">
        <v>2</v>
      </c>
      <c r="L376">
        <v>51377</v>
      </c>
      <c r="M376">
        <v>10</v>
      </c>
      <c r="N376" t="s">
        <v>166</v>
      </c>
      <c r="O376" t="s">
        <v>86</v>
      </c>
      <c r="P376" t="s">
        <v>69</v>
      </c>
      <c r="Q376" t="s">
        <v>549</v>
      </c>
      <c r="R376" t="s">
        <v>1481</v>
      </c>
      <c r="S376">
        <v>4</v>
      </c>
      <c r="T376" t="s">
        <v>72</v>
      </c>
      <c r="U376">
        <v>490</v>
      </c>
      <c r="V376" t="s">
        <v>62</v>
      </c>
    </row>
    <row r="377" spans="1:22" x14ac:dyDescent="0.3">
      <c r="A377" t="s">
        <v>1482</v>
      </c>
      <c r="B377" t="s">
        <v>23</v>
      </c>
      <c r="C377">
        <v>56</v>
      </c>
      <c r="D377" t="s">
        <v>51</v>
      </c>
      <c r="E377" t="s">
        <v>229</v>
      </c>
      <c r="F377" t="s">
        <v>65</v>
      </c>
      <c r="G377" t="s">
        <v>1260</v>
      </c>
      <c r="H377" t="s">
        <v>1483</v>
      </c>
      <c r="I377" t="s">
        <v>77</v>
      </c>
      <c r="J377" t="s">
        <v>30</v>
      </c>
      <c r="K377">
        <v>1</v>
      </c>
      <c r="L377">
        <v>38511</v>
      </c>
      <c r="M377">
        <v>10</v>
      </c>
      <c r="N377" t="s">
        <v>56</v>
      </c>
      <c r="O377" t="s">
        <v>281</v>
      </c>
      <c r="P377" t="s">
        <v>174</v>
      </c>
      <c r="Q377" t="s">
        <v>34</v>
      </c>
      <c r="R377" t="s">
        <v>1484</v>
      </c>
      <c r="S377">
        <v>1</v>
      </c>
      <c r="T377" t="s">
        <v>96</v>
      </c>
      <c r="U377">
        <v>62</v>
      </c>
      <c r="V377" t="s">
        <v>37</v>
      </c>
    </row>
    <row r="378" spans="1:22" x14ac:dyDescent="0.3">
      <c r="A378" t="s">
        <v>1485</v>
      </c>
      <c r="B378" t="s">
        <v>397</v>
      </c>
      <c r="C378">
        <v>57</v>
      </c>
      <c r="D378" t="s">
        <v>24</v>
      </c>
      <c r="E378" t="s">
        <v>40</v>
      </c>
      <c r="F378" t="s">
        <v>65</v>
      </c>
      <c r="G378" t="s">
        <v>1486</v>
      </c>
      <c r="H378" t="s">
        <v>829</v>
      </c>
      <c r="I378" t="s">
        <v>43</v>
      </c>
      <c r="J378" t="s">
        <v>44</v>
      </c>
      <c r="K378">
        <v>2</v>
      </c>
      <c r="L378">
        <v>37099</v>
      </c>
      <c r="M378">
        <v>10</v>
      </c>
      <c r="N378" t="s">
        <v>56</v>
      </c>
      <c r="O378" t="s">
        <v>57</v>
      </c>
      <c r="P378" t="s">
        <v>69</v>
      </c>
      <c r="Q378" t="s">
        <v>400</v>
      </c>
      <c r="S378">
        <v>4</v>
      </c>
      <c r="T378" t="s">
        <v>72</v>
      </c>
      <c r="U378">
        <v>334</v>
      </c>
      <c r="V378" t="s">
        <v>37</v>
      </c>
    </row>
    <row r="379" spans="1:22" x14ac:dyDescent="0.3">
      <c r="A379" t="s">
        <v>1487</v>
      </c>
      <c r="B379" t="s">
        <v>754</v>
      </c>
      <c r="C379">
        <v>39</v>
      </c>
      <c r="D379" t="s">
        <v>51</v>
      </c>
      <c r="E379" t="s">
        <v>40</v>
      </c>
      <c r="F379" t="s">
        <v>53</v>
      </c>
      <c r="G379" t="s">
        <v>1488</v>
      </c>
      <c r="H379" t="s">
        <v>1489</v>
      </c>
      <c r="I379" t="s">
        <v>85</v>
      </c>
      <c r="J379" t="s">
        <v>44</v>
      </c>
      <c r="K379">
        <v>2</v>
      </c>
      <c r="L379">
        <v>34547</v>
      </c>
      <c r="M379">
        <v>5</v>
      </c>
      <c r="N379" t="s">
        <v>45</v>
      </c>
      <c r="O379" t="s">
        <v>32</v>
      </c>
      <c r="P379" t="s">
        <v>58</v>
      </c>
      <c r="Q379" t="s">
        <v>756</v>
      </c>
      <c r="R379" t="s">
        <v>1490</v>
      </c>
      <c r="S379">
        <v>3</v>
      </c>
      <c r="T379" t="s">
        <v>72</v>
      </c>
      <c r="U379">
        <v>360</v>
      </c>
      <c r="V379" t="s">
        <v>37</v>
      </c>
    </row>
    <row r="380" spans="1:22" x14ac:dyDescent="0.3">
      <c r="A380" t="s">
        <v>1491</v>
      </c>
      <c r="B380" t="s">
        <v>684</v>
      </c>
      <c r="C380">
        <v>46</v>
      </c>
      <c r="D380" t="s">
        <v>24</v>
      </c>
      <c r="E380" t="s">
        <v>40</v>
      </c>
      <c r="F380" t="s">
        <v>53</v>
      </c>
      <c r="G380" t="s">
        <v>165</v>
      </c>
      <c r="H380" t="s">
        <v>389</v>
      </c>
      <c r="I380" t="s">
        <v>93</v>
      </c>
      <c r="J380" t="s">
        <v>44</v>
      </c>
      <c r="K380">
        <v>3</v>
      </c>
      <c r="L380">
        <v>29221</v>
      </c>
      <c r="M380">
        <v>10</v>
      </c>
      <c r="N380" t="s">
        <v>56</v>
      </c>
      <c r="O380" t="s">
        <v>57</v>
      </c>
      <c r="P380" t="s">
        <v>174</v>
      </c>
      <c r="Q380" t="s">
        <v>785</v>
      </c>
      <c r="R380" t="s">
        <v>1492</v>
      </c>
      <c r="S380">
        <v>2</v>
      </c>
      <c r="T380" t="s">
        <v>36</v>
      </c>
      <c r="U380">
        <v>101</v>
      </c>
      <c r="V380" t="s">
        <v>79</v>
      </c>
    </row>
    <row r="381" spans="1:22" x14ac:dyDescent="0.3">
      <c r="A381" t="s">
        <v>1493</v>
      </c>
      <c r="B381" t="s">
        <v>840</v>
      </c>
      <c r="C381">
        <v>19</v>
      </c>
      <c r="D381" t="s">
        <v>24</v>
      </c>
      <c r="E381" t="s">
        <v>40</v>
      </c>
      <c r="F381" t="s">
        <v>26</v>
      </c>
      <c r="G381" t="s">
        <v>151</v>
      </c>
      <c r="H381" t="s">
        <v>152</v>
      </c>
      <c r="I381" t="s">
        <v>108</v>
      </c>
      <c r="J381" t="s">
        <v>44</v>
      </c>
      <c r="K381">
        <v>3</v>
      </c>
      <c r="L381">
        <v>60876</v>
      </c>
      <c r="M381">
        <v>10</v>
      </c>
      <c r="N381" t="s">
        <v>45</v>
      </c>
      <c r="O381" t="s">
        <v>86</v>
      </c>
      <c r="P381" t="s">
        <v>69</v>
      </c>
      <c r="Q381" t="s">
        <v>1147</v>
      </c>
      <c r="R381" t="s">
        <v>1494</v>
      </c>
      <c r="S381">
        <v>3</v>
      </c>
      <c r="T381" t="s">
        <v>61</v>
      </c>
      <c r="U381">
        <v>206</v>
      </c>
      <c r="V381" t="s">
        <v>37</v>
      </c>
    </row>
    <row r="382" spans="1:22" x14ac:dyDescent="0.3">
      <c r="A382" t="s">
        <v>1495</v>
      </c>
      <c r="B382" t="s">
        <v>471</v>
      </c>
      <c r="C382">
        <v>48</v>
      </c>
      <c r="D382" t="s">
        <v>24</v>
      </c>
      <c r="E382" t="s">
        <v>25</v>
      </c>
      <c r="F382" t="s">
        <v>53</v>
      </c>
      <c r="G382" t="s">
        <v>1496</v>
      </c>
      <c r="H382" t="s">
        <v>1497</v>
      </c>
      <c r="I382" t="s">
        <v>93</v>
      </c>
      <c r="J382" t="s">
        <v>30</v>
      </c>
      <c r="K382">
        <v>1</v>
      </c>
      <c r="L382">
        <v>10388</v>
      </c>
      <c r="M382">
        <v>5</v>
      </c>
      <c r="N382" t="s">
        <v>166</v>
      </c>
      <c r="O382" t="s">
        <v>133</v>
      </c>
      <c r="P382" t="s">
        <v>174</v>
      </c>
      <c r="Q382" t="s">
        <v>495</v>
      </c>
      <c r="R382" t="s">
        <v>1498</v>
      </c>
      <c r="S382">
        <v>1</v>
      </c>
      <c r="T382" t="s">
        <v>72</v>
      </c>
      <c r="U382">
        <v>367</v>
      </c>
      <c r="V382" t="s">
        <v>62</v>
      </c>
    </row>
    <row r="383" spans="1:22" x14ac:dyDescent="0.3">
      <c r="A383" t="s">
        <v>1499</v>
      </c>
      <c r="B383" t="s">
        <v>674</v>
      </c>
      <c r="C383">
        <v>36</v>
      </c>
      <c r="D383" t="s">
        <v>51</v>
      </c>
      <c r="E383" t="s">
        <v>131</v>
      </c>
      <c r="F383" t="s">
        <v>82</v>
      </c>
      <c r="G383" t="s">
        <v>618</v>
      </c>
      <c r="H383" t="s">
        <v>1500</v>
      </c>
      <c r="I383" t="s">
        <v>93</v>
      </c>
      <c r="J383" t="s">
        <v>44</v>
      </c>
      <c r="K383">
        <v>5</v>
      </c>
      <c r="L383">
        <v>73537</v>
      </c>
      <c r="M383">
        <v>5</v>
      </c>
      <c r="N383" t="s">
        <v>45</v>
      </c>
      <c r="O383" t="s">
        <v>109</v>
      </c>
      <c r="P383" t="s">
        <v>58</v>
      </c>
      <c r="Q383" t="s">
        <v>677</v>
      </c>
      <c r="R383" t="s">
        <v>1501</v>
      </c>
      <c r="S383">
        <v>5</v>
      </c>
      <c r="T383" t="s">
        <v>72</v>
      </c>
      <c r="U383">
        <v>422</v>
      </c>
      <c r="V383" t="s">
        <v>37</v>
      </c>
    </row>
    <row r="384" spans="1:22" x14ac:dyDescent="0.3">
      <c r="A384" t="s">
        <v>1502</v>
      </c>
      <c r="B384" t="s">
        <v>1503</v>
      </c>
      <c r="C384">
        <v>24</v>
      </c>
      <c r="D384" t="s">
        <v>51</v>
      </c>
      <c r="E384" t="s">
        <v>40</v>
      </c>
      <c r="F384" t="s">
        <v>53</v>
      </c>
      <c r="G384" t="s">
        <v>1504</v>
      </c>
      <c r="H384" t="s">
        <v>210</v>
      </c>
      <c r="I384" t="s">
        <v>85</v>
      </c>
      <c r="J384" t="s">
        <v>44</v>
      </c>
      <c r="K384">
        <v>5</v>
      </c>
      <c r="L384">
        <v>74807</v>
      </c>
      <c r="M384">
        <v>0</v>
      </c>
      <c r="N384" t="s">
        <v>31</v>
      </c>
      <c r="O384" t="s">
        <v>86</v>
      </c>
      <c r="P384" t="s">
        <v>58</v>
      </c>
      <c r="Q384" t="s">
        <v>252</v>
      </c>
      <c r="R384" t="s">
        <v>1505</v>
      </c>
      <c r="S384">
        <v>2</v>
      </c>
      <c r="T384" t="s">
        <v>61</v>
      </c>
      <c r="U384">
        <v>98</v>
      </c>
      <c r="V384" t="s">
        <v>62</v>
      </c>
    </row>
    <row r="385" spans="1:22" x14ac:dyDescent="0.3">
      <c r="A385" t="s">
        <v>1506</v>
      </c>
      <c r="B385" t="s">
        <v>411</v>
      </c>
      <c r="C385">
        <v>26</v>
      </c>
      <c r="D385" t="s">
        <v>24</v>
      </c>
      <c r="E385" t="s">
        <v>26</v>
      </c>
      <c r="F385" t="s">
        <v>53</v>
      </c>
      <c r="G385" t="s">
        <v>1507</v>
      </c>
      <c r="H385" t="s">
        <v>1379</v>
      </c>
      <c r="I385" t="s">
        <v>43</v>
      </c>
      <c r="J385" t="s">
        <v>30</v>
      </c>
      <c r="K385">
        <v>3</v>
      </c>
      <c r="L385">
        <v>79371</v>
      </c>
      <c r="M385">
        <v>5</v>
      </c>
      <c r="N385" t="s">
        <v>56</v>
      </c>
      <c r="O385" t="s">
        <v>57</v>
      </c>
      <c r="P385" t="s">
        <v>69</v>
      </c>
      <c r="Q385" t="s">
        <v>414</v>
      </c>
      <c r="R385" t="s">
        <v>1508</v>
      </c>
      <c r="S385">
        <v>1</v>
      </c>
      <c r="T385" t="s">
        <v>61</v>
      </c>
      <c r="U385">
        <v>114</v>
      </c>
      <c r="V385" t="s">
        <v>37</v>
      </c>
    </row>
    <row r="386" spans="1:22" x14ac:dyDescent="0.3">
      <c r="A386" t="s">
        <v>1509</v>
      </c>
      <c r="B386" t="s">
        <v>1510</v>
      </c>
      <c r="C386">
        <v>36</v>
      </c>
      <c r="D386" t="s">
        <v>24</v>
      </c>
      <c r="E386" t="s">
        <v>40</v>
      </c>
      <c r="F386" t="s">
        <v>65</v>
      </c>
      <c r="G386" t="s">
        <v>1511</v>
      </c>
      <c r="H386" t="s">
        <v>820</v>
      </c>
      <c r="I386" t="s">
        <v>85</v>
      </c>
      <c r="J386" t="s">
        <v>30</v>
      </c>
      <c r="K386">
        <v>3</v>
      </c>
      <c r="L386">
        <v>34337</v>
      </c>
      <c r="M386">
        <v>10</v>
      </c>
      <c r="N386" t="s">
        <v>166</v>
      </c>
      <c r="O386" t="s">
        <v>68</v>
      </c>
      <c r="P386" t="s">
        <v>174</v>
      </c>
      <c r="Q386" t="s">
        <v>144</v>
      </c>
      <c r="R386" t="s">
        <v>1512</v>
      </c>
      <c r="S386">
        <v>2</v>
      </c>
      <c r="T386" t="s">
        <v>72</v>
      </c>
      <c r="U386">
        <v>443</v>
      </c>
      <c r="V386" t="s">
        <v>79</v>
      </c>
    </row>
    <row r="387" spans="1:22" x14ac:dyDescent="0.3">
      <c r="A387" t="s">
        <v>1513</v>
      </c>
      <c r="B387" t="s">
        <v>23</v>
      </c>
      <c r="C387">
        <v>22</v>
      </c>
      <c r="D387" t="s">
        <v>51</v>
      </c>
      <c r="E387" t="s">
        <v>131</v>
      </c>
      <c r="F387" t="s">
        <v>82</v>
      </c>
      <c r="G387" t="s">
        <v>1514</v>
      </c>
      <c r="H387" t="s">
        <v>446</v>
      </c>
      <c r="I387" t="s">
        <v>93</v>
      </c>
      <c r="J387" t="s">
        <v>30</v>
      </c>
      <c r="L387">
        <v>24278</v>
      </c>
      <c r="M387">
        <v>0</v>
      </c>
      <c r="N387" t="s">
        <v>31</v>
      </c>
      <c r="O387" t="s">
        <v>86</v>
      </c>
      <c r="P387" t="s">
        <v>69</v>
      </c>
      <c r="Q387" t="s">
        <v>34</v>
      </c>
      <c r="R387" t="s">
        <v>1515</v>
      </c>
      <c r="S387">
        <v>3</v>
      </c>
      <c r="T387" t="s">
        <v>61</v>
      </c>
      <c r="U387">
        <v>393</v>
      </c>
      <c r="V387" t="s">
        <v>62</v>
      </c>
    </row>
    <row r="388" spans="1:22" x14ac:dyDescent="0.3">
      <c r="A388" t="s">
        <v>1516</v>
      </c>
      <c r="B388" t="s">
        <v>767</v>
      </c>
      <c r="C388">
        <v>41</v>
      </c>
      <c r="D388" t="s">
        <v>51</v>
      </c>
      <c r="E388" t="s">
        <v>40</v>
      </c>
      <c r="F388" t="s">
        <v>91</v>
      </c>
      <c r="G388" t="s">
        <v>137</v>
      </c>
      <c r="H388" t="s">
        <v>1205</v>
      </c>
      <c r="I388" t="s">
        <v>108</v>
      </c>
      <c r="J388" t="s">
        <v>44</v>
      </c>
      <c r="K388">
        <v>5</v>
      </c>
      <c r="L388">
        <v>5469</v>
      </c>
      <c r="M388">
        <v>10</v>
      </c>
      <c r="N388" t="s">
        <v>31</v>
      </c>
      <c r="O388" t="s">
        <v>173</v>
      </c>
      <c r="P388" t="s">
        <v>69</v>
      </c>
      <c r="Q388" t="s">
        <v>769</v>
      </c>
      <c r="R388" t="s">
        <v>1517</v>
      </c>
      <c r="S388">
        <v>3</v>
      </c>
      <c r="T388" t="s">
        <v>61</v>
      </c>
      <c r="U388">
        <v>374</v>
      </c>
      <c r="V388" t="s">
        <v>79</v>
      </c>
    </row>
    <row r="389" spans="1:22" x14ac:dyDescent="0.3">
      <c r="A389" t="s">
        <v>1518</v>
      </c>
      <c r="B389" t="s">
        <v>729</v>
      </c>
      <c r="C389">
        <v>27</v>
      </c>
      <c r="D389" t="s">
        <v>51</v>
      </c>
      <c r="E389" t="s">
        <v>26</v>
      </c>
      <c r="F389" t="s">
        <v>65</v>
      </c>
      <c r="G389" t="s">
        <v>1519</v>
      </c>
      <c r="H389" t="s">
        <v>329</v>
      </c>
      <c r="I389" t="s">
        <v>77</v>
      </c>
      <c r="J389" t="s">
        <v>30</v>
      </c>
      <c r="K389">
        <v>1</v>
      </c>
      <c r="L389">
        <v>34539</v>
      </c>
      <c r="M389">
        <v>15</v>
      </c>
      <c r="N389" t="s">
        <v>56</v>
      </c>
      <c r="O389" t="s">
        <v>57</v>
      </c>
      <c r="P389" t="s">
        <v>58</v>
      </c>
      <c r="Q389" t="s">
        <v>732</v>
      </c>
      <c r="R389" t="s">
        <v>1520</v>
      </c>
      <c r="S389">
        <v>1</v>
      </c>
      <c r="T389" t="s">
        <v>36</v>
      </c>
      <c r="U389">
        <v>371</v>
      </c>
      <c r="V389" t="s">
        <v>37</v>
      </c>
    </row>
    <row r="390" spans="1:22" x14ac:dyDescent="0.3">
      <c r="A390" t="s">
        <v>1521</v>
      </c>
      <c r="B390" t="s">
        <v>90</v>
      </c>
      <c r="C390">
        <v>48</v>
      </c>
      <c r="D390" t="s">
        <v>51</v>
      </c>
      <c r="E390" t="s">
        <v>25</v>
      </c>
      <c r="F390" t="s">
        <v>53</v>
      </c>
      <c r="G390" t="s">
        <v>1522</v>
      </c>
      <c r="H390" t="s">
        <v>1523</v>
      </c>
      <c r="I390" t="s">
        <v>108</v>
      </c>
      <c r="J390" t="s">
        <v>30</v>
      </c>
      <c r="K390">
        <v>5</v>
      </c>
      <c r="L390">
        <v>46040</v>
      </c>
      <c r="M390">
        <v>10</v>
      </c>
      <c r="N390" t="s">
        <v>31</v>
      </c>
      <c r="O390" t="s">
        <v>57</v>
      </c>
      <c r="P390" t="s">
        <v>58</v>
      </c>
      <c r="Q390" t="s">
        <v>94</v>
      </c>
      <c r="R390" t="s">
        <v>1524</v>
      </c>
      <c r="S390">
        <v>3</v>
      </c>
      <c r="T390" t="s">
        <v>72</v>
      </c>
      <c r="U390">
        <v>169</v>
      </c>
      <c r="V390" t="s">
        <v>62</v>
      </c>
    </row>
    <row r="391" spans="1:22" x14ac:dyDescent="0.3">
      <c r="A391" t="s">
        <v>1525</v>
      </c>
      <c r="B391" t="s">
        <v>222</v>
      </c>
      <c r="C391">
        <v>44</v>
      </c>
      <c r="D391" t="s">
        <v>24</v>
      </c>
      <c r="E391" t="s">
        <v>26</v>
      </c>
      <c r="F391" t="s">
        <v>53</v>
      </c>
      <c r="G391" t="s">
        <v>809</v>
      </c>
      <c r="H391" t="s">
        <v>1526</v>
      </c>
      <c r="I391" t="s">
        <v>77</v>
      </c>
      <c r="J391" t="s">
        <v>30</v>
      </c>
      <c r="K391">
        <v>1</v>
      </c>
      <c r="L391">
        <v>12707</v>
      </c>
      <c r="M391">
        <v>15</v>
      </c>
      <c r="N391" t="s">
        <v>31</v>
      </c>
      <c r="O391" t="s">
        <v>46</v>
      </c>
      <c r="P391" t="s">
        <v>58</v>
      </c>
      <c r="Q391" t="s">
        <v>225</v>
      </c>
      <c r="R391" t="s">
        <v>1527</v>
      </c>
      <c r="S391">
        <v>5</v>
      </c>
      <c r="T391" t="s">
        <v>96</v>
      </c>
      <c r="U391">
        <v>404</v>
      </c>
      <c r="V391" t="s">
        <v>79</v>
      </c>
    </row>
    <row r="392" spans="1:22" x14ac:dyDescent="0.3">
      <c r="A392" t="s">
        <v>1528</v>
      </c>
      <c r="B392" t="s">
        <v>946</v>
      </c>
      <c r="C392">
        <v>39</v>
      </c>
      <c r="D392" t="s">
        <v>24</v>
      </c>
      <c r="E392" t="s">
        <v>52</v>
      </c>
      <c r="F392" t="s">
        <v>91</v>
      </c>
      <c r="G392" t="s">
        <v>1529</v>
      </c>
      <c r="H392" t="s">
        <v>393</v>
      </c>
      <c r="I392" t="s">
        <v>108</v>
      </c>
      <c r="J392" t="s">
        <v>44</v>
      </c>
      <c r="K392">
        <v>2</v>
      </c>
      <c r="L392">
        <v>34375</v>
      </c>
      <c r="M392">
        <v>10</v>
      </c>
      <c r="N392" t="s">
        <v>45</v>
      </c>
      <c r="O392" t="s">
        <v>133</v>
      </c>
      <c r="P392" t="s">
        <v>33</v>
      </c>
      <c r="Q392" t="s">
        <v>983</v>
      </c>
      <c r="S392">
        <v>4</v>
      </c>
      <c r="T392" t="s">
        <v>61</v>
      </c>
      <c r="U392">
        <v>146</v>
      </c>
      <c r="V392" t="s">
        <v>62</v>
      </c>
    </row>
    <row r="393" spans="1:22" x14ac:dyDescent="0.3">
      <c r="A393" t="s">
        <v>1530</v>
      </c>
      <c r="B393" t="s">
        <v>665</v>
      </c>
      <c r="C393">
        <v>44</v>
      </c>
      <c r="D393" t="s">
        <v>24</v>
      </c>
      <c r="E393" t="s">
        <v>131</v>
      </c>
      <c r="F393" t="s">
        <v>65</v>
      </c>
      <c r="G393" t="s">
        <v>298</v>
      </c>
      <c r="H393" t="s">
        <v>1294</v>
      </c>
      <c r="I393" t="s">
        <v>29</v>
      </c>
      <c r="J393" t="s">
        <v>30</v>
      </c>
      <c r="K393">
        <v>1</v>
      </c>
      <c r="L393">
        <v>76494</v>
      </c>
      <c r="M393">
        <v>5</v>
      </c>
      <c r="N393" t="s">
        <v>166</v>
      </c>
      <c r="O393" t="s">
        <v>68</v>
      </c>
      <c r="P393" t="s">
        <v>33</v>
      </c>
      <c r="R393" t="s">
        <v>1531</v>
      </c>
      <c r="S393">
        <v>3</v>
      </c>
      <c r="T393" t="s">
        <v>72</v>
      </c>
      <c r="U393">
        <v>435</v>
      </c>
      <c r="V393" t="s">
        <v>37</v>
      </c>
    </row>
    <row r="394" spans="1:22" x14ac:dyDescent="0.3">
      <c r="A394" t="s">
        <v>1532</v>
      </c>
      <c r="B394" t="s">
        <v>333</v>
      </c>
      <c r="C394">
        <v>38</v>
      </c>
      <c r="D394" t="s">
        <v>51</v>
      </c>
      <c r="E394" t="s">
        <v>142</v>
      </c>
      <c r="F394" t="s">
        <v>53</v>
      </c>
      <c r="G394" t="s">
        <v>708</v>
      </c>
      <c r="H394" t="s">
        <v>747</v>
      </c>
      <c r="I394" t="s">
        <v>108</v>
      </c>
      <c r="J394" t="s">
        <v>30</v>
      </c>
      <c r="K394">
        <v>5</v>
      </c>
      <c r="L394">
        <v>14373</v>
      </c>
      <c r="M394">
        <v>5</v>
      </c>
      <c r="N394" t="s">
        <v>166</v>
      </c>
      <c r="O394" t="s">
        <v>173</v>
      </c>
      <c r="P394" t="s">
        <v>58</v>
      </c>
      <c r="R394" t="s">
        <v>1533</v>
      </c>
      <c r="S394">
        <v>3</v>
      </c>
      <c r="T394" t="s">
        <v>36</v>
      </c>
      <c r="U394">
        <v>459</v>
      </c>
      <c r="V394" t="s">
        <v>37</v>
      </c>
    </row>
    <row r="395" spans="1:22" x14ac:dyDescent="0.3">
      <c r="A395" t="s">
        <v>1534</v>
      </c>
      <c r="B395" t="s">
        <v>1309</v>
      </c>
      <c r="C395">
        <v>39</v>
      </c>
      <c r="D395" t="s">
        <v>24</v>
      </c>
      <c r="E395" t="s">
        <v>99</v>
      </c>
      <c r="F395" t="s">
        <v>82</v>
      </c>
      <c r="G395" t="s">
        <v>1535</v>
      </c>
      <c r="H395" t="s">
        <v>1536</v>
      </c>
      <c r="I395" t="s">
        <v>77</v>
      </c>
      <c r="J395" t="s">
        <v>30</v>
      </c>
      <c r="K395">
        <v>4</v>
      </c>
      <c r="L395">
        <v>73215</v>
      </c>
      <c r="M395">
        <v>10</v>
      </c>
      <c r="N395" t="s">
        <v>31</v>
      </c>
      <c r="O395" t="s">
        <v>32</v>
      </c>
      <c r="P395" t="s">
        <v>58</v>
      </c>
      <c r="Q395" t="s">
        <v>1311</v>
      </c>
      <c r="R395" t="s">
        <v>1537</v>
      </c>
      <c r="S395">
        <v>4</v>
      </c>
      <c r="T395" t="s">
        <v>36</v>
      </c>
      <c r="U395">
        <v>348</v>
      </c>
      <c r="V395" t="s">
        <v>79</v>
      </c>
    </row>
    <row r="396" spans="1:22" x14ac:dyDescent="0.3">
      <c r="A396" t="s">
        <v>1538</v>
      </c>
      <c r="B396" t="s">
        <v>1539</v>
      </c>
      <c r="C396">
        <v>28</v>
      </c>
      <c r="D396" t="s">
        <v>51</v>
      </c>
      <c r="E396" t="s">
        <v>131</v>
      </c>
      <c r="F396" t="s">
        <v>53</v>
      </c>
      <c r="G396" t="s">
        <v>1540</v>
      </c>
      <c r="H396" t="s">
        <v>1541</v>
      </c>
      <c r="I396" t="s">
        <v>85</v>
      </c>
      <c r="J396" t="s">
        <v>30</v>
      </c>
      <c r="K396">
        <v>5</v>
      </c>
      <c r="L396">
        <v>30439</v>
      </c>
      <c r="M396">
        <v>10</v>
      </c>
      <c r="N396" t="s">
        <v>56</v>
      </c>
      <c r="O396" t="s">
        <v>173</v>
      </c>
      <c r="P396" t="s">
        <v>69</v>
      </c>
      <c r="Q396" t="s">
        <v>34</v>
      </c>
      <c r="R396" t="s">
        <v>1542</v>
      </c>
      <c r="S396">
        <v>5</v>
      </c>
      <c r="T396" t="s">
        <v>72</v>
      </c>
      <c r="U396">
        <v>463</v>
      </c>
      <c r="V396" t="s">
        <v>79</v>
      </c>
    </row>
    <row r="397" spans="1:22" x14ac:dyDescent="0.3">
      <c r="A397" t="s">
        <v>1543</v>
      </c>
      <c r="B397" t="s">
        <v>285</v>
      </c>
      <c r="C397">
        <v>30</v>
      </c>
      <c r="D397" t="s">
        <v>24</v>
      </c>
      <c r="E397" t="s">
        <v>40</v>
      </c>
      <c r="F397" t="s">
        <v>53</v>
      </c>
      <c r="G397" t="s">
        <v>1544</v>
      </c>
      <c r="H397" t="s">
        <v>1545</v>
      </c>
      <c r="I397" t="s">
        <v>29</v>
      </c>
      <c r="J397" t="s">
        <v>30</v>
      </c>
      <c r="K397">
        <v>5</v>
      </c>
      <c r="L397">
        <v>53408</v>
      </c>
      <c r="M397">
        <v>10</v>
      </c>
      <c r="N397" t="s">
        <v>45</v>
      </c>
      <c r="O397" t="s">
        <v>102</v>
      </c>
      <c r="P397" t="s">
        <v>174</v>
      </c>
      <c r="Q397" t="s">
        <v>300</v>
      </c>
      <c r="R397" t="s">
        <v>1546</v>
      </c>
      <c r="S397">
        <v>2</v>
      </c>
      <c r="T397" t="s">
        <v>61</v>
      </c>
      <c r="U397">
        <v>75</v>
      </c>
      <c r="V397" t="s">
        <v>62</v>
      </c>
    </row>
    <row r="398" spans="1:22" x14ac:dyDescent="0.3">
      <c r="A398" t="s">
        <v>1547</v>
      </c>
      <c r="B398" t="s">
        <v>860</v>
      </c>
      <c r="C398">
        <v>18</v>
      </c>
      <c r="D398" t="s">
        <v>24</v>
      </c>
      <c r="E398" t="s">
        <v>25</v>
      </c>
      <c r="F398" t="s">
        <v>26</v>
      </c>
      <c r="G398" t="s">
        <v>1548</v>
      </c>
      <c r="H398" t="s">
        <v>1549</v>
      </c>
      <c r="I398" t="s">
        <v>93</v>
      </c>
      <c r="J398" t="s">
        <v>30</v>
      </c>
      <c r="K398">
        <v>5</v>
      </c>
      <c r="L398">
        <v>36368</v>
      </c>
      <c r="M398">
        <v>0</v>
      </c>
      <c r="N398" t="s">
        <v>45</v>
      </c>
      <c r="O398" t="s">
        <v>173</v>
      </c>
      <c r="P398" t="s">
        <v>69</v>
      </c>
      <c r="Q398" t="s">
        <v>862</v>
      </c>
      <c r="R398" t="s">
        <v>1550</v>
      </c>
      <c r="S398">
        <v>5</v>
      </c>
      <c r="T398" t="s">
        <v>72</v>
      </c>
      <c r="U398">
        <v>198</v>
      </c>
      <c r="V398" t="s">
        <v>37</v>
      </c>
    </row>
    <row r="399" spans="1:22" x14ac:dyDescent="0.3">
      <c r="A399" t="s">
        <v>1551</v>
      </c>
      <c r="B399" t="s">
        <v>476</v>
      </c>
      <c r="C399">
        <v>47</v>
      </c>
      <c r="D399" t="s">
        <v>51</v>
      </c>
      <c r="E399" t="s">
        <v>25</v>
      </c>
      <c r="F399" t="s">
        <v>82</v>
      </c>
      <c r="G399" t="s">
        <v>1552</v>
      </c>
      <c r="H399" t="s">
        <v>67</v>
      </c>
      <c r="I399" t="s">
        <v>43</v>
      </c>
      <c r="J399" t="s">
        <v>30</v>
      </c>
      <c r="L399">
        <v>23775</v>
      </c>
      <c r="M399">
        <v>5</v>
      </c>
      <c r="N399" t="s">
        <v>166</v>
      </c>
      <c r="O399" t="s">
        <v>173</v>
      </c>
      <c r="P399" t="s">
        <v>69</v>
      </c>
      <c r="Q399" t="s">
        <v>478</v>
      </c>
      <c r="R399" t="s">
        <v>1553</v>
      </c>
      <c r="S399">
        <v>5</v>
      </c>
      <c r="T399" t="s">
        <v>72</v>
      </c>
      <c r="U399">
        <v>454</v>
      </c>
      <c r="V399" t="s">
        <v>62</v>
      </c>
    </row>
    <row r="400" spans="1:22" x14ac:dyDescent="0.3">
      <c r="A400" t="s">
        <v>1554</v>
      </c>
      <c r="B400" t="s">
        <v>327</v>
      </c>
      <c r="C400">
        <v>42</v>
      </c>
      <c r="D400" t="s">
        <v>51</v>
      </c>
      <c r="E400" t="s">
        <v>99</v>
      </c>
      <c r="F400" t="s">
        <v>53</v>
      </c>
      <c r="G400" t="s">
        <v>902</v>
      </c>
      <c r="H400" t="s">
        <v>151</v>
      </c>
      <c r="I400" t="s">
        <v>29</v>
      </c>
      <c r="J400" t="s">
        <v>44</v>
      </c>
      <c r="K400">
        <v>1</v>
      </c>
      <c r="L400">
        <v>8356</v>
      </c>
      <c r="M400">
        <v>0</v>
      </c>
      <c r="N400" t="s">
        <v>45</v>
      </c>
      <c r="O400" t="s">
        <v>86</v>
      </c>
      <c r="P400" t="s">
        <v>174</v>
      </c>
      <c r="Q400" t="s">
        <v>330</v>
      </c>
      <c r="R400" t="s">
        <v>1555</v>
      </c>
      <c r="S400">
        <v>3</v>
      </c>
      <c r="T400" t="s">
        <v>61</v>
      </c>
      <c r="U400">
        <v>286</v>
      </c>
      <c r="V400" t="s">
        <v>79</v>
      </c>
    </row>
    <row r="401" spans="1:22" x14ac:dyDescent="0.3">
      <c r="A401" t="s">
        <v>1556</v>
      </c>
      <c r="B401" t="s">
        <v>182</v>
      </c>
      <c r="C401">
        <v>19</v>
      </c>
      <c r="D401" t="s">
        <v>51</v>
      </c>
      <c r="E401" t="s">
        <v>229</v>
      </c>
      <c r="F401" t="s">
        <v>53</v>
      </c>
      <c r="G401" t="s">
        <v>567</v>
      </c>
      <c r="H401" t="s">
        <v>1557</v>
      </c>
      <c r="I401" t="s">
        <v>108</v>
      </c>
      <c r="J401" t="s">
        <v>44</v>
      </c>
      <c r="K401">
        <v>2</v>
      </c>
      <c r="L401">
        <v>67867</v>
      </c>
      <c r="M401">
        <v>10</v>
      </c>
      <c r="N401" t="s">
        <v>31</v>
      </c>
      <c r="O401" t="s">
        <v>86</v>
      </c>
      <c r="P401" t="s">
        <v>174</v>
      </c>
      <c r="Q401" t="s">
        <v>186</v>
      </c>
      <c r="R401" t="s">
        <v>1558</v>
      </c>
      <c r="S401">
        <v>5</v>
      </c>
      <c r="T401" t="s">
        <v>61</v>
      </c>
      <c r="U401">
        <v>419</v>
      </c>
      <c r="V401" t="s">
        <v>62</v>
      </c>
    </row>
    <row r="402" spans="1:22" x14ac:dyDescent="0.3">
      <c r="A402" t="s">
        <v>1559</v>
      </c>
      <c r="B402" t="s">
        <v>170</v>
      </c>
      <c r="C402">
        <v>52</v>
      </c>
      <c r="D402" t="s">
        <v>24</v>
      </c>
      <c r="E402" t="s">
        <v>26</v>
      </c>
      <c r="F402" t="s">
        <v>53</v>
      </c>
      <c r="G402" t="s">
        <v>1560</v>
      </c>
      <c r="H402" t="s">
        <v>783</v>
      </c>
      <c r="I402" t="s">
        <v>77</v>
      </c>
      <c r="J402" t="s">
        <v>30</v>
      </c>
      <c r="K402">
        <v>1</v>
      </c>
      <c r="L402">
        <v>52513</v>
      </c>
      <c r="M402">
        <v>10</v>
      </c>
      <c r="N402" t="s">
        <v>56</v>
      </c>
      <c r="O402" t="s">
        <v>102</v>
      </c>
      <c r="P402" t="s">
        <v>33</v>
      </c>
      <c r="Q402" t="s">
        <v>175</v>
      </c>
      <c r="R402" t="s">
        <v>1561</v>
      </c>
      <c r="S402">
        <v>2</v>
      </c>
      <c r="T402" t="s">
        <v>96</v>
      </c>
      <c r="U402">
        <v>405</v>
      </c>
      <c r="V402" t="s">
        <v>79</v>
      </c>
    </row>
    <row r="403" spans="1:22" x14ac:dyDescent="0.3">
      <c r="A403" t="s">
        <v>1562</v>
      </c>
      <c r="B403" t="s">
        <v>321</v>
      </c>
      <c r="C403">
        <v>41</v>
      </c>
      <c r="D403" t="s">
        <v>51</v>
      </c>
      <c r="E403" t="s">
        <v>99</v>
      </c>
      <c r="F403" t="s">
        <v>91</v>
      </c>
      <c r="G403" t="s">
        <v>1031</v>
      </c>
      <c r="H403" t="s">
        <v>1563</v>
      </c>
      <c r="I403" t="s">
        <v>93</v>
      </c>
      <c r="J403" t="s">
        <v>44</v>
      </c>
      <c r="K403">
        <v>1</v>
      </c>
      <c r="L403">
        <v>56627</v>
      </c>
      <c r="M403">
        <v>5</v>
      </c>
      <c r="N403" t="s">
        <v>56</v>
      </c>
      <c r="O403" t="s">
        <v>68</v>
      </c>
      <c r="P403" t="s">
        <v>69</v>
      </c>
      <c r="Q403" t="s">
        <v>324</v>
      </c>
      <c r="R403" t="s">
        <v>1564</v>
      </c>
      <c r="S403">
        <v>2</v>
      </c>
      <c r="T403" t="s">
        <v>72</v>
      </c>
      <c r="U403">
        <v>499</v>
      </c>
      <c r="V403" t="s">
        <v>62</v>
      </c>
    </row>
    <row r="404" spans="1:22" x14ac:dyDescent="0.3">
      <c r="A404" t="s">
        <v>1565</v>
      </c>
      <c r="B404" t="s">
        <v>1340</v>
      </c>
      <c r="C404">
        <v>41</v>
      </c>
      <c r="D404" t="s">
        <v>24</v>
      </c>
      <c r="E404" t="s">
        <v>99</v>
      </c>
      <c r="F404" t="s">
        <v>91</v>
      </c>
      <c r="G404" t="s">
        <v>1386</v>
      </c>
      <c r="H404" t="s">
        <v>1247</v>
      </c>
      <c r="I404" t="s">
        <v>93</v>
      </c>
      <c r="J404" t="s">
        <v>30</v>
      </c>
      <c r="K404">
        <v>1</v>
      </c>
      <c r="L404">
        <v>58122</v>
      </c>
      <c r="M404">
        <v>5</v>
      </c>
      <c r="N404" t="s">
        <v>45</v>
      </c>
      <c r="O404" t="s">
        <v>68</v>
      </c>
      <c r="P404" t="s">
        <v>58</v>
      </c>
      <c r="Q404" t="s">
        <v>1342</v>
      </c>
      <c r="R404" t="s">
        <v>1566</v>
      </c>
      <c r="S404">
        <v>2</v>
      </c>
      <c r="T404" t="s">
        <v>96</v>
      </c>
      <c r="U404">
        <v>75</v>
      </c>
      <c r="V404" t="s">
        <v>37</v>
      </c>
    </row>
    <row r="405" spans="1:22" x14ac:dyDescent="0.3">
      <c r="A405" t="s">
        <v>1567</v>
      </c>
      <c r="B405" t="s">
        <v>272</v>
      </c>
      <c r="C405">
        <v>56</v>
      </c>
      <c r="D405" t="s">
        <v>24</v>
      </c>
      <c r="E405" t="s">
        <v>229</v>
      </c>
      <c r="F405" t="s">
        <v>91</v>
      </c>
      <c r="G405" t="s">
        <v>1244</v>
      </c>
      <c r="H405" t="s">
        <v>1568</v>
      </c>
      <c r="I405" t="s">
        <v>85</v>
      </c>
      <c r="J405" t="s">
        <v>44</v>
      </c>
      <c r="K405">
        <v>3</v>
      </c>
      <c r="L405">
        <v>40206</v>
      </c>
      <c r="M405">
        <v>5</v>
      </c>
      <c r="N405" t="s">
        <v>31</v>
      </c>
      <c r="O405" t="s">
        <v>46</v>
      </c>
      <c r="P405" t="s">
        <v>58</v>
      </c>
      <c r="S405">
        <v>4</v>
      </c>
      <c r="T405" t="s">
        <v>72</v>
      </c>
      <c r="U405">
        <v>114</v>
      </c>
      <c r="V405" t="s">
        <v>62</v>
      </c>
    </row>
    <row r="406" spans="1:22" x14ac:dyDescent="0.3">
      <c r="A406" t="s">
        <v>1569</v>
      </c>
      <c r="B406" t="s">
        <v>498</v>
      </c>
      <c r="C406">
        <v>53</v>
      </c>
      <c r="D406" t="s">
        <v>51</v>
      </c>
      <c r="E406" t="s">
        <v>25</v>
      </c>
      <c r="F406" t="s">
        <v>53</v>
      </c>
      <c r="G406" t="s">
        <v>1570</v>
      </c>
      <c r="H406" t="s">
        <v>1571</v>
      </c>
      <c r="I406" t="s">
        <v>43</v>
      </c>
      <c r="J406" t="s">
        <v>30</v>
      </c>
      <c r="K406">
        <v>1</v>
      </c>
      <c r="L406">
        <v>43210</v>
      </c>
      <c r="M406">
        <v>10</v>
      </c>
      <c r="N406" t="s">
        <v>45</v>
      </c>
      <c r="O406" t="s">
        <v>57</v>
      </c>
      <c r="P406" t="s">
        <v>69</v>
      </c>
      <c r="Q406" t="s">
        <v>500</v>
      </c>
      <c r="R406" t="s">
        <v>1572</v>
      </c>
      <c r="S406">
        <v>3</v>
      </c>
      <c r="T406" t="s">
        <v>96</v>
      </c>
      <c r="U406">
        <v>64</v>
      </c>
      <c r="V406" t="s">
        <v>62</v>
      </c>
    </row>
    <row r="407" spans="1:22" x14ac:dyDescent="0.3">
      <c r="A407" t="s">
        <v>1573</v>
      </c>
      <c r="B407" t="s">
        <v>933</v>
      </c>
      <c r="C407">
        <v>55</v>
      </c>
      <c r="D407" t="s">
        <v>51</v>
      </c>
      <c r="E407" t="s">
        <v>52</v>
      </c>
      <c r="F407" t="s">
        <v>91</v>
      </c>
      <c r="G407" t="s">
        <v>1274</v>
      </c>
      <c r="H407" t="s">
        <v>629</v>
      </c>
      <c r="I407" t="s">
        <v>29</v>
      </c>
      <c r="J407" t="s">
        <v>30</v>
      </c>
      <c r="K407">
        <v>1</v>
      </c>
      <c r="L407">
        <v>32907</v>
      </c>
      <c r="M407">
        <v>0</v>
      </c>
      <c r="N407" t="s">
        <v>45</v>
      </c>
      <c r="O407" t="s">
        <v>86</v>
      </c>
      <c r="P407" t="s">
        <v>174</v>
      </c>
      <c r="Q407" t="s">
        <v>935</v>
      </c>
      <c r="R407" t="s">
        <v>1574</v>
      </c>
      <c r="S407">
        <v>3</v>
      </c>
      <c r="T407" t="s">
        <v>61</v>
      </c>
      <c r="U407">
        <v>205</v>
      </c>
      <c r="V407" t="s">
        <v>62</v>
      </c>
    </row>
    <row r="408" spans="1:22" x14ac:dyDescent="0.3">
      <c r="A408" t="s">
        <v>1575</v>
      </c>
      <c r="B408" t="s">
        <v>1340</v>
      </c>
      <c r="C408">
        <v>34</v>
      </c>
      <c r="D408" t="s">
        <v>24</v>
      </c>
      <c r="E408" t="s">
        <v>40</v>
      </c>
      <c r="F408" t="s">
        <v>82</v>
      </c>
      <c r="G408" t="s">
        <v>572</v>
      </c>
      <c r="H408" t="s">
        <v>1576</v>
      </c>
      <c r="I408" t="s">
        <v>77</v>
      </c>
      <c r="J408" t="s">
        <v>44</v>
      </c>
      <c r="K408">
        <v>4</v>
      </c>
      <c r="M408">
        <v>10</v>
      </c>
      <c r="N408" t="s">
        <v>45</v>
      </c>
      <c r="O408" t="s">
        <v>102</v>
      </c>
      <c r="P408" t="s">
        <v>58</v>
      </c>
      <c r="Q408" t="s">
        <v>1342</v>
      </c>
      <c r="R408" t="s">
        <v>1577</v>
      </c>
      <c r="S408">
        <v>1</v>
      </c>
      <c r="T408" t="s">
        <v>72</v>
      </c>
      <c r="U408">
        <v>148</v>
      </c>
      <c r="V408" t="s">
        <v>37</v>
      </c>
    </row>
    <row r="409" spans="1:22" x14ac:dyDescent="0.3">
      <c r="A409" t="s">
        <v>1578</v>
      </c>
      <c r="B409" t="s">
        <v>1539</v>
      </c>
      <c r="C409">
        <v>37</v>
      </c>
      <c r="D409" t="s">
        <v>51</v>
      </c>
      <c r="E409" t="s">
        <v>26</v>
      </c>
      <c r="F409" t="s">
        <v>26</v>
      </c>
      <c r="G409" t="s">
        <v>700</v>
      </c>
      <c r="H409" t="s">
        <v>345</v>
      </c>
      <c r="I409" t="s">
        <v>108</v>
      </c>
      <c r="J409" t="s">
        <v>44</v>
      </c>
      <c r="K409">
        <v>5</v>
      </c>
      <c r="L409">
        <v>74929</v>
      </c>
      <c r="M409">
        <v>10</v>
      </c>
      <c r="N409" t="s">
        <v>166</v>
      </c>
      <c r="O409" t="s">
        <v>109</v>
      </c>
      <c r="P409" t="s">
        <v>174</v>
      </c>
      <c r="Q409" t="s">
        <v>34</v>
      </c>
      <c r="R409" t="s">
        <v>1579</v>
      </c>
      <c r="S409">
        <v>3</v>
      </c>
      <c r="T409" t="s">
        <v>96</v>
      </c>
      <c r="U409">
        <v>272</v>
      </c>
      <c r="V409" t="s">
        <v>62</v>
      </c>
    </row>
    <row r="410" spans="1:22" x14ac:dyDescent="0.3">
      <c r="A410" t="s">
        <v>1580</v>
      </c>
      <c r="B410" t="s">
        <v>1581</v>
      </c>
      <c r="C410">
        <v>31</v>
      </c>
      <c r="D410" t="s">
        <v>51</v>
      </c>
      <c r="E410" t="s">
        <v>142</v>
      </c>
      <c r="F410" t="s">
        <v>82</v>
      </c>
      <c r="G410" t="s">
        <v>1582</v>
      </c>
      <c r="H410" t="s">
        <v>1583</v>
      </c>
      <c r="I410" t="s">
        <v>108</v>
      </c>
      <c r="J410" t="s">
        <v>44</v>
      </c>
      <c r="K410">
        <v>3</v>
      </c>
      <c r="L410">
        <v>58809</v>
      </c>
      <c r="M410">
        <v>10</v>
      </c>
      <c r="N410" t="s">
        <v>45</v>
      </c>
      <c r="O410" t="s">
        <v>133</v>
      </c>
      <c r="P410" t="s">
        <v>33</v>
      </c>
      <c r="S410">
        <v>2</v>
      </c>
      <c r="T410" t="s">
        <v>72</v>
      </c>
      <c r="U410">
        <v>265</v>
      </c>
      <c r="V410" t="s">
        <v>79</v>
      </c>
    </row>
    <row r="411" spans="1:22" x14ac:dyDescent="0.3">
      <c r="A411" t="s">
        <v>1584</v>
      </c>
      <c r="B411" t="s">
        <v>130</v>
      </c>
      <c r="C411">
        <v>43</v>
      </c>
      <c r="D411" t="s">
        <v>51</v>
      </c>
      <c r="E411" t="s">
        <v>52</v>
      </c>
      <c r="F411" t="s">
        <v>26</v>
      </c>
      <c r="G411" t="s">
        <v>1535</v>
      </c>
      <c r="H411" t="s">
        <v>1585</v>
      </c>
      <c r="I411" t="s">
        <v>43</v>
      </c>
      <c r="J411" t="s">
        <v>44</v>
      </c>
      <c r="K411">
        <v>4</v>
      </c>
      <c r="L411">
        <v>38543</v>
      </c>
      <c r="M411">
        <v>5</v>
      </c>
      <c r="N411" t="s">
        <v>56</v>
      </c>
      <c r="O411" t="s">
        <v>109</v>
      </c>
      <c r="P411" t="s">
        <v>58</v>
      </c>
      <c r="Q411" t="s">
        <v>1355</v>
      </c>
      <c r="R411" t="s">
        <v>1586</v>
      </c>
      <c r="S411">
        <v>4</v>
      </c>
      <c r="T411" t="s">
        <v>36</v>
      </c>
      <c r="U411">
        <v>326</v>
      </c>
      <c r="V411" t="s">
        <v>79</v>
      </c>
    </row>
    <row r="412" spans="1:22" x14ac:dyDescent="0.3">
      <c r="A412" t="s">
        <v>1587</v>
      </c>
      <c r="B412" t="s">
        <v>1324</v>
      </c>
      <c r="C412">
        <v>27</v>
      </c>
      <c r="D412" t="s">
        <v>24</v>
      </c>
      <c r="E412" t="s">
        <v>131</v>
      </c>
      <c r="F412" t="s">
        <v>65</v>
      </c>
      <c r="G412" t="s">
        <v>67</v>
      </c>
      <c r="H412" t="s">
        <v>1588</v>
      </c>
      <c r="I412" t="s">
        <v>43</v>
      </c>
      <c r="J412" t="s">
        <v>44</v>
      </c>
      <c r="K412">
        <v>2</v>
      </c>
      <c r="L412">
        <v>17691</v>
      </c>
      <c r="M412">
        <v>15</v>
      </c>
      <c r="N412" t="s">
        <v>31</v>
      </c>
      <c r="O412" t="s">
        <v>102</v>
      </c>
      <c r="P412" t="s">
        <v>69</v>
      </c>
      <c r="Q412" t="s">
        <v>1147</v>
      </c>
      <c r="R412" t="s">
        <v>1589</v>
      </c>
      <c r="S412">
        <v>5</v>
      </c>
      <c r="T412" t="s">
        <v>61</v>
      </c>
      <c r="U412">
        <v>495</v>
      </c>
      <c r="V412" t="s">
        <v>79</v>
      </c>
    </row>
    <row r="413" spans="1:22" x14ac:dyDescent="0.3">
      <c r="A413" t="s">
        <v>1590</v>
      </c>
      <c r="B413" t="s">
        <v>321</v>
      </c>
      <c r="C413">
        <v>27</v>
      </c>
      <c r="D413" t="s">
        <v>24</v>
      </c>
      <c r="E413" t="s">
        <v>26</v>
      </c>
      <c r="F413" t="s">
        <v>53</v>
      </c>
      <c r="G413" t="s">
        <v>572</v>
      </c>
      <c r="H413" t="s">
        <v>1046</v>
      </c>
      <c r="I413" t="s">
        <v>29</v>
      </c>
      <c r="J413" t="s">
        <v>30</v>
      </c>
      <c r="K413">
        <v>4</v>
      </c>
      <c r="L413">
        <v>28425</v>
      </c>
      <c r="M413">
        <v>15</v>
      </c>
      <c r="N413" t="s">
        <v>166</v>
      </c>
      <c r="O413" t="s">
        <v>173</v>
      </c>
      <c r="P413" t="s">
        <v>69</v>
      </c>
      <c r="Q413" t="s">
        <v>324</v>
      </c>
      <c r="R413" t="s">
        <v>1591</v>
      </c>
      <c r="S413">
        <v>4</v>
      </c>
      <c r="T413" t="s">
        <v>36</v>
      </c>
      <c r="U413">
        <v>454</v>
      </c>
      <c r="V413" t="s">
        <v>37</v>
      </c>
    </row>
    <row r="414" spans="1:22" x14ac:dyDescent="0.3">
      <c r="A414" t="s">
        <v>1592</v>
      </c>
      <c r="B414" t="s">
        <v>933</v>
      </c>
      <c r="C414">
        <v>43</v>
      </c>
      <c r="D414" t="s">
        <v>51</v>
      </c>
      <c r="E414" t="s">
        <v>40</v>
      </c>
      <c r="F414" t="s">
        <v>82</v>
      </c>
      <c r="G414" t="s">
        <v>351</v>
      </c>
      <c r="H414" t="s">
        <v>751</v>
      </c>
      <c r="I414" t="s">
        <v>108</v>
      </c>
      <c r="J414" t="s">
        <v>30</v>
      </c>
      <c r="K414">
        <v>1</v>
      </c>
      <c r="L414">
        <v>14119</v>
      </c>
      <c r="M414">
        <v>10</v>
      </c>
      <c r="N414" t="s">
        <v>166</v>
      </c>
      <c r="O414" t="s">
        <v>86</v>
      </c>
      <c r="P414" t="s">
        <v>69</v>
      </c>
      <c r="Q414" t="s">
        <v>935</v>
      </c>
      <c r="R414" t="s">
        <v>1593</v>
      </c>
      <c r="S414">
        <v>2</v>
      </c>
      <c r="T414" t="s">
        <v>72</v>
      </c>
      <c r="U414">
        <v>308</v>
      </c>
      <c r="V414" t="s">
        <v>62</v>
      </c>
    </row>
    <row r="415" spans="1:22" x14ac:dyDescent="0.3">
      <c r="A415" t="s">
        <v>1594</v>
      </c>
      <c r="B415" t="s">
        <v>113</v>
      </c>
      <c r="C415">
        <v>18</v>
      </c>
      <c r="D415" t="s">
        <v>51</v>
      </c>
      <c r="E415" t="s">
        <v>229</v>
      </c>
      <c r="F415" t="s">
        <v>82</v>
      </c>
      <c r="G415" t="s">
        <v>1020</v>
      </c>
      <c r="H415" t="s">
        <v>1595</v>
      </c>
      <c r="I415" t="s">
        <v>43</v>
      </c>
      <c r="J415" t="s">
        <v>44</v>
      </c>
      <c r="K415">
        <v>2</v>
      </c>
      <c r="L415">
        <v>16440</v>
      </c>
      <c r="M415">
        <v>0</v>
      </c>
      <c r="N415" t="s">
        <v>31</v>
      </c>
      <c r="O415" t="s">
        <v>281</v>
      </c>
      <c r="P415" t="s">
        <v>69</v>
      </c>
      <c r="Q415" t="s">
        <v>116</v>
      </c>
      <c r="R415" t="s">
        <v>1596</v>
      </c>
      <c r="S415">
        <v>1</v>
      </c>
      <c r="T415" t="s">
        <v>96</v>
      </c>
      <c r="U415">
        <v>264</v>
      </c>
      <c r="V415" t="s">
        <v>79</v>
      </c>
    </row>
    <row r="416" spans="1:22" x14ac:dyDescent="0.3">
      <c r="A416" t="s">
        <v>1597</v>
      </c>
      <c r="B416" t="s">
        <v>660</v>
      </c>
      <c r="C416">
        <v>35</v>
      </c>
      <c r="D416" t="s">
        <v>51</v>
      </c>
      <c r="E416" t="s">
        <v>99</v>
      </c>
      <c r="F416" t="s">
        <v>26</v>
      </c>
      <c r="G416" t="s">
        <v>1139</v>
      </c>
      <c r="H416" t="s">
        <v>542</v>
      </c>
      <c r="I416" t="s">
        <v>77</v>
      </c>
      <c r="J416" t="s">
        <v>30</v>
      </c>
      <c r="K416">
        <v>5</v>
      </c>
      <c r="L416">
        <v>43345</v>
      </c>
      <c r="M416">
        <v>5</v>
      </c>
      <c r="N416" t="s">
        <v>45</v>
      </c>
      <c r="O416" t="s">
        <v>46</v>
      </c>
      <c r="P416" t="s">
        <v>33</v>
      </c>
      <c r="Q416" t="s">
        <v>662</v>
      </c>
      <c r="R416" t="s">
        <v>1598</v>
      </c>
      <c r="S416">
        <v>3</v>
      </c>
      <c r="T416" t="s">
        <v>61</v>
      </c>
      <c r="U416">
        <v>239</v>
      </c>
      <c r="V416" t="s">
        <v>37</v>
      </c>
    </row>
    <row r="417" spans="1:22" x14ac:dyDescent="0.3">
      <c r="A417" t="s">
        <v>1599</v>
      </c>
      <c r="B417" t="s">
        <v>278</v>
      </c>
      <c r="C417">
        <v>46</v>
      </c>
      <c r="D417" t="s">
        <v>51</v>
      </c>
      <c r="E417" t="s">
        <v>40</v>
      </c>
      <c r="F417" t="s">
        <v>26</v>
      </c>
      <c r="G417" t="s">
        <v>1600</v>
      </c>
      <c r="H417" t="s">
        <v>800</v>
      </c>
      <c r="I417" t="s">
        <v>108</v>
      </c>
      <c r="J417" t="s">
        <v>30</v>
      </c>
      <c r="K417">
        <v>5</v>
      </c>
      <c r="L417">
        <v>44993</v>
      </c>
      <c r="M417">
        <v>5</v>
      </c>
      <c r="N417" t="s">
        <v>56</v>
      </c>
      <c r="O417" t="s">
        <v>102</v>
      </c>
      <c r="P417" t="s">
        <v>69</v>
      </c>
      <c r="Q417" t="s">
        <v>282</v>
      </c>
      <c r="R417" t="s">
        <v>1601</v>
      </c>
      <c r="S417">
        <v>1</v>
      </c>
      <c r="T417" t="s">
        <v>61</v>
      </c>
      <c r="U417">
        <v>120</v>
      </c>
      <c r="V417" t="s">
        <v>62</v>
      </c>
    </row>
    <row r="418" spans="1:22" x14ac:dyDescent="0.3">
      <c r="A418" t="s">
        <v>1602</v>
      </c>
      <c r="B418" t="s">
        <v>850</v>
      </c>
      <c r="C418">
        <v>33</v>
      </c>
      <c r="D418" t="s">
        <v>24</v>
      </c>
      <c r="E418" t="s">
        <v>52</v>
      </c>
      <c r="F418" t="s">
        <v>82</v>
      </c>
      <c r="G418" t="s">
        <v>245</v>
      </c>
      <c r="H418" t="s">
        <v>598</v>
      </c>
      <c r="I418" t="s">
        <v>29</v>
      </c>
      <c r="J418" t="s">
        <v>30</v>
      </c>
      <c r="K418">
        <v>1</v>
      </c>
      <c r="M418">
        <v>5</v>
      </c>
      <c r="N418" t="s">
        <v>56</v>
      </c>
      <c r="O418" t="s">
        <v>86</v>
      </c>
      <c r="P418" t="s">
        <v>33</v>
      </c>
      <c r="Q418" t="s">
        <v>258</v>
      </c>
      <c r="R418" t="s">
        <v>1603</v>
      </c>
      <c r="S418">
        <v>1</v>
      </c>
      <c r="T418" t="s">
        <v>72</v>
      </c>
      <c r="U418">
        <v>173</v>
      </c>
      <c r="V418" t="s">
        <v>62</v>
      </c>
    </row>
    <row r="419" spans="1:22" x14ac:dyDescent="0.3">
      <c r="A419" t="s">
        <v>1604</v>
      </c>
      <c r="B419" t="s">
        <v>81</v>
      </c>
      <c r="C419">
        <v>24</v>
      </c>
      <c r="D419" t="s">
        <v>24</v>
      </c>
      <c r="E419" t="s">
        <v>229</v>
      </c>
      <c r="F419" t="s">
        <v>65</v>
      </c>
      <c r="G419" t="s">
        <v>245</v>
      </c>
      <c r="H419" t="s">
        <v>856</v>
      </c>
      <c r="I419" t="s">
        <v>108</v>
      </c>
      <c r="J419" t="s">
        <v>44</v>
      </c>
      <c r="K419">
        <v>4</v>
      </c>
      <c r="L419">
        <v>70255</v>
      </c>
      <c r="M419">
        <v>10</v>
      </c>
      <c r="N419" t="s">
        <v>166</v>
      </c>
      <c r="O419" t="s">
        <v>46</v>
      </c>
      <c r="P419" t="s">
        <v>33</v>
      </c>
      <c r="Q419" t="s">
        <v>87</v>
      </c>
      <c r="R419" t="s">
        <v>1605</v>
      </c>
      <c r="S419">
        <v>1</v>
      </c>
      <c r="T419" t="s">
        <v>61</v>
      </c>
      <c r="U419">
        <v>101</v>
      </c>
      <c r="V419" t="s">
        <v>37</v>
      </c>
    </row>
    <row r="420" spans="1:22" x14ac:dyDescent="0.3">
      <c r="A420" t="s">
        <v>1606</v>
      </c>
      <c r="B420" t="s">
        <v>182</v>
      </c>
      <c r="C420">
        <v>48</v>
      </c>
      <c r="D420" t="s">
        <v>51</v>
      </c>
      <c r="E420" t="s">
        <v>99</v>
      </c>
      <c r="F420" t="s">
        <v>53</v>
      </c>
      <c r="G420" t="s">
        <v>1179</v>
      </c>
      <c r="H420" t="s">
        <v>1607</v>
      </c>
      <c r="I420" t="s">
        <v>108</v>
      </c>
      <c r="J420" t="s">
        <v>44</v>
      </c>
      <c r="K420">
        <v>1</v>
      </c>
      <c r="L420">
        <v>12754</v>
      </c>
      <c r="M420">
        <v>15</v>
      </c>
      <c r="N420" t="s">
        <v>56</v>
      </c>
      <c r="O420" t="s">
        <v>57</v>
      </c>
      <c r="P420" t="s">
        <v>69</v>
      </c>
      <c r="Q420" t="s">
        <v>186</v>
      </c>
      <c r="S420">
        <v>2</v>
      </c>
      <c r="T420" t="s">
        <v>61</v>
      </c>
      <c r="U420">
        <v>433</v>
      </c>
      <c r="V420" t="s">
        <v>62</v>
      </c>
    </row>
    <row r="421" spans="1:22" x14ac:dyDescent="0.3">
      <c r="A421" t="s">
        <v>1608</v>
      </c>
      <c r="B421" t="s">
        <v>1609</v>
      </c>
      <c r="C421">
        <v>59</v>
      </c>
      <c r="D421" t="s">
        <v>24</v>
      </c>
      <c r="E421" t="s">
        <v>99</v>
      </c>
      <c r="F421" t="s">
        <v>91</v>
      </c>
      <c r="G421" t="s">
        <v>384</v>
      </c>
      <c r="H421" t="s">
        <v>408</v>
      </c>
      <c r="I421" t="s">
        <v>85</v>
      </c>
      <c r="J421" t="s">
        <v>44</v>
      </c>
      <c r="K421">
        <v>2</v>
      </c>
      <c r="L421">
        <v>53510</v>
      </c>
      <c r="M421">
        <v>0</v>
      </c>
      <c r="N421" t="s">
        <v>166</v>
      </c>
      <c r="O421" t="s">
        <v>46</v>
      </c>
      <c r="P421" t="s">
        <v>174</v>
      </c>
      <c r="Q421" t="s">
        <v>330</v>
      </c>
      <c r="R421" t="s">
        <v>1610</v>
      </c>
      <c r="S421">
        <v>3</v>
      </c>
      <c r="T421" t="s">
        <v>72</v>
      </c>
      <c r="U421">
        <v>52</v>
      </c>
      <c r="V421" t="s">
        <v>79</v>
      </c>
    </row>
    <row r="422" spans="1:22" x14ac:dyDescent="0.3">
      <c r="A422" t="s">
        <v>1611</v>
      </c>
      <c r="B422" t="s">
        <v>315</v>
      </c>
      <c r="C422">
        <v>22</v>
      </c>
      <c r="D422" t="s">
        <v>24</v>
      </c>
      <c r="E422" t="s">
        <v>26</v>
      </c>
      <c r="F422" t="s">
        <v>53</v>
      </c>
      <c r="G422" t="s">
        <v>1612</v>
      </c>
      <c r="H422" t="s">
        <v>1613</v>
      </c>
      <c r="I422" t="s">
        <v>77</v>
      </c>
      <c r="J422" t="s">
        <v>44</v>
      </c>
      <c r="K422">
        <v>1</v>
      </c>
      <c r="L422">
        <v>56901</v>
      </c>
      <c r="M422">
        <v>0</v>
      </c>
      <c r="N422" t="s">
        <v>45</v>
      </c>
      <c r="O422" t="s">
        <v>133</v>
      </c>
      <c r="P422" t="s">
        <v>58</v>
      </c>
      <c r="Q422" t="s">
        <v>318</v>
      </c>
      <c r="R422" t="s">
        <v>1614</v>
      </c>
      <c r="S422">
        <v>3</v>
      </c>
      <c r="T422" t="s">
        <v>96</v>
      </c>
      <c r="U422">
        <v>237</v>
      </c>
      <c r="V422" t="s">
        <v>37</v>
      </c>
    </row>
    <row r="423" spans="1:22" x14ac:dyDescent="0.3">
      <c r="A423" t="s">
        <v>1615</v>
      </c>
      <c r="B423" t="s">
        <v>1616</v>
      </c>
      <c r="C423">
        <v>46</v>
      </c>
      <c r="D423" t="s">
        <v>24</v>
      </c>
      <c r="E423" t="s">
        <v>26</v>
      </c>
      <c r="F423" t="s">
        <v>53</v>
      </c>
      <c r="G423" t="s">
        <v>925</v>
      </c>
      <c r="H423" t="s">
        <v>1062</v>
      </c>
      <c r="I423" t="s">
        <v>85</v>
      </c>
      <c r="J423" t="s">
        <v>30</v>
      </c>
      <c r="K423">
        <v>2</v>
      </c>
      <c r="L423">
        <v>58446</v>
      </c>
      <c r="M423">
        <v>15</v>
      </c>
      <c r="N423" t="s">
        <v>166</v>
      </c>
      <c r="O423" t="s">
        <v>173</v>
      </c>
      <c r="P423" t="s">
        <v>33</v>
      </c>
      <c r="Q423" t="s">
        <v>116</v>
      </c>
      <c r="R423" t="s">
        <v>1617</v>
      </c>
      <c r="S423">
        <v>5</v>
      </c>
      <c r="T423" t="s">
        <v>72</v>
      </c>
      <c r="U423">
        <v>429</v>
      </c>
      <c r="V423" t="s">
        <v>79</v>
      </c>
    </row>
    <row r="424" spans="1:22" x14ac:dyDescent="0.3">
      <c r="A424" t="s">
        <v>1618</v>
      </c>
      <c r="B424" t="s">
        <v>293</v>
      </c>
      <c r="C424">
        <v>34</v>
      </c>
      <c r="D424" t="s">
        <v>51</v>
      </c>
      <c r="E424" t="s">
        <v>142</v>
      </c>
      <c r="F424" t="s">
        <v>53</v>
      </c>
      <c r="G424" t="s">
        <v>340</v>
      </c>
      <c r="H424" t="s">
        <v>651</v>
      </c>
      <c r="I424" t="s">
        <v>77</v>
      </c>
      <c r="J424" t="s">
        <v>30</v>
      </c>
      <c r="K424">
        <v>2</v>
      </c>
      <c r="L424">
        <v>67826</v>
      </c>
      <c r="M424">
        <v>0</v>
      </c>
      <c r="N424" t="s">
        <v>56</v>
      </c>
      <c r="O424" t="s">
        <v>57</v>
      </c>
      <c r="P424" t="s">
        <v>69</v>
      </c>
      <c r="Q424" t="s">
        <v>1231</v>
      </c>
      <c r="R424" t="s">
        <v>1619</v>
      </c>
      <c r="S424">
        <v>5</v>
      </c>
      <c r="T424" t="s">
        <v>61</v>
      </c>
      <c r="U424">
        <v>440</v>
      </c>
      <c r="V424" t="s">
        <v>37</v>
      </c>
    </row>
    <row r="425" spans="1:22" x14ac:dyDescent="0.3">
      <c r="A425" t="s">
        <v>1620</v>
      </c>
      <c r="B425" t="s">
        <v>803</v>
      </c>
      <c r="C425">
        <v>41</v>
      </c>
      <c r="D425" t="s">
        <v>51</v>
      </c>
      <c r="E425" t="s">
        <v>26</v>
      </c>
      <c r="F425" t="s">
        <v>53</v>
      </c>
      <c r="G425" t="s">
        <v>1621</v>
      </c>
      <c r="H425" t="s">
        <v>1622</v>
      </c>
      <c r="I425" t="s">
        <v>93</v>
      </c>
      <c r="J425" t="s">
        <v>44</v>
      </c>
      <c r="L425">
        <v>65479</v>
      </c>
      <c r="M425">
        <v>5</v>
      </c>
      <c r="N425" t="s">
        <v>56</v>
      </c>
      <c r="O425" t="s">
        <v>57</v>
      </c>
      <c r="P425" t="s">
        <v>174</v>
      </c>
      <c r="Q425" t="s">
        <v>805</v>
      </c>
      <c r="R425" t="s">
        <v>1623</v>
      </c>
      <c r="S425">
        <v>2</v>
      </c>
      <c r="T425" t="s">
        <v>36</v>
      </c>
      <c r="U425">
        <v>265</v>
      </c>
      <c r="V425" t="s">
        <v>79</v>
      </c>
    </row>
    <row r="426" spans="1:22" x14ac:dyDescent="0.3">
      <c r="A426" t="s">
        <v>1624</v>
      </c>
      <c r="B426" t="s">
        <v>141</v>
      </c>
      <c r="C426">
        <v>55</v>
      </c>
      <c r="D426" t="s">
        <v>24</v>
      </c>
      <c r="E426" t="s">
        <v>52</v>
      </c>
      <c r="F426" t="s">
        <v>53</v>
      </c>
      <c r="G426" t="s">
        <v>1544</v>
      </c>
      <c r="H426" t="s">
        <v>1042</v>
      </c>
      <c r="I426" t="s">
        <v>77</v>
      </c>
      <c r="J426" t="s">
        <v>30</v>
      </c>
      <c r="K426">
        <v>1</v>
      </c>
      <c r="L426">
        <v>30008</v>
      </c>
      <c r="M426">
        <v>5</v>
      </c>
      <c r="N426" t="s">
        <v>45</v>
      </c>
      <c r="O426" t="s">
        <v>32</v>
      </c>
      <c r="P426" t="s">
        <v>58</v>
      </c>
      <c r="Q426" t="s">
        <v>144</v>
      </c>
      <c r="R426" t="s">
        <v>1625</v>
      </c>
      <c r="S426">
        <v>4</v>
      </c>
      <c r="T426" t="s">
        <v>61</v>
      </c>
      <c r="U426">
        <v>68</v>
      </c>
      <c r="V426" t="s">
        <v>62</v>
      </c>
    </row>
    <row r="427" spans="1:22" x14ac:dyDescent="0.3">
      <c r="A427" t="s">
        <v>1626</v>
      </c>
      <c r="B427" t="s">
        <v>1396</v>
      </c>
      <c r="C427">
        <v>27</v>
      </c>
      <c r="D427" t="s">
        <v>51</v>
      </c>
      <c r="E427" t="s">
        <v>99</v>
      </c>
      <c r="F427" t="s">
        <v>82</v>
      </c>
      <c r="G427" t="s">
        <v>1163</v>
      </c>
      <c r="H427" t="s">
        <v>1627</v>
      </c>
      <c r="I427" t="s">
        <v>43</v>
      </c>
      <c r="J427" t="s">
        <v>44</v>
      </c>
      <c r="K427">
        <v>2</v>
      </c>
      <c r="L427">
        <v>23065</v>
      </c>
      <c r="M427">
        <v>10</v>
      </c>
      <c r="N427" t="s">
        <v>31</v>
      </c>
      <c r="O427" t="s">
        <v>173</v>
      </c>
      <c r="P427" t="s">
        <v>174</v>
      </c>
      <c r="R427" t="s">
        <v>1628</v>
      </c>
      <c r="S427">
        <v>3</v>
      </c>
      <c r="T427" t="s">
        <v>96</v>
      </c>
      <c r="U427">
        <v>470</v>
      </c>
      <c r="V427" t="s">
        <v>79</v>
      </c>
    </row>
    <row r="428" spans="1:22" x14ac:dyDescent="0.3">
      <c r="A428" t="s">
        <v>1629</v>
      </c>
      <c r="B428" t="s">
        <v>156</v>
      </c>
      <c r="C428">
        <v>31</v>
      </c>
      <c r="D428" t="s">
        <v>24</v>
      </c>
      <c r="E428" t="s">
        <v>52</v>
      </c>
      <c r="F428" t="s">
        <v>82</v>
      </c>
      <c r="G428" t="s">
        <v>286</v>
      </c>
      <c r="H428" t="s">
        <v>147</v>
      </c>
      <c r="I428" t="s">
        <v>85</v>
      </c>
      <c r="J428" t="s">
        <v>30</v>
      </c>
      <c r="K428">
        <v>4</v>
      </c>
      <c r="L428">
        <v>39227</v>
      </c>
      <c r="M428">
        <v>5</v>
      </c>
      <c r="N428" t="s">
        <v>45</v>
      </c>
      <c r="O428" t="s">
        <v>86</v>
      </c>
      <c r="P428" t="s">
        <v>33</v>
      </c>
      <c r="Q428" t="s">
        <v>159</v>
      </c>
      <c r="R428" t="s">
        <v>1630</v>
      </c>
      <c r="S428">
        <v>5</v>
      </c>
      <c r="T428" t="s">
        <v>61</v>
      </c>
      <c r="U428">
        <v>58</v>
      </c>
      <c r="V428" t="s">
        <v>62</v>
      </c>
    </row>
    <row r="429" spans="1:22" x14ac:dyDescent="0.3">
      <c r="A429" t="s">
        <v>1631</v>
      </c>
      <c r="B429" t="s">
        <v>1632</v>
      </c>
      <c r="C429">
        <v>29</v>
      </c>
      <c r="D429" t="s">
        <v>51</v>
      </c>
      <c r="E429" t="s">
        <v>40</v>
      </c>
      <c r="F429" t="s">
        <v>53</v>
      </c>
      <c r="G429" t="s">
        <v>1460</v>
      </c>
      <c r="H429" t="s">
        <v>1287</v>
      </c>
      <c r="I429" t="s">
        <v>29</v>
      </c>
      <c r="J429" t="s">
        <v>44</v>
      </c>
      <c r="K429">
        <v>4</v>
      </c>
      <c r="L429">
        <v>60151</v>
      </c>
      <c r="M429">
        <v>5</v>
      </c>
      <c r="N429" t="s">
        <v>31</v>
      </c>
      <c r="O429" t="s">
        <v>102</v>
      </c>
      <c r="P429" t="s">
        <v>58</v>
      </c>
      <c r="Q429" t="s">
        <v>916</v>
      </c>
      <c r="R429" t="s">
        <v>1633</v>
      </c>
      <c r="S429">
        <v>2</v>
      </c>
      <c r="T429" t="s">
        <v>36</v>
      </c>
      <c r="U429">
        <v>444</v>
      </c>
      <c r="V429" t="s">
        <v>62</v>
      </c>
    </row>
    <row r="430" spans="1:22" x14ac:dyDescent="0.3">
      <c r="A430" t="s">
        <v>1634</v>
      </c>
      <c r="B430" t="s">
        <v>684</v>
      </c>
      <c r="C430">
        <v>41</v>
      </c>
      <c r="D430" t="s">
        <v>24</v>
      </c>
      <c r="E430" t="s">
        <v>40</v>
      </c>
      <c r="F430" t="s">
        <v>53</v>
      </c>
      <c r="G430" t="s">
        <v>515</v>
      </c>
      <c r="H430" t="s">
        <v>1635</v>
      </c>
      <c r="I430" t="s">
        <v>43</v>
      </c>
      <c r="J430" t="s">
        <v>44</v>
      </c>
      <c r="K430">
        <v>5</v>
      </c>
      <c r="L430">
        <v>77660</v>
      </c>
      <c r="M430">
        <v>0</v>
      </c>
      <c r="N430" t="s">
        <v>45</v>
      </c>
      <c r="O430" t="s">
        <v>57</v>
      </c>
      <c r="P430" t="s">
        <v>33</v>
      </c>
      <c r="Q430" t="s">
        <v>785</v>
      </c>
      <c r="R430" t="s">
        <v>1636</v>
      </c>
      <c r="S430">
        <v>3</v>
      </c>
      <c r="T430" t="s">
        <v>61</v>
      </c>
      <c r="U430">
        <v>57</v>
      </c>
      <c r="V430" t="s">
        <v>37</v>
      </c>
    </row>
    <row r="431" spans="1:22" x14ac:dyDescent="0.3">
      <c r="A431" t="s">
        <v>1637</v>
      </c>
      <c r="B431" t="s">
        <v>471</v>
      </c>
      <c r="C431">
        <v>46</v>
      </c>
      <c r="D431" t="s">
        <v>51</v>
      </c>
      <c r="E431" t="s">
        <v>229</v>
      </c>
      <c r="F431" t="s">
        <v>91</v>
      </c>
      <c r="G431" t="s">
        <v>857</v>
      </c>
      <c r="H431" t="s">
        <v>1638</v>
      </c>
      <c r="I431" t="s">
        <v>108</v>
      </c>
      <c r="J431" t="s">
        <v>44</v>
      </c>
      <c r="K431">
        <v>4</v>
      </c>
      <c r="L431">
        <v>41212</v>
      </c>
      <c r="M431">
        <v>15</v>
      </c>
      <c r="N431" t="s">
        <v>45</v>
      </c>
      <c r="O431" t="s">
        <v>281</v>
      </c>
      <c r="P431" t="s">
        <v>33</v>
      </c>
      <c r="Q431" t="s">
        <v>495</v>
      </c>
      <c r="R431" t="s">
        <v>1639</v>
      </c>
      <c r="S431">
        <v>5</v>
      </c>
      <c r="T431" t="s">
        <v>96</v>
      </c>
      <c r="U431">
        <v>142</v>
      </c>
      <c r="V431" t="s">
        <v>37</v>
      </c>
    </row>
    <row r="432" spans="1:22" x14ac:dyDescent="0.3">
      <c r="A432" t="s">
        <v>1640</v>
      </c>
      <c r="B432" t="s">
        <v>689</v>
      </c>
      <c r="C432">
        <v>36</v>
      </c>
      <c r="D432" t="s">
        <v>51</v>
      </c>
      <c r="E432" t="s">
        <v>25</v>
      </c>
      <c r="F432" t="s">
        <v>91</v>
      </c>
      <c r="G432" t="s">
        <v>652</v>
      </c>
      <c r="H432" t="s">
        <v>874</v>
      </c>
      <c r="I432" t="s">
        <v>93</v>
      </c>
      <c r="J432" t="s">
        <v>30</v>
      </c>
      <c r="K432">
        <v>1</v>
      </c>
      <c r="L432">
        <v>64063</v>
      </c>
      <c r="M432">
        <v>10</v>
      </c>
      <c r="N432" t="s">
        <v>45</v>
      </c>
      <c r="O432" t="s">
        <v>109</v>
      </c>
      <c r="P432" t="s">
        <v>58</v>
      </c>
      <c r="Q432" t="s">
        <v>1105</v>
      </c>
      <c r="R432" t="s">
        <v>1641</v>
      </c>
      <c r="S432">
        <v>3</v>
      </c>
      <c r="T432" t="s">
        <v>36</v>
      </c>
      <c r="U432">
        <v>177</v>
      </c>
      <c r="V432" t="s">
        <v>37</v>
      </c>
    </row>
    <row r="433" spans="1:22" x14ac:dyDescent="0.3">
      <c r="A433" t="s">
        <v>1642</v>
      </c>
      <c r="B433" t="s">
        <v>1510</v>
      </c>
      <c r="C433">
        <v>27</v>
      </c>
      <c r="D433" t="s">
        <v>51</v>
      </c>
      <c r="E433" t="s">
        <v>40</v>
      </c>
      <c r="F433" t="s">
        <v>26</v>
      </c>
      <c r="G433" t="s">
        <v>1488</v>
      </c>
      <c r="H433" t="s">
        <v>1643</v>
      </c>
      <c r="I433" t="s">
        <v>77</v>
      </c>
      <c r="J433" t="s">
        <v>44</v>
      </c>
      <c r="K433">
        <v>1</v>
      </c>
      <c r="L433">
        <v>37134</v>
      </c>
      <c r="M433">
        <v>10</v>
      </c>
      <c r="N433" t="s">
        <v>56</v>
      </c>
      <c r="O433" t="s">
        <v>173</v>
      </c>
      <c r="P433" t="s">
        <v>58</v>
      </c>
      <c r="Q433" t="s">
        <v>144</v>
      </c>
      <c r="R433" t="s">
        <v>1644</v>
      </c>
      <c r="S433">
        <v>1</v>
      </c>
      <c r="T433" t="s">
        <v>96</v>
      </c>
      <c r="U433">
        <v>255</v>
      </c>
      <c r="V433" t="s">
        <v>62</v>
      </c>
    </row>
    <row r="434" spans="1:22" x14ac:dyDescent="0.3">
      <c r="A434" t="s">
        <v>1645</v>
      </c>
      <c r="B434" t="s">
        <v>645</v>
      </c>
      <c r="C434">
        <v>41</v>
      </c>
      <c r="D434" t="s">
        <v>24</v>
      </c>
      <c r="E434" t="s">
        <v>40</v>
      </c>
      <c r="F434" t="s">
        <v>53</v>
      </c>
      <c r="G434" t="s">
        <v>1646</v>
      </c>
      <c r="H434" t="s">
        <v>830</v>
      </c>
      <c r="I434" t="s">
        <v>29</v>
      </c>
      <c r="J434" t="s">
        <v>30</v>
      </c>
      <c r="K434">
        <v>3</v>
      </c>
      <c r="L434">
        <v>52195</v>
      </c>
      <c r="M434">
        <v>10</v>
      </c>
      <c r="N434" t="s">
        <v>45</v>
      </c>
      <c r="O434" t="s">
        <v>86</v>
      </c>
      <c r="P434" t="s">
        <v>33</v>
      </c>
      <c r="Q434" t="s">
        <v>647</v>
      </c>
      <c r="R434" t="s">
        <v>1647</v>
      </c>
      <c r="S434">
        <v>4</v>
      </c>
      <c r="T434" t="s">
        <v>96</v>
      </c>
      <c r="U434">
        <v>258</v>
      </c>
      <c r="V434" t="s">
        <v>37</v>
      </c>
    </row>
    <row r="435" spans="1:22" x14ac:dyDescent="0.3">
      <c r="A435" t="s">
        <v>1648</v>
      </c>
      <c r="B435" t="s">
        <v>156</v>
      </c>
      <c r="C435">
        <v>37</v>
      </c>
      <c r="D435" t="s">
        <v>24</v>
      </c>
      <c r="E435" t="s">
        <v>142</v>
      </c>
      <c r="F435" t="s">
        <v>53</v>
      </c>
      <c r="G435" t="s">
        <v>1649</v>
      </c>
      <c r="H435" t="s">
        <v>27</v>
      </c>
      <c r="I435" t="s">
        <v>77</v>
      </c>
      <c r="J435" t="s">
        <v>44</v>
      </c>
      <c r="K435">
        <v>2</v>
      </c>
      <c r="M435">
        <v>15</v>
      </c>
      <c r="N435" t="s">
        <v>166</v>
      </c>
      <c r="O435" t="s">
        <v>86</v>
      </c>
      <c r="P435" t="s">
        <v>58</v>
      </c>
      <c r="R435" t="s">
        <v>1650</v>
      </c>
      <c r="S435">
        <v>4</v>
      </c>
      <c r="T435" t="s">
        <v>72</v>
      </c>
      <c r="U435">
        <v>335</v>
      </c>
      <c r="V435" t="s">
        <v>79</v>
      </c>
    </row>
    <row r="436" spans="1:22" x14ac:dyDescent="0.3">
      <c r="A436" t="s">
        <v>1651</v>
      </c>
      <c r="B436" t="s">
        <v>141</v>
      </c>
      <c r="C436">
        <v>22</v>
      </c>
      <c r="D436" t="s">
        <v>51</v>
      </c>
      <c r="E436" t="s">
        <v>40</v>
      </c>
      <c r="F436" t="s">
        <v>91</v>
      </c>
      <c r="G436" t="s">
        <v>642</v>
      </c>
      <c r="H436" t="s">
        <v>1635</v>
      </c>
      <c r="I436" t="s">
        <v>85</v>
      </c>
      <c r="J436" t="s">
        <v>44</v>
      </c>
      <c r="K436">
        <v>3</v>
      </c>
      <c r="L436">
        <v>24296</v>
      </c>
      <c r="M436">
        <v>0</v>
      </c>
      <c r="N436" t="s">
        <v>56</v>
      </c>
      <c r="O436" t="s">
        <v>57</v>
      </c>
      <c r="P436" t="s">
        <v>33</v>
      </c>
      <c r="Q436" t="s">
        <v>144</v>
      </c>
      <c r="R436" t="s">
        <v>1652</v>
      </c>
      <c r="S436">
        <v>3</v>
      </c>
      <c r="T436" t="s">
        <v>36</v>
      </c>
      <c r="U436">
        <v>348</v>
      </c>
      <c r="V436" t="s">
        <v>62</v>
      </c>
    </row>
    <row r="437" spans="1:22" x14ac:dyDescent="0.3">
      <c r="A437" t="s">
        <v>1653</v>
      </c>
      <c r="B437" t="s">
        <v>606</v>
      </c>
      <c r="C437">
        <v>27</v>
      </c>
      <c r="D437" t="s">
        <v>51</v>
      </c>
      <c r="E437" t="s">
        <v>131</v>
      </c>
      <c r="F437" t="s">
        <v>65</v>
      </c>
      <c r="G437" t="s">
        <v>727</v>
      </c>
      <c r="H437" t="s">
        <v>404</v>
      </c>
      <c r="I437" t="s">
        <v>43</v>
      </c>
      <c r="J437" t="s">
        <v>30</v>
      </c>
      <c r="K437">
        <v>3</v>
      </c>
      <c r="L437">
        <v>45493</v>
      </c>
      <c r="M437">
        <v>0</v>
      </c>
      <c r="N437" t="s">
        <v>56</v>
      </c>
      <c r="O437" t="s">
        <v>281</v>
      </c>
      <c r="P437" t="s">
        <v>174</v>
      </c>
      <c r="Q437" t="s">
        <v>608</v>
      </c>
      <c r="R437" t="s">
        <v>1654</v>
      </c>
      <c r="S437">
        <v>1</v>
      </c>
      <c r="T437" t="s">
        <v>96</v>
      </c>
      <c r="U437">
        <v>367</v>
      </c>
      <c r="V437" t="s">
        <v>37</v>
      </c>
    </row>
    <row r="438" spans="1:22" x14ac:dyDescent="0.3">
      <c r="A438" t="s">
        <v>1655</v>
      </c>
      <c r="B438" t="s">
        <v>466</v>
      </c>
      <c r="C438">
        <v>33</v>
      </c>
      <c r="D438" t="s">
        <v>24</v>
      </c>
      <c r="E438" t="s">
        <v>229</v>
      </c>
      <c r="F438" t="s">
        <v>65</v>
      </c>
      <c r="G438" t="s">
        <v>1656</v>
      </c>
      <c r="H438" t="s">
        <v>1176</v>
      </c>
      <c r="I438" t="s">
        <v>85</v>
      </c>
      <c r="J438" t="s">
        <v>44</v>
      </c>
      <c r="K438">
        <v>1</v>
      </c>
      <c r="L438">
        <v>28806</v>
      </c>
      <c r="M438">
        <v>15</v>
      </c>
      <c r="N438" t="s">
        <v>45</v>
      </c>
      <c r="O438" t="s">
        <v>281</v>
      </c>
      <c r="P438" t="s">
        <v>58</v>
      </c>
      <c r="Q438" t="s">
        <v>468</v>
      </c>
      <c r="R438" t="s">
        <v>1657</v>
      </c>
      <c r="S438">
        <v>5</v>
      </c>
      <c r="T438" t="s">
        <v>72</v>
      </c>
      <c r="U438">
        <v>83</v>
      </c>
      <c r="V438" t="s">
        <v>37</v>
      </c>
    </row>
    <row r="439" spans="1:22" x14ac:dyDescent="0.3">
      <c r="A439" t="s">
        <v>1658</v>
      </c>
      <c r="B439" t="s">
        <v>333</v>
      </c>
      <c r="C439">
        <v>21</v>
      </c>
      <c r="D439" t="s">
        <v>24</v>
      </c>
      <c r="E439" t="s">
        <v>131</v>
      </c>
      <c r="F439" t="s">
        <v>65</v>
      </c>
      <c r="G439" t="s">
        <v>594</v>
      </c>
      <c r="H439" t="s">
        <v>1659</v>
      </c>
      <c r="I439" t="s">
        <v>93</v>
      </c>
      <c r="J439" t="s">
        <v>44</v>
      </c>
      <c r="L439">
        <v>78904</v>
      </c>
      <c r="M439">
        <v>5</v>
      </c>
      <c r="N439" t="s">
        <v>166</v>
      </c>
      <c r="O439" t="s">
        <v>86</v>
      </c>
      <c r="P439" t="s">
        <v>174</v>
      </c>
      <c r="R439" t="s">
        <v>1660</v>
      </c>
      <c r="S439">
        <v>5</v>
      </c>
      <c r="T439" t="s">
        <v>61</v>
      </c>
      <c r="U439">
        <v>237</v>
      </c>
      <c r="V439" t="s">
        <v>79</v>
      </c>
    </row>
    <row r="440" spans="1:22" x14ac:dyDescent="0.3">
      <c r="A440" t="s">
        <v>1661</v>
      </c>
      <c r="B440" t="s">
        <v>1443</v>
      </c>
      <c r="C440">
        <v>38</v>
      </c>
      <c r="D440" t="s">
        <v>51</v>
      </c>
      <c r="E440" t="s">
        <v>52</v>
      </c>
      <c r="F440" t="s">
        <v>82</v>
      </c>
      <c r="G440" t="s">
        <v>358</v>
      </c>
      <c r="H440" t="s">
        <v>1019</v>
      </c>
      <c r="I440" t="s">
        <v>43</v>
      </c>
      <c r="J440" t="s">
        <v>44</v>
      </c>
      <c r="K440">
        <v>5</v>
      </c>
      <c r="L440">
        <v>18711</v>
      </c>
      <c r="M440">
        <v>10</v>
      </c>
      <c r="N440" t="s">
        <v>45</v>
      </c>
      <c r="O440" t="s">
        <v>68</v>
      </c>
      <c r="P440" t="s">
        <v>69</v>
      </c>
      <c r="Q440" t="s">
        <v>1444</v>
      </c>
      <c r="R440" t="s">
        <v>1662</v>
      </c>
      <c r="S440">
        <v>3</v>
      </c>
      <c r="T440" t="s">
        <v>36</v>
      </c>
      <c r="U440">
        <v>301</v>
      </c>
      <c r="V440" t="s">
        <v>79</v>
      </c>
    </row>
    <row r="441" spans="1:22" x14ac:dyDescent="0.3">
      <c r="A441" t="s">
        <v>1663</v>
      </c>
      <c r="B441" t="s">
        <v>424</v>
      </c>
      <c r="C441">
        <v>25</v>
      </c>
      <c r="D441" t="s">
        <v>163</v>
      </c>
      <c r="E441" t="s">
        <v>142</v>
      </c>
      <c r="F441" t="s">
        <v>91</v>
      </c>
      <c r="G441" t="s">
        <v>1135</v>
      </c>
      <c r="H441" t="s">
        <v>634</v>
      </c>
      <c r="I441" t="s">
        <v>108</v>
      </c>
      <c r="J441" t="s">
        <v>30</v>
      </c>
      <c r="K441">
        <v>3</v>
      </c>
      <c r="L441">
        <v>9820</v>
      </c>
      <c r="M441">
        <v>0</v>
      </c>
      <c r="N441" t="s">
        <v>31</v>
      </c>
      <c r="O441" t="s">
        <v>46</v>
      </c>
      <c r="P441" t="s">
        <v>174</v>
      </c>
      <c r="Q441" t="s">
        <v>427</v>
      </c>
      <c r="R441" t="s">
        <v>1664</v>
      </c>
      <c r="S441">
        <v>2</v>
      </c>
      <c r="T441" t="s">
        <v>61</v>
      </c>
      <c r="U441">
        <v>215</v>
      </c>
      <c r="V441" t="s">
        <v>79</v>
      </c>
    </row>
    <row r="442" spans="1:22" x14ac:dyDescent="0.3">
      <c r="A442" t="s">
        <v>1665</v>
      </c>
      <c r="B442" t="s">
        <v>136</v>
      </c>
      <c r="C442">
        <v>57</v>
      </c>
      <c r="D442" t="s">
        <v>51</v>
      </c>
      <c r="E442" t="s">
        <v>40</v>
      </c>
      <c r="F442" t="s">
        <v>82</v>
      </c>
      <c r="G442" t="s">
        <v>1666</v>
      </c>
      <c r="H442" t="s">
        <v>463</v>
      </c>
      <c r="I442" t="s">
        <v>108</v>
      </c>
      <c r="J442" t="s">
        <v>44</v>
      </c>
      <c r="L442">
        <v>64087</v>
      </c>
      <c r="M442">
        <v>0</v>
      </c>
      <c r="N442" t="s">
        <v>56</v>
      </c>
      <c r="O442" t="s">
        <v>57</v>
      </c>
      <c r="P442" t="s">
        <v>69</v>
      </c>
      <c r="Q442" t="s">
        <v>269</v>
      </c>
      <c r="R442" t="s">
        <v>1667</v>
      </c>
      <c r="S442">
        <v>4</v>
      </c>
      <c r="T442" t="s">
        <v>36</v>
      </c>
      <c r="U442">
        <v>356</v>
      </c>
      <c r="V442" t="s">
        <v>79</v>
      </c>
    </row>
    <row r="443" spans="1:22" x14ac:dyDescent="0.3">
      <c r="A443" t="s">
        <v>1668</v>
      </c>
      <c r="B443" t="s">
        <v>645</v>
      </c>
      <c r="C443">
        <v>25</v>
      </c>
      <c r="D443" t="s">
        <v>24</v>
      </c>
      <c r="E443" t="s">
        <v>99</v>
      </c>
      <c r="F443" t="s">
        <v>91</v>
      </c>
      <c r="G443" t="s">
        <v>244</v>
      </c>
      <c r="H443" t="s">
        <v>990</v>
      </c>
      <c r="I443" t="s">
        <v>85</v>
      </c>
      <c r="J443" t="s">
        <v>44</v>
      </c>
      <c r="L443">
        <v>61744</v>
      </c>
      <c r="M443">
        <v>15</v>
      </c>
      <c r="N443" t="s">
        <v>166</v>
      </c>
      <c r="O443" t="s">
        <v>86</v>
      </c>
      <c r="P443" t="s">
        <v>174</v>
      </c>
      <c r="Q443" t="s">
        <v>647</v>
      </c>
      <c r="R443" t="s">
        <v>1669</v>
      </c>
      <c r="S443">
        <v>4</v>
      </c>
      <c r="T443" t="s">
        <v>96</v>
      </c>
      <c r="U443">
        <v>355</v>
      </c>
      <c r="V443" t="s">
        <v>37</v>
      </c>
    </row>
    <row r="444" spans="1:22" x14ac:dyDescent="0.3">
      <c r="A444" t="s">
        <v>1670</v>
      </c>
      <c r="B444" t="s">
        <v>74</v>
      </c>
      <c r="C444">
        <v>57</v>
      </c>
      <c r="D444" t="s">
        <v>24</v>
      </c>
      <c r="E444" t="s">
        <v>25</v>
      </c>
      <c r="F444" t="s">
        <v>82</v>
      </c>
      <c r="G444" t="s">
        <v>1671</v>
      </c>
      <c r="H444" t="s">
        <v>67</v>
      </c>
      <c r="I444" t="s">
        <v>77</v>
      </c>
      <c r="J444" t="s">
        <v>44</v>
      </c>
      <c r="K444">
        <v>2</v>
      </c>
      <c r="L444">
        <v>29169</v>
      </c>
      <c r="M444">
        <v>5</v>
      </c>
      <c r="N444" t="s">
        <v>166</v>
      </c>
      <c r="O444" t="s">
        <v>173</v>
      </c>
      <c r="P444" t="s">
        <v>69</v>
      </c>
      <c r="Q444" t="s">
        <v>78</v>
      </c>
      <c r="R444" t="s">
        <v>1672</v>
      </c>
      <c r="S444">
        <v>2</v>
      </c>
      <c r="T444" t="s">
        <v>61</v>
      </c>
      <c r="U444">
        <v>255</v>
      </c>
      <c r="V444" t="s">
        <v>62</v>
      </c>
    </row>
    <row r="445" spans="1:22" x14ac:dyDescent="0.3">
      <c r="A445" t="s">
        <v>1673</v>
      </c>
      <c r="B445" t="s">
        <v>382</v>
      </c>
      <c r="C445">
        <v>21</v>
      </c>
      <c r="D445" t="s">
        <v>51</v>
      </c>
      <c r="E445" t="s">
        <v>99</v>
      </c>
      <c r="F445" t="s">
        <v>53</v>
      </c>
      <c r="G445" t="s">
        <v>1674</v>
      </c>
      <c r="H445" t="s">
        <v>393</v>
      </c>
      <c r="I445" t="s">
        <v>29</v>
      </c>
      <c r="J445" t="s">
        <v>30</v>
      </c>
      <c r="K445">
        <v>1</v>
      </c>
      <c r="L445">
        <v>26130</v>
      </c>
      <c r="M445">
        <v>15</v>
      </c>
      <c r="N445" t="s">
        <v>166</v>
      </c>
      <c r="O445" t="s">
        <v>173</v>
      </c>
      <c r="P445" t="s">
        <v>58</v>
      </c>
      <c r="Q445" t="s">
        <v>385</v>
      </c>
      <c r="R445" t="s">
        <v>1675</v>
      </c>
      <c r="S445">
        <v>3</v>
      </c>
      <c r="T445" t="s">
        <v>96</v>
      </c>
      <c r="U445">
        <v>162</v>
      </c>
      <c r="V445" t="s">
        <v>62</v>
      </c>
    </row>
    <row r="446" spans="1:22" x14ac:dyDescent="0.3">
      <c r="A446" t="s">
        <v>1676</v>
      </c>
      <c r="B446" t="s">
        <v>315</v>
      </c>
      <c r="C446">
        <v>55</v>
      </c>
      <c r="D446" t="s">
        <v>51</v>
      </c>
      <c r="E446" t="s">
        <v>131</v>
      </c>
      <c r="F446" t="s">
        <v>53</v>
      </c>
      <c r="G446" t="s">
        <v>1260</v>
      </c>
      <c r="H446" t="s">
        <v>1483</v>
      </c>
      <c r="I446" t="s">
        <v>93</v>
      </c>
      <c r="J446" t="s">
        <v>30</v>
      </c>
      <c r="K446">
        <v>3</v>
      </c>
      <c r="L446">
        <v>8712</v>
      </c>
      <c r="M446">
        <v>0</v>
      </c>
      <c r="N446" t="s">
        <v>56</v>
      </c>
      <c r="O446" t="s">
        <v>173</v>
      </c>
      <c r="P446" t="s">
        <v>33</v>
      </c>
      <c r="Q446" t="s">
        <v>318</v>
      </c>
      <c r="R446" t="s">
        <v>1677</v>
      </c>
      <c r="S446">
        <v>1</v>
      </c>
      <c r="T446" t="s">
        <v>96</v>
      </c>
      <c r="U446">
        <v>186</v>
      </c>
      <c r="V446" t="s">
        <v>79</v>
      </c>
    </row>
    <row r="447" spans="1:22" x14ac:dyDescent="0.3">
      <c r="A447" t="s">
        <v>1678</v>
      </c>
      <c r="B447" t="s">
        <v>547</v>
      </c>
      <c r="C447">
        <v>26</v>
      </c>
      <c r="D447" t="s">
        <v>24</v>
      </c>
      <c r="E447" t="s">
        <v>131</v>
      </c>
      <c r="F447" t="s">
        <v>65</v>
      </c>
      <c r="G447" t="s">
        <v>1123</v>
      </c>
      <c r="H447" t="s">
        <v>449</v>
      </c>
      <c r="I447" t="s">
        <v>77</v>
      </c>
      <c r="J447" t="s">
        <v>44</v>
      </c>
      <c r="K447">
        <v>4</v>
      </c>
      <c r="L447">
        <v>75718</v>
      </c>
      <c r="M447">
        <v>5</v>
      </c>
      <c r="N447" t="s">
        <v>56</v>
      </c>
      <c r="O447" t="s">
        <v>46</v>
      </c>
      <c r="P447" t="s">
        <v>174</v>
      </c>
      <c r="R447" t="s">
        <v>1679</v>
      </c>
      <c r="S447">
        <v>3</v>
      </c>
      <c r="T447" t="s">
        <v>36</v>
      </c>
      <c r="U447">
        <v>55</v>
      </c>
      <c r="V447" t="s">
        <v>62</v>
      </c>
    </row>
    <row r="448" spans="1:22" x14ac:dyDescent="0.3">
      <c r="A448" t="s">
        <v>1680</v>
      </c>
      <c r="B448" t="s">
        <v>1681</v>
      </c>
      <c r="C448">
        <v>52</v>
      </c>
      <c r="D448" t="s">
        <v>51</v>
      </c>
      <c r="E448" t="s">
        <v>52</v>
      </c>
      <c r="F448" t="s">
        <v>53</v>
      </c>
      <c r="G448" t="s">
        <v>1212</v>
      </c>
      <c r="H448" t="s">
        <v>882</v>
      </c>
      <c r="I448" t="s">
        <v>29</v>
      </c>
      <c r="J448" t="s">
        <v>30</v>
      </c>
      <c r="K448">
        <v>3</v>
      </c>
      <c r="L448">
        <v>6673</v>
      </c>
      <c r="M448">
        <v>5</v>
      </c>
      <c r="N448" t="s">
        <v>45</v>
      </c>
      <c r="O448" t="s">
        <v>86</v>
      </c>
      <c r="P448" t="s">
        <v>58</v>
      </c>
      <c r="R448" t="s">
        <v>1682</v>
      </c>
      <c r="S448">
        <v>1</v>
      </c>
      <c r="T448" t="s">
        <v>96</v>
      </c>
      <c r="U448">
        <v>97</v>
      </c>
      <c r="V448" t="s">
        <v>37</v>
      </c>
    </row>
    <row r="449" spans="1:22" x14ac:dyDescent="0.3">
      <c r="A449" t="s">
        <v>1683</v>
      </c>
      <c r="B449" t="s">
        <v>285</v>
      </c>
      <c r="C449">
        <v>33</v>
      </c>
      <c r="D449" t="s">
        <v>51</v>
      </c>
      <c r="E449" t="s">
        <v>40</v>
      </c>
      <c r="F449" t="s">
        <v>82</v>
      </c>
      <c r="G449" t="s">
        <v>100</v>
      </c>
      <c r="H449" t="s">
        <v>534</v>
      </c>
      <c r="I449" t="s">
        <v>77</v>
      </c>
      <c r="J449" t="s">
        <v>30</v>
      </c>
      <c r="K449">
        <v>1</v>
      </c>
      <c r="L449">
        <v>46163</v>
      </c>
      <c r="M449">
        <v>5</v>
      </c>
      <c r="N449" t="s">
        <v>45</v>
      </c>
      <c r="O449" t="s">
        <v>68</v>
      </c>
      <c r="P449" t="s">
        <v>174</v>
      </c>
      <c r="R449" t="s">
        <v>1684</v>
      </c>
      <c r="S449">
        <v>2</v>
      </c>
      <c r="T449" t="s">
        <v>36</v>
      </c>
      <c r="U449">
        <v>451</v>
      </c>
      <c r="V449" t="s">
        <v>37</v>
      </c>
    </row>
    <row r="450" spans="1:22" x14ac:dyDescent="0.3">
      <c r="A450" t="s">
        <v>1685</v>
      </c>
      <c r="B450" t="s">
        <v>1686</v>
      </c>
      <c r="C450">
        <v>52</v>
      </c>
      <c r="D450" t="s">
        <v>24</v>
      </c>
      <c r="E450" t="s">
        <v>131</v>
      </c>
      <c r="F450" t="s">
        <v>91</v>
      </c>
      <c r="G450" t="s">
        <v>1463</v>
      </c>
      <c r="H450" t="s">
        <v>1568</v>
      </c>
      <c r="I450" t="s">
        <v>29</v>
      </c>
      <c r="J450" t="s">
        <v>30</v>
      </c>
      <c r="K450">
        <v>1</v>
      </c>
      <c r="L450">
        <v>42371</v>
      </c>
      <c r="M450">
        <v>0</v>
      </c>
      <c r="N450" t="s">
        <v>56</v>
      </c>
      <c r="O450" t="s">
        <v>46</v>
      </c>
      <c r="P450" t="s">
        <v>33</v>
      </c>
      <c r="Q450" t="s">
        <v>1687</v>
      </c>
      <c r="R450" t="s">
        <v>1688</v>
      </c>
      <c r="S450">
        <v>4</v>
      </c>
      <c r="T450" t="s">
        <v>96</v>
      </c>
      <c r="U450">
        <v>164</v>
      </c>
      <c r="V450" t="s">
        <v>37</v>
      </c>
    </row>
    <row r="451" spans="1:22" x14ac:dyDescent="0.3">
      <c r="A451" t="s">
        <v>1689</v>
      </c>
      <c r="B451" t="s">
        <v>1690</v>
      </c>
      <c r="C451">
        <v>41</v>
      </c>
      <c r="D451" t="s">
        <v>24</v>
      </c>
      <c r="E451" t="s">
        <v>131</v>
      </c>
      <c r="F451" t="s">
        <v>53</v>
      </c>
      <c r="G451" t="s">
        <v>1691</v>
      </c>
      <c r="H451" t="s">
        <v>914</v>
      </c>
      <c r="I451" t="s">
        <v>29</v>
      </c>
      <c r="J451" t="s">
        <v>30</v>
      </c>
      <c r="K451">
        <v>4</v>
      </c>
      <c r="L451">
        <v>50804</v>
      </c>
      <c r="M451">
        <v>5</v>
      </c>
      <c r="N451" t="s">
        <v>45</v>
      </c>
      <c r="O451" t="s">
        <v>173</v>
      </c>
      <c r="P451" t="s">
        <v>33</v>
      </c>
      <c r="Q451" t="s">
        <v>87</v>
      </c>
      <c r="R451" t="s">
        <v>1692</v>
      </c>
      <c r="S451">
        <v>4</v>
      </c>
      <c r="T451" t="s">
        <v>36</v>
      </c>
      <c r="U451">
        <v>323</v>
      </c>
      <c r="V451" t="s">
        <v>79</v>
      </c>
    </row>
    <row r="452" spans="1:22" x14ac:dyDescent="0.3">
      <c r="A452" t="s">
        <v>1693</v>
      </c>
      <c r="B452" t="s">
        <v>261</v>
      </c>
      <c r="C452">
        <v>27</v>
      </c>
      <c r="D452" t="s">
        <v>24</v>
      </c>
      <c r="E452" t="s">
        <v>142</v>
      </c>
      <c r="F452" t="s">
        <v>53</v>
      </c>
      <c r="G452" t="s">
        <v>1694</v>
      </c>
      <c r="H452" t="s">
        <v>1695</v>
      </c>
      <c r="I452" t="s">
        <v>93</v>
      </c>
      <c r="J452" t="s">
        <v>44</v>
      </c>
      <c r="L452">
        <v>21829</v>
      </c>
      <c r="M452">
        <v>10</v>
      </c>
      <c r="N452" t="s">
        <v>56</v>
      </c>
      <c r="O452" t="s">
        <v>32</v>
      </c>
      <c r="P452" t="s">
        <v>33</v>
      </c>
      <c r="Q452" t="s">
        <v>264</v>
      </c>
      <c r="R452" t="s">
        <v>1696</v>
      </c>
      <c r="S452">
        <v>3</v>
      </c>
      <c r="T452" t="s">
        <v>72</v>
      </c>
      <c r="U452">
        <v>248</v>
      </c>
      <c r="V452" t="s">
        <v>62</v>
      </c>
    </row>
    <row r="453" spans="1:22" x14ac:dyDescent="0.3">
      <c r="A453" t="s">
        <v>1697</v>
      </c>
      <c r="B453" t="s">
        <v>344</v>
      </c>
      <c r="C453">
        <v>48</v>
      </c>
      <c r="D453" t="s">
        <v>24</v>
      </c>
      <c r="E453" t="s">
        <v>26</v>
      </c>
      <c r="F453" t="s">
        <v>53</v>
      </c>
      <c r="G453" t="s">
        <v>685</v>
      </c>
      <c r="H453" t="s">
        <v>686</v>
      </c>
      <c r="I453" t="s">
        <v>85</v>
      </c>
      <c r="J453" t="s">
        <v>44</v>
      </c>
      <c r="K453">
        <v>4</v>
      </c>
      <c r="L453">
        <v>20425</v>
      </c>
      <c r="M453">
        <v>10</v>
      </c>
      <c r="N453" t="s">
        <v>45</v>
      </c>
      <c r="O453" t="s">
        <v>173</v>
      </c>
      <c r="P453" t="s">
        <v>33</v>
      </c>
      <c r="Q453" t="s">
        <v>347</v>
      </c>
      <c r="R453" t="s">
        <v>1698</v>
      </c>
      <c r="S453">
        <v>1</v>
      </c>
      <c r="T453" t="s">
        <v>72</v>
      </c>
      <c r="U453">
        <v>160</v>
      </c>
      <c r="V453" t="s">
        <v>37</v>
      </c>
    </row>
    <row r="454" spans="1:22" x14ac:dyDescent="0.3">
      <c r="A454" t="s">
        <v>1699</v>
      </c>
      <c r="B454" t="s">
        <v>321</v>
      </c>
      <c r="C454">
        <v>47</v>
      </c>
      <c r="D454" t="s">
        <v>24</v>
      </c>
      <c r="E454" t="s">
        <v>52</v>
      </c>
      <c r="F454" t="s">
        <v>91</v>
      </c>
      <c r="G454" t="s">
        <v>523</v>
      </c>
      <c r="H454" t="s">
        <v>1600</v>
      </c>
      <c r="I454" t="s">
        <v>108</v>
      </c>
      <c r="J454" t="s">
        <v>44</v>
      </c>
      <c r="K454">
        <v>2</v>
      </c>
      <c r="L454">
        <v>14817</v>
      </c>
      <c r="M454">
        <v>5</v>
      </c>
      <c r="N454" t="s">
        <v>166</v>
      </c>
      <c r="O454" t="s">
        <v>32</v>
      </c>
      <c r="P454" t="s">
        <v>69</v>
      </c>
      <c r="Q454" t="s">
        <v>324</v>
      </c>
      <c r="R454" t="s">
        <v>1700</v>
      </c>
      <c r="S454">
        <v>5</v>
      </c>
      <c r="T454" t="s">
        <v>61</v>
      </c>
      <c r="U454">
        <v>255</v>
      </c>
      <c r="V454" t="s">
        <v>62</v>
      </c>
    </row>
    <row r="455" spans="1:22" x14ac:dyDescent="0.3">
      <c r="A455" t="s">
        <v>1701</v>
      </c>
      <c r="B455" t="s">
        <v>170</v>
      </c>
      <c r="C455">
        <v>37</v>
      </c>
      <c r="D455" t="s">
        <v>163</v>
      </c>
      <c r="E455" t="s">
        <v>142</v>
      </c>
      <c r="F455" t="s">
        <v>26</v>
      </c>
      <c r="G455" t="s">
        <v>1247</v>
      </c>
      <c r="H455" t="s">
        <v>557</v>
      </c>
      <c r="I455" t="s">
        <v>85</v>
      </c>
      <c r="J455" t="s">
        <v>30</v>
      </c>
      <c r="K455">
        <v>5</v>
      </c>
      <c r="L455">
        <v>65200</v>
      </c>
      <c r="M455">
        <v>5</v>
      </c>
      <c r="N455" t="s">
        <v>31</v>
      </c>
      <c r="O455" t="s">
        <v>173</v>
      </c>
      <c r="P455" t="s">
        <v>174</v>
      </c>
      <c r="Q455" t="s">
        <v>175</v>
      </c>
      <c r="R455" t="s">
        <v>1702</v>
      </c>
      <c r="S455">
        <v>3</v>
      </c>
      <c r="T455" t="s">
        <v>96</v>
      </c>
      <c r="U455">
        <v>54</v>
      </c>
      <c r="V455" t="s">
        <v>79</v>
      </c>
    </row>
    <row r="456" spans="1:22" x14ac:dyDescent="0.3">
      <c r="A456" t="s">
        <v>1703</v>
      </c>
      <c r="B456" t="s">
        <v>650</v>
      </c>
      <c r="C456">
        <v>43</v>
      </c>
      <c r="D456" t="s">
        <v>51</v>
      </c>
      <c r="E456" t="s">
        <v>229</v>
      </c>
      <c r="F456" t="s">
        <v>82</v>
      </c>
      <c r="G456" t="s">
        <v>925</v>
      </c>
      <c r="H456" t="s">
        <v>1406</v>
      </c>
      <c r="I456" t="s">
        <v>93</v>
      </c>
      <c r="J456" t="s">
        <v>30</v>
      </c>
      <c r="K456">
        <v>2</v>
      </c>
      <c r="L456">
        <v>54481</v>
      </c>
      <c r="M456">
        <v>15</v>
      </c>
      <c r="N456" t="s">
        <v>166</v>
      </c>
      <c r="O456" t="s">
        <v>173</v>
      </c>
      <c r="P456" t="s">
        <v>58</v>
      </c>
      <c r="Q456" t="s">
        <v>653</v>
      </c>
      <c r="R456" t="s">
        <v>1704</v>
      </c>
      <c r="S456">
        <v>4</v>
      </c>
      <c r="T456" t="s">
        <v>72</v>
      </c>
      <c r="U456">
        <v>206</v>
      </c>
      <c r="V456" t="s">
        <v>37</v>
      </c>
    </row>
    <row r="457" spans="1:22" x14ac:dyDescent="0.3">
      <c r="A457" t="s">
        <v>1705</v>
      </c>
      <c r="B457" t="s">
        <v>64</v>
      </c>
      <c r="C457">
        <v>34</v>
      </c>
      <c r="D457" t="s">
        <v>51</v>
      </c>
      <c r="E457" t="s">
        <v>40</v>
      </c>
      <c r="F457" t="s">
        <v>65</v>
      </c>
      <c r="G457" t="s">
        <v>1706</v>
      </c>
      <c r="H457" t="s">
        <v>775</v>
      </c>
      <c r="I457" t="s">
        <v>29</v>
      </c>
      <c r="J457" t="s">
        <v>44</v>
      </c>
      <c r="K457">
        <v>2</v>
      </c>
      <c r="L457">
        <v>33826</v>
      </c>
      <c r="M457">
        <v>5</v>
      </c>
      <c r="N457" t="s">
        <v>45</v>
      </c>
      <c r="O457" t="s">
        <v>68</v>
      </c>
      <c r="P457" t="s">
        <v>69</v>
      </c>
      <c r="Q457" t="s">
        <v>70</v>
      </c>
      <c r="R457" t="s">
        <v>1707</v>
      </c>
      <c r="S457">
        <v>5</v>
      </c>
      <c r="T457" t="s">
        <v>72</v>
      </c>
      <c r="U457">
        <v>344</v>
      </c>
      <c r="V457" t="s">
        <v>79</v>
      </c>
    </row>
    <row r="458" spans="1:22" x14ac:dyDescent="0.3">
      <c r="A458" t="s">
        <v>1708</v>
      </c>
      <c r="B458" t="s">
        <v>113</v>
      </c>
      <c r="C458">
        <v>22</v>
      </c>
      <c r="D458" t="s">
        <v>24</v>
      </c>
      <c r="E458" t="s">
        <v>40</v>
      </c>
      <c r="F458" t="s">
        <v>53</v>
      </c>
      <c r="G458" t="s">
        <v>657</v>
      </c>
      <c r="H458" t="s">
        <v>1205</v>
      </c>
      <c r="I458" t="s">
        <v>29</v>
      </c>
      <c r="J458" t="s">
        <v>44</v>
      </c>
      <c r="K458">
        <v>3</v>
      </c>
      <c r="L458">
        <v>57854</v>
      </c>
      <c r="M458">
        <v>10</v>
      </c>
      <c r="N458" t="s">
        <v>45</v>
      </c>
      <c r="O458" t="s">
        <v>133</v>
      </c>
      <c r="P458" t="s">
        <v>174</v>
      </c>
      <c r="Q458" t="s">
        <v>116</v>
      </c>
      <c r="R458" t="s">
        <v>1709</v>
      </c>
      <c r="S458">
        <v>2</v>
      </c>
      <c r="T458" t="s">
        <v>36</v>
      </c>
      <c r="U458">
        <v>399</v>
      </c>
      <c r="V458" t="s">
        <v>79</v>
      </c>
    </row>
    <row r="459" spans="1:22" x14ac:dyDescent="0.3">
      <c r="A459" t="s">
        <v>1710</v>
      </c>
      <c r="B459" t="s">
        <v>361</v>
      </c>
      <c r="C459">
        <v>31</v>
      </c>
      <c r="D459" t="s">
        <v>24</v>
      </c>
      <c r="E459" t="s">
        <v>25</v>
      </c>
      <c r="F459" t="s">
        <v>53</v>
      </c>
      <c r="G459" t="s">
        <v>1711</v>
      </c>
      <c r="H459" t="s">
        <v>1019</v>
      </c>
      <c r="I459" t="s">
        <v>43</v>
      </c>
      <c r="J459" t="s">
        <v>44</v>
      </c>
      <c r="K459">
        <v>1</v>
      </c>
      <c r="M459">
        <v>10</v>
      </c>
      <c r="N459" t="s">
        <v>166</v>
      </c>
      <c r="O459" t="s">
        <v>133</v>
      </c>
      <c r="P459" t="s">
        <v>174</v>
      </c>
      <c r="R459" t="s">
        <v>1712</v>
      </c>
      <c r="S459">
        <v>2</v>
      </c>
      <c r="T459" t="s">
        <v>96</v>
      </c>
      <c r="U459">
        <v>458</v>
      </c>
      <c r="V459" t="s">
        <v>37</v>
      </c>
    </row>
    <row r="460" spans="1:22" x14ac:dyDescent="0.3">
      <c r="A460" t="s">
        <v>1713</v>
      </c>
      <c r="B460" t="s">
        <v>946</v>
      </c>
      <c r="C460">
        <v>54</v>
      </c>
      <c r="D460" t="s">
        <v>24</v>
      </c>
      <c r="E460" t="s">
        <v>52</v>
      </c>
      <c r="F460" t="s">
        <v>65</v>
      </c>
      <c r="G460" t="s">
        <v>1440</v>
      </c>
      <c r="H460" t="s">
        <v>1714</v>
      </c>
      <c r="I460" t="s">
        <v>93</v>
      </c>
      <c r="J460" t="s">
        <v>30</v>
      </c>
      <c r="L460">
        <v>42063</v>
      </c>
      <c r="M460">
        <v>15</v>
      </c>
      <c r="N460" t="s">
        <v>31</v>
      </c>
      <c r="O460" t="s">
        <v>281</v>
      </c>
      <c r="P460" t="s">
        <v>174</v>
      </c>
      <c r="Q460" t="s">
        <v>983</v>
      </c>
      <c r="R460" t="s">
        <v>1715</v>
      </c>
      <c r="S460">
        <v>2</v>
      </c>
      <c r="T460" t="s">
        <v>96</v>
      </c>
      <c r="U460">
        <v>129</v>
      </c>
      <c r="V460" t="s">
        <v>37</v>
      </c>
    </row>
    <row r="461" spans="1:22" x14ac:dyDescent="0.3">
      <c r="A461" t="s">
        <v>1716</v>
      </c>
      <c r="B461" t="s">
        <v>840</v>
      </c>
      <c r="C461">
        <v>18</v>
      </c>
      <c r="D461" t="s">
        <v>24</v>
      </c>
      <c r="E461" t="s">
        <v>25</v>
      </c>
      <c r="F461" t="s">
        <v>65</v>
      </c>
      <c r="G461" t="s">
        <v>165</v>
      </c>
      <c r="H461" t="s">
        <v>1613</v>
      </c>
      <c r="I461" t="s">
        <v>77</v>
      </c>
      <c r="J461" t="s">
        <v>44</v>
      </c>
      <c r="K461">
        <v>4</v>
      </c>
      <c r="L461">
        <v>13379</v>
      </c>
      <c r="M461">
        <v>0</v>
      </c>
      <c r="N461" t="s">
        <v>45</v>
      </c>
      <c r="O461" t="s">
        <v>32</v>
      </c>
      <c r="P461" t="s">
        <v>174</v>
      </c>
      <c r="Q461" t="s">
        <v>1147</v>
      </c>
      <c r="R461" t="s">
        <v>1717</v>
      </c>
      <c r="S461">
        <v>2</v>
      </c>
      <c r="T461" t="s">
        <v>36</v>
      </c>
      <c r="U461">
        <v>81</v>
      </c>
      <c r="V461" t="s">
        <v>62</v>
      </c>
    </row>
    <row r="462" spans="1:22" x14ac:dyDescent="0.3">
      <c r="A462" t="s">
        <v>1718</v>
      </c>
      <c r="B462" t="s">
        <v>222</v>
      </c>
      <c r="C462">
        <v>18</v>
      </c>
      <c r="D462" t="s">
        <v>24</v>
      </c>
      <c r="E462" t="s">
        <v>131</v>
      </c>
      <c r="F462" t="s">
        <v>91</v>
      </c>
      <c r="G462" t="s">
        <v>651</v>
      </c>
      <c r="H462" t="s">
        <v>1719</v>
      </c>
      <c r="I462" t="s">
        <v>93</v>
      </c>
      <c r="J462" t="s">
        <v>44</v>
      </c>
      <c r="K462">
        <v>5</v>
      </c>
      <c r="L462">
        <v>39681</v>
      </c>
      <c r="M462">
        <v>15</v>
      </c>
      <c r="N462" t="s">
        <v>56</v>
      </c>
      <c r="O462" t="s">
        <v>32</v>
      </c>
      <c r="P462" t="s">
        <v>174</v>
      </c>
      <c r="Q462" t="s">
        <v>225</v>
      </c>
      <c r="R462" t="s">
        <v>1720</v>
      </c>
      <c r="S462">
        <v>2</v>
      </c>
      <c r="T462" t="s">
        <v>36</v>
      </c>
      <c r="U462">
        <v>332</v>
      </c>
      <c r="V462" t="s">
        <v>37</v>
      </c>
    </row>
    <row r="463" spans="1:22" x14ac:dyDescent="0.3">
      <c r="A463" t="s">
        <v>1721</v>
      </c>
      <c r="B463" t="s">
        <v>617</v>
      </c>
      <c r="C463">
        <v>56</v>
      </c>
      <c r="D463" t="s">
        <v>24</v>
      </c>
      <c r="E463" t="s">
        <v>25</v>
      </c>
      <c r="F463" t="s">
        <v>53</v>
      </c>
      <c r="G463" t="s">
        <v>1722</v>
      </c>
      <c r="H463" t="s">
        <v>1723</v>
      </c>
      <c r="I463" t="s">
        <v>85</v>
      </c>
      <c r="J463" t="s">
        <v>30</v>
      </c>
      <c r="K463">
        <v>1</v>
      </c>
      <c r="L463">
        <v>47773</v>
      </c>
      <c r="M463">
        <v>5</v>
      </c>
      <c r="N463" t="s">
        <v>166</v>
      </c>
      <c r="O463" t="s">
        <v>46</v>
      </c>
      <c r="P463" t="s">
        <v>69</v>
      </c>
      <c r="Q463" t="s">
        <v>620</v>
      </c>
      <c r="R463" t="s">
        <v>1724</v>
      </c>
      <c r="S463">
        <v>5</v>
      </c>
      <c r="T463" t="s">
        <v>96</v>
      </c>
      <c r="U463">
        <v>112</v>
      </c>
      <c r="V463" t="s">
        <v>62</v>
      </c>
    </row>
    <row r="464" spans="1:22" x14ac:dyDescent="0.3">
      <c r="A464" t="s">
        <v>1725</v>
      </c>
      <c r="B464" t="s">
        <v>503</v>
      </c>
      <c r="C464">
        <v>36</v>
      </c>
      <c r="D464" t="s">
        <v>51</v>
      </c>
      <c r="E464" t="s">
        <v>99</v>
      </c>
      <c r="F464" t="s">
        <v>26</v>
      </c>
      <c r="G464" t="s">
        <v>388</v>
      </c>
      <c r="H464" t="s">
        <v>1194</v>
      </c>
      <c r="I464" t="s">
        <v>43</v>
      </c>
      <c r="J464" t="s">
        <v>44</v>
      </c>
      <c r="K464">
        <v>1</v>
      </c>
      <c r="L464">
        <v>5569</v>
      </c>
      <c r="M464">
        <v>5</v>
      </c>
      <c r="N464" t="s">
        <v>45</v>
      </c>
      <c r="O464" t="s">
        <v>102</v>
      </c>
      <c r="P464" t="s">
        <v>58</v>
      </c>
      <c r="Q464" t="s">
        <v>506</v>
      </c>
      <c r="S464">
        <v>3</v>
      </c>
      <c r="T464" t="s">
        <v>36</v>
      </c>
      <c r="U464">
        <v>303</v>
      </c>
      <c r="V464" t="s">
        <v>62</v>
      </c>
    </row>
    <row r="465" spans="1:22" x14ac:dyDescent="0.3">
      <c r="A465" t="s">
        <v>1726</v>
      </c>
      <c r="B465" t="s">
        <v>503</v>
      </c>
      <c r="C465">
        <v>34</v>
      </c>
      <c r="D465" t="s">
        <v>24</v>
      </c>
      <c r="E465" t="s">
        <v>52</v>
      </c>
      <c r="F465" t="s">
        <v>53</v>
      </c>
      <c r="G465" t="s">
        <v>490</v>
      </c>
      <c r="H465" t="s">
        <v>925</v>
      </c>
      <c r="I465" t="s">
        <v>43</v>
      </c>
      <c r="J465" t="s">
        <v>30</v>
      </c>
      <c r="K465">
        <v>1</v>
      </c>
      <c r="L465">
        <v>13127</v>
      </c>
      <c r="M465">
        <v>10</v>
      </c>
      <c r="N465" t="s">
        <v>31</v>
      </c>
      <c r="O465" t="s">
        <v>133</v>
      </c>
      <c r="P465" t="s">
        <v>69</v>
      </c>
      <c r="Q465" t="s">
        <v>506</v>
      </c>
      <c r="R465" t="s">
        <v>1727</v>
      </c>
      <c r="S465">
        <v>4</v>
      </c>
      <c r="T465" t="s">
        <v>72</v>
      </c>
      <c r="U465">
        <v>493</v>
      </c>
      <c r="V465" t="s">
        <v>62</v>
      </c>
    </row>
    <row r="466" spans="1:22" x14ac:dyDescent="0.3">
      <c r="A466" t="s">
        <v>1728</v>
      </c>
      <c r="B466" t="s">
        <v>457</v>
      </c>
      <c r="C466">
        <v>59</v>
      </c>
      <c r="D466" t="s">
        <v>51</v>
      </c>
      <c r="E466" t="s">
        <v>99</v>
      </c>
      <c r="F466" t="s">
        <v>65</v>
      </c>
      <c r="G466" t="s">
        <v>305</v>
      </c>
      <c r="H466" t="s">
        <v>1211</v>
      </c>
      <c r="I466" t="s">
        <v>77</v>
      </c>
      <c r="J466" t="s">
        <v>30</v>
      </c>
      <c r="K466">
        <v>1</v>
      </c>
      <c r="L466">
        <v>42044</v>
      </c>
      <c r="M466">
        <v>0</v>
      </c>
      <c r="N466" t="s">
        <v>45</v>
      </c>
      <c r="O466" t="s">
        <v>86</v>
      </c>
      <c r="P466" t="s">
        <v>174</v>
      </c>
      <c r="Q466" t="s">
        <v>595</v>
      </c>
      <c r="R466" t="s">
        <v>1729</v>
      </c>
      <c r="S466">
        <v>1</v>
      </c>
      <c r="T466" t="s">
        <v>61</v>
      </c>
      <c r="U466">
        <v>397</v>
      </c>
      <c r="V466" t="s">
        <v>37</v>
      </c>
    </row>
    <row r="467" spans="1:22" x14ac:dyDescent="0.3">
      <c r="A467" t="s">
        <v>1730</v>
      </c>
      <c r="B467" t="s">
        <v>440</v>
      </c>
      <c r="C467">
        <v>43</v>
      </c>
      <c r="D467" t="s">
        <v>24</v>
      </c>
      <c r="E467" t="s">
        <v>52</v>
      </c>
      <c r="F467" t="s">
        <v>82</v>
      </c>
      <c r="G467" t="s">
        <v>1731</v>
      </c>
      <c r="H467" t="s">
        <v>921</v>
      </c>
      <c r="I467" t="s">
        <v>108</v>
      </c>
      <c r="J467" t="s">
        <v>44</v>
      </c>
      <c r="K467">
        <v>3</v>
      </c>
      <c r="L467">
        <v>79740</v>
      </c>
      <c r="M467">
        <v>5</v>
      </c>
      <c r="N467" t="s">
        <v>45</v>
      </c>
      <c r="O467" t="s">
        <v>68</v>
      </c>
      <c r="P467" t="s">
        <v>69</v>
      </c>
      <c r="Q467" t="s">
        <v>437</v>
      </c>
      <c r="R467" t="s">
        <v>1732</v>
      </c>
      <c r="S467">
        <v>4</v>
      </c>
      <c r="T467" t="s">
        <v>96</v>
      </c>
      <c r="U467">
        <v>162</v>
      </c>
      <c r="V467" t="s">
        <v>37</v>
      </c>
    </row>
    <row r="468" spans="1:22" x14ac:dyDescent="0.3">
      <c r="A468" t="s">
        <v>1733</v>
      </c>
      <c r="B468" t="s">
        <v>1609</v>
      </c>
      <c r="C468">
        <v>57</v>
      </c>
      <c r="D468" t="s">
        <v>51</v>
      </c>
      <c r="E468" t="s">
        <v>25</v>
      </c>
      <c r="F468" t="s">
        <v>82</v>
      </c>
      <c r="G468" t="s">
        <v>1734</v>
      </c>
      <c r="H468" t="s">
        <v>1735</v>
      </c>
      <c r="I468" t="s">
        <v>85</v>
      </c>
      <c r="J468" t="s">
        <v>44</v>
      </c>
      <c r="K468">
        <v>5</v>
      </c>
      <c r="M468">
        <v>10</v>
      </c>
      <c r="N468" t="s">
        <v>45</v>
      </c>
      <c r="O468" t="s">
        <v>86</v>
      </c>
      <c r="P468" t="s">
        <v>174</v>
      </c>
      <c r="Q468" t="s">
        <v>330</v>
      </c>
      <c r="R468" t="s">
        <v>1736</v>
      </c>
      <c r="S468">
        <v>3</v>
      </c>
      <c r="T468" t="s">
        <v>36</v>
      </c>
      <c r="U468">
        <v>451</v>
      </c>
      <c r="V468" t="s">
        <v>62</v>
      </c>
    </row>
    <row r="469" spans="1:22" x14ac:dyDescent="0.3">
      <c r="A469" t="s">
        <v>1737</v>
      </c>
      <c r="B469" t="s">
        <v>361</v>
      </c>
      <c r="C469">
        <v>53</v>
      </c>
      <c r="D469" t="s">
        <v>24</v>
      </c>
      <c r="E469" t="s">
        <v>52</v>
      </c>
      <c r="F469" t="s">
        <v>82</v>
      </c>
      <c r="G469" t="s">
        <v>1557</v>
      </c>
      <c r="H469" t="s">
        <v>115</v>
      </c>
      <c r="I469" t="s">
        <v>85</v>
      </c>
      <c r="J469" t="s">
        <v>30</v>
      </c>
      <c r="K469">
        <v>1</v>
      </c>
      <c r="L469">
        <v>12607</v>
      </c>
      <c r="M469">
        <v>5</v>
      </c>
      <c r="N469" t="s">
        <v>56</v>
      </c>
      <c r="O469" t="s">
        <v>68</v>
      </c>
      <c r="P469" t="s">
        <v>174</v>
      </c>
      <c r="R469" t="s">
        <v>1738</v>
      </c>
      <c r="S469">
        <v>5</v>
      </c>
      <c r="T469" t="s">
        <v>36</v>
      </c>
      <c r="U469">
        <v>300</v>
      </c>
      <c r="V469" t="s">
        <v>62</v>
      </c>
    </row>
    <row r="470" spans="1:22" x14ac:dyDescent="0.3">
      <c r="A470" t="s">
        <v>1739</v>
      </c>
      <c r="B470" t="s">
        <v>461</v>
      </c>
      <c r="C470">
        <v>22</v>
      </c>
      <c r="D470" t="s">
        <v>24</v>
      </c>
      <c r="E470" t="s">
        <v>52</v>
      </c>
      <c r="F470" t="s">
        <v>82</v>
      </c>
      <c r="G470" t="s">
        <v>1740</v>
      </c>
      <c r="H470" t="s">
        <v>1741</v>
      </c>
      <c r="I470" t="s">
        <v>85</v>
      </c>
      <c r="J470" t="s">
        <v>44</v>
      </c>
      <c r="K470">
        <v>3</v>
      </c>
      <c r="L470">
        <v>29894</v>
      </c>
      <c r="M470">
        <v>5</v>
      </c>
      <c r="N470" t="s">
        <v>56</v>
      </c>
      <c r="O470" t="s">
        <v>173</v>
      </c>
      <c r="P470" t="s">
        <v>174</v>
      </c>
      <c r="Q470" t="s">
        <v>563</v>
      </c>
      <c r="R470" t="s">
        <v>1742</v>
      </c>
      <c r="S470">
        <v>3</v>
      </c>
      <c r="T470" t="s">
        <v>36</v>
      </c>
      <c r="U470">
        <v>350</v>
      </c>
      <c r="V470" t="s">
        <v>62</v>
      </c>
    </row>
    <row r="471" spans="1:22" x14ac:dyDescent="0.3">
      <c r="A471" t="s">
        <v>1743</v>
      </c>
      <c r="B471" t="s">
        <v>850</v>
      </c>
      <c r="C471">
        <v>26</v>
      </c>
      <c r="D471" t="s">
        <v>51</v>
      </c>
      <c r="E471" t="s">
        <v>99</v>
      </c>
      <c r="F471" t="s">
        <v>26</v>
      </c>
      <c r="G471" t="s">
        <v>1744</v>
      </c>
      <c r="H471" t="s">
        <v>1745</v>
      </c>
      <c r="I471" t="s">
        <v>85</v>
      </c>
      <c r="J471" t="s">
        <v>30</v>
      </c>
      <c r="K471">
        <v>2</v>
      </c>
      <c r="L471">
        <v>55628</v>
      </c>
      <c r="M471">
        <v>10</v>
      </c>
      <c r="N471" t="s">
        <v>166</v>
      </c>
      <c r="O471" t="s">
        <v>109</v>
      </c>
      <c r="P471" t="s">
        <v>69</v>
      </c>
      <c r="R471" t="s">
        <v>1746</v>
      </c>
      <c r="S471">
        <v>1</v>
      </c>
      <c r="T471" t="s">
        <v>61</v>
      </c>
      <c r="U471">
        <v>87</v>
      </c>
      <c r="V471" t="s">
        <v>37</v>
      </c>
    </row>
    <row r="472" spans="1:22" x14ac:dyDescent="0.3">
      <c r="A472" t="s">
        <v>1747</v>
      </c>
      <c r="B472" t="s">
        <v>611</v>
      </c>
      <c r="C472">
        <v>25</v>
      </c>
      <c r="D472" t="s">
        <v>51</v>
      </c>
      <c r="E472" t="s">
        <v>52</v>
      </c>
      <c r="F472" t="s">
        <v>26</v>
      </c>
      <c r="G472" t="s">
        <v>966</v>
      </c>
      <c r="H472" t="s">
        <v>566</v>
      </c>
      <c r="I472" t="s">
        <v>108</v>
      </c>
      <c r="J472" t="s">
        <v>30</v>
      </c>
      <c r="K472">
        <v>5</v>
      </c>
      <c r="L472">
        <v>38562</v>
      </c>
      <c r="M472">
        <v>5</v>
      </c>
      <c r="N472" t="s">
        <v>56</v>
      </c>
      <c r="O472" t="s">
        <v>173</v>
      </c>
      <c r="P472" t="s">
        <v>33</v>
      </c>
      <c r="Q472" t="s">
        <v>614</v>
      </c>
      <c r="R472" t="s">
        <v>1748</v>
      </c>
      <c r="S472">
        <v>1</v>
      </c>
      <c r="T472" t="s">
        <v>96</v>
      </c>
      <c r="U472">
        <v>76</v>
      </c>
      <c r="V472" t="s">
        <v>79</v>
      </c>
    </row>
    <row r="473" spans="1:22" x14ac:dyDescent="0.3">
      <c r="A473" t="s">
        <v>1749</v>
      </c>
      <c r="B473" t="s">
        <v>1008</v>
      </c>
      <c r="C473">
        <v>55</v>
      </c>
      <c r="D473" t="s">
        <v>24</v>
      </c>
      <c r="E473" t="s">
        <v>26</v>
      </c>
      <c r="F473" t="s">
        <v>82</v>
      </c>
      <c r="G473" t="s">
        <v>1331</v>
      </c>
      <c r="H473" t="s">
        <v>1750</v>
      </c>
      <c r="I473" t="s">
        <v>77</v>
      </c>
      <c r="J473" t="s">
        <v>30</v>
      </c>
      <c r="K473">
        <v>1</v>
      </c>
      <c r="L473">
        <v>26356</v>
      </c>
      <c r="M473">
        <v>10</v>
      </c>
      <c r="N473" t="s">
        <v>31</v>
      </c>
      <c r="O473" t="s">
        <v>86</v>
      </c>
      <c r="P473" t="s">
        <v>69</v>
      </c>
      <c r="Q473" t="s">
        <v>1011</v>
      </c>
      <c r="R473" t="s">
        <v>1751</v>
      </c>
      <c r="S473">
        <v>4</v>
      </c>
      <c r="T473" t="s">
        <v>36</v>
      </c>
      <c r="U473">
        <v>493</v>
      </c>
      <c r="V473" t="s">
        <v>62</v>
      </c>
    </row>
    <row r="474" spans="1:22" x14ac:dyDescent="0.3">
      <c r="A474" t="s">
        <v>1752</v>
      </c>
      <c r="B474" t="s">
        <v>617</v>
      </c>
      <c r="C474">
        <v>41</v>
      </c>
      <c r="D474" t="s">
        <v>24</v>
      </c>
      <c r="E474" t="s">
        <v>26</v>
      </c>
      <c r="F474" t="s">
        <v>82</v>
      </c>
      <c r="G474" t="s">
        <v>1666</v>
      </c>
      <c r="H474" t="s">
        <v>463</v>
      </c>
      <c r="I474" t="s">
        <v>77</v>
      </c>
      <c r="J474" t="s">
        <v>30</v>
      </c>
      <c r="K474">
        <v>1</v>
      </c>
      <c r="L474">
        <v>24389</v>
      </c>
      <c r="M474">
        <v>10</v>
      </c>
      <c r="N474" t="s">
        <v>56</v>
      </c>
      <c r="O474" t="s">
        <v>173</v>
      </c>
      <c r="P474" t="s">
        <v>174</v>
      </c>
      <c r="Q474" t="s">
        <v>620</v>
      </c>
      <c r="R474" t="s">
        <v>1753</v>
      </c>
      <c r="S474">
        <v>5</v>
      </c>
      <c r="T474" t="s">
        <v>36</v>
      </c>
      <c r="U474">
        <v>282</v>
      </c>
      <c r="V474" t="s">
        <v>79</v>
      </c>
    </row>
    <row r="475" spans="1:22" x14ac:dyDescent="0.3">
      <c r="A475" t="s">
        <v>1754</v>
      </c>
      <c r="B475" t="s">
        <v>193</v>
      </c>
      <c r="C475">
        <v>52</v>
      </c>
      <c r="D475" t="s">
        <v>163</v>
      </c>
      <c r="E475" t="s">
        <v>142</v>
      </c>
      <c r="F475" t="s">
        <v>65</v>
      </c>
      <c r="G475" t="s">
        <v>1755</v>
      </c>
      <c r="H475" t="s">
        <v>1756</v>
      </c>
      <c r="I475" t="s">
        <v>108</v>
      </c>
      <c r="J475" t="s">
        <v>44</v>
      </c>
      <c r="K475">
        <v>1</v>
      </c>
      <c r="L475">
        <v>42416</v>
      </c>
      <c r="M475">
        <v>10</v>
      </c>
      <c r="N475" t="s">
        <v>166</v>
      </c>
      <c r="O475" t="s">
        <v>86</v>
      </c>
      <c r="P475" t="s">
        <v>58</v>
      </c>
      <c r="Q475" t="s">
        <v>195</v>
      </c>
      <c r="R475" t="s">
        <v>1757</v>
      </c>
      <c r="S475">
        <v>3</v>
      </c>
      <c r="T475" t="s">
        <v>61</v>
      </c>
      <c r="U475">
        <v>58</v>
      </c>
      <c r="V475" t="s">
        <v>62</v>
      </c>
    </row>
    <row r="476" spans="1:22" x14ac:dyDescent="0.3">
      <c r="A476" t="s">
        <v>1758</v>
      </c>
      <c r="B476" t="s">
        <v>1309</v>
      </c>
      <c r="C476">
        <v>54</v>
      </c>
      <c r="D476" t="s">
        <v>51</v>
      </c>
      <c r="E476" t="s">
        <v>142</v>
      </c>
      <c r="F476" t="s">
        <v>65</v>
      </c>
      <c r="G476" t="s">
        <v>1759</v>
      </c>
      <c r="H476" t="s">
        <v>1760</v>
      </c>
      <c r="I476" t="s">
        <v>77</v>
      </c>
      <c r="J476" t="s">
        <v>30</v>
      </c>
      <c r="K476">
        <v>4</v>
      </c>
      <c r="L476">
        <v>60750</v>
      </c>
      <c r="M476">
        <v>10</v>
      </c>
      <c r="N476" t="s">
        <v>45</v>
      </c>
      <c r="O476" t="s">
        <v>173</v>
      </c>
      <c r="P476" t="s">
        <v>33</v>
      </c>
      <c r="Q476" t="s">
        <v>1311</v>
      </c>
      <c r="R476" t="s">
        <v>1761</v>
      </c>
      <c r="S476">
        <v>3</v>
      </c>
      <c r="T476" t="s">
        <v>96</v>
      </c>
      <c r="U476">
        <v>481</v>
      </c>
      <c r="V476" t="s">
        <v>37</v>
      </c>
    </row>
    <row r="477" spans="1:22" x14ac:dyDescent="0.3">
      <c r="A477" t="s">
        <v>1762</v>
      </c>
      <c r="B477" t="s">
        <v>105</v>
      </c>
      <c r="C477">
        <v>26</v>
      </c>
      <c r="D477" t="s">
        <v>51</v>
      </c>
      <c r="E477" t="s">
        <v>131</v>
      </c>
      <c r="F477" t="s">
        <v>26</v>
      </c>
      <c r="G477" t="s">
        <v>1763</v>
      </c>
      <c r="H477" t="s">
        <v>686</v>
      </c>
      <c r="I477" t="s">
        <v>108</v>
      </c>
      <c r="J477" t="s">
        <v>30</v>
      </c>
      <c r="K477">
        <v>3</v>
      </c>
      <c r="L477">
        <v>47792</v>
      </c>
      <c r="M477">
        <v>5</v>
      </c>
      <c r="N477" t="s">
        <v>31</v>
      </c>
      <c r="O477" t="s">
        <v>173</v>
      </c>
      <c r="P477" t="s">
        <v>33</v>
      </c>
      <c r="Q477" t="s">
        <v>110</v>
      </c>
      <c r="R477" t="s">
        <v>1764</v>
      </c>
      <c r="S477">
        <v>5</v>
      </c>
      <c r="T477" t="s">
        <v>96</v>
      </c>
      <c r="U477">
        <v>136</v>
      </c>
      <c r="V477" t="s">
        <v>79</v>
      </c>
    </row>
    <row r="478" spans="1:22" x14ac:dyDescent="0.3">
      <c r="A478" t="s">
        <v>1765</v>
      </c>
      <c r="B478" t="s">
        <v>527</v>
      </c>
      <c r="C478">
        <v>19</v>
      </c>
      <c r="D478" t="s">
        <v>24</v>
      </c>
      <c r="E478" t="s">
        <v>52</v>
      </c>
      <c r="F478" t="s">
        <v>91</v>
      </c>
      <c r="G478" t="s">
        <v>1094</v>
      </c>
      <c r="H478" t="s">
        <v>436</v>
      </c>
      <c r="I478" t="s">
        <v>29</v>
      </c>
      <c r="J478" t="s">
        <v>30</v>
      </c>
      <c r="K478">
        <v>3</v>
      </c>
      <c r="L478">
        <v>5214</v>
      </c>
      <c r="M478">
        <v>10</v>
      </c>
      <c r="N478" t="s">
        <v>56</v>
      </c>
      <c r="O478" t="s">
        <v>57</v>
      </c>
      <c r="P478" t="s">
        <v>69</v>
      </c>
      <c r="Q478" t="s">
        <v>530</v>
      </c>
      <c r="R478" t="s">
        <v>1766</v>
      </c>
      <c r="S478">
        <v>3</v>
      </c>
      <c r="T478" t="s">
        <v>72</v>
      </c>
      <c r="U478">
        <v>492</v>
      </c>
      <c r="V478" t="s">
        <v>37</v>
      </c>
    </row>
    <row r="479" spans="1:22" x14ac:dyDescent="0.3">
      <c r="A479" t="s">
        <v>1767</v>
      </c>
      <c r="B479" t="s">
        <v>589</v>
      </c>
      <c r="C479">
        <v>47</v>
      </c>
      <c r="D479" t="s">
        <v>51</v>
      </c>
      <c r="E479" t="s">
        <v>25</v>
      </c>
      <c r="F479" t="s">
        <v>91</v>
      </c>
      <c r="G479" t="s">
        <v>1571</v>
      </c>
      <c r="H479" t="s">
        <v>1768</v>
      </c>
      <c r="I479" t="s">
        <v>85</v>
      </c>
      <c r="J479" t="s">
        <v>30</v>
      </c>
      <c r="K479">
        <v>4</v>
      </c>
      <c r="L479">
        <v>65267</v>
      </c>
      <c r="M479">
        <v>5</v>
      </c>
      <c r="N479" t="s">
        <v>56</v>
      </c>
      <c r="O479" t="s">
        <v>68</v>
      </c>
      <c r="P479" t="s">
        <v>58</v>
      </c>
      <c r="Q479" t="s">
        <v>591</v>
      </c>
      <c r="R479" t="s">
        <v>1769</v>
      </c>
      <c r="S479">
        <v>5</v>
      </c>
      <c r="T479" t="s">
        <v>61</v>
      </c>
      <c r="U479">
        <v>226</v>
      </c>
      <c r="V479" t="s">
        <v>79</v>
      </c>
    </row>
    <row r="480" spans="1:22" x14ac:dyDescent="0.3">
      <c r="A480" t="s">
        <v>1770</v>
      </c>
      <c r="B480" t="s">
        <v>684</v>
      </c>
      <c r="C480">
        <v>28</v>
      </c>
      <c r="D480" t="s">
        <v>183</v>
      </c>
      <c r="E480" t="s">
        <v>25</v>
      </c>
      <c r="F480" t="s">
        <v>53</v>
      </c>
      <c r="G480" t="s">
        <v>837</v>
      </c>
      <c r="H480" t="s">
        <v>358</v>
      </c>
      <c r="I480" t="s">
        <v>93</v>
      </c>
      <c r="J480" t="s">
        <v>44</v>
      </c>
      <c r="K480">
        <v>1</v>
      </c>
      <c r="L480">
        <v>62623</v>
      </c>
      <c r="M480">
        <v>15</v>
      </c>
      <c r="N480" t="s">
        <v>31</v>
      </c>
      <c r="O480" t="s">
        <v>68</v>
      </c>
      <c r="P480" t="s">
        <v>33</v>
      </c>
      <c r="Q480" t="s">
        <v>785</v>
      </c>
      <c r="R480" t="s">
        <v>1771</v>
      </c>
      <c r="S480">
        <v>4</v>
      </c>
      <c r="T480" t="s">
        <v>96</v>
      </c>
      <c r="U480">
        <v>414</v>
      </c>
      <c r="V480" t="s">
        <v>37</v>
      </c>
    </row>
    <row r="481" spans="1:22" x14ac:dyDescent="0.3">
      <c r="A481" t="s">
        <v>1772</v>
      </c>
      <c r="B481" t="s">
        <v>261</v>
      </c>
      <c r="C481">
        <v>40</v>
      </c>
      <c r="D481" t="s">
        <v>24</v>
      </c>
      <c r="E481" t="s">
        <v>99</v>
      </c>
      <c r="F481" t="s">
        <v>82</v>
      </c>
      <c r="G481" t="s">
        <v>1773</v>
      </c>
      <c r="H481" t="s">
        <v>66</v>
      </c>
      <c r="I481" t="s">
        <v>29</v>
      </c>
      <c r="J481" t="s">
        <v>30</v>
      </c>
      <c r="K481">
        <v>5</v>
      </c>
      <c r="L481">
        <v>36332</v>
      </c>
      <c r="M481">
        <v>5</v>
      </c>
      <c r="N481" t="s">
        <v>45</v>
      </c>
      <c r="O481" t="s">
        <v>46</v>
      </c>
      <c r="P481" t="s">
        <v>69</v>
      </c>
      <c r="Q481" t="s">
        <v>264</v>
      </c>
      <c r="S481">
        <v>1</v>
      </c>
      <c r="T481" t="s">
        <v>61</v>
      </c>
      <c r="U481">
        <v>137</v>
      </c>
      <c r="V481" t="s">
        <v>79</v>
      </c>
    </row>
    <row r="482" spans="1:22" x14ac:dyDescent="0.3">
      <c r="A482" t="s">
        <v>1774</v>
      </c>
      <c r="B482" t="s">
        <v>333</v>
      </c>
      <c r="C482">
        <v>50</v>
      </c>
      <c r="D482" t="s">
        <v>24</v>
      </c>
      <c r="E482" t="s">
        <v>40</v>
      </c>
      <c r="F482" t="s">
        <v>65</v>
      </c>
      <c r="G482" t="s">
        <v>1775</v>
      </c>
      <c r="H482" t="s">
        <v>1536</v>
      </c>
      <c r="I482" t="s">
        <v>43</v>
      </c>
      <c r="J482" t="s">
        <v>44</v>
      </c>
      <c r="K482">
        <v>1</v>
      </c>
      <c r="L482">
        <v>56891</v>
      </c>
      <c r="M482">
        <v>10</v>
      </c>
      <c r="N482" t="s">
        <v>56</v>
      </c>
      <c r="O482" t="s">
        <v>109</v>
      </c>
      <c r="P482" t="s">
        <v>58</v>
      </c>
      <c r="Q482" t="s">
        <v>336</v>
      </c>
      <c r="R482" t="s">
        <v>1776</v>
      </c>
      <c r="S482">
        <v>1</v>
      </c>
      <c r="T482" t="s">
        <v>72</v>
      </c>
      <c r="U482">
        <v>278</v>
      </c>
      <c r="V482" t="s">
        <v>37</v>
      </c>
    </row>
    <row r="483" spans="1:22" x14ac:dyDescent="0.3">
      <c r="A483" t="s">
        <v>1777</v>
      </c>
      <c r="B483" t="s">
        <v>105</v>
      </c>
      <c r="C483">
        <v>59</v>
      </c>
      <c r="D483" t="s">
        <v>24</v>
      </c>
      <c r="E483" t="s">
        <v>40</v>
      </c>
      <c r="F483" t="s">
        <v>91</v>
      </c>
      <c r="G483" t="s">
        <v>764</v>
      </c>
      <c r="H483" t="s">
        <v>1046</v>
      </c>
      <c r="I483" t="s">
        <v>43</v>
      </c>
      <c r="J483" t="s">
        <v>44</v>
      </c>
      <c r="K483">
        <v>2</v>
      </c>
      <c r="L483">
        <v>63305</v>
      </c>
      <c r="M483">
        <v>0</v>
      </c>
      <c r="N483" t="s">
        <v>31</v>
      </c>
      <c r="O483" t="s">
        <v>173</v>
      </c>
      <c r="P483" t="s">
        <v>58</v>
      </c>
      <c r="Q483" t="s">
        <v>110</v>
      </c>
      <c r="S483">
        <v>5</v>
      </c>
      <c r="T483" t="s">
        <v>36</v>
      </c>
      <c r="U483">
        <v>67</v>
      </c>
      <c r="V483" t="s">
        <v>79</v>
      </c>
    </row>
    <row r="484" spans="1:22" x14ac:dyDescent="0.3">
      <c r="A484" t="s">
        <v>1778</v>
      </c>
      <c r="B484" t="s">
        <v>1779</v>
      </c>
      <c r="C484">
        <v>19</v>
      </c>
      <c r="D484" t="s">
        <v>24</v>
      </c>
      <c r="E484" t="s">
        <v>25</v>
      </c>
      <c r="F484" t="s">
        <v>82</v>
      </c>
      <c r="G484" t="s">
        <v>607</v>
      </c>
      <c r="H484" t="s">
        <v>1400</v>
      </c>
      <c r="I484" t="s">
        <v>85</v>
      </c>
      <c r="J484" t="s">
        <v>44</v>
      </c>
      <c r="K484">
        <v>2</v>
      </c>
      <c r="L484">
        <v>75304</v>
      </c>
      <c r="M484">
        <v>5</v>
      </c>
      <c r="N484" t="s">
        <v>31</v>
      </c>
      <c r="O484" t="s">
        <v>46</v>
      </c>
      <c r="P484" t="s">
        <v>33</v>
      </c>
      <c r="Q484" t="s">
        <v>1687</v>
      </c>
      <c r="R484" t="s">
        <v>1780</v>
      </c>
      <c r="S484">
        <v>3</v>
      </c>
      <c r="T484" t="s">
        <v>36</v>
      </c>
      <c r="U484">
        <v>201</v>
      </c>
      <c r="V484" t="s">
        <v>62</v>
      </c>
    </row>
    <row r="485" spans="1:22" x14ac:dyDescent="0.3">
      <c r="A485" t="s">
        <v>1781</v>
      </c>
      <c r="B485" t="s">
        <v>113</v>
      </c>
      <c r="C485">
        <v>26</v>
      </c>
      <c r="D485" t="s">
        <v>24</v>
      </c>
      <c r="E485" t="s">
        <v>99</v>
      </c>
      <c r="F485" t="s">
        <v>65</v>
      </c>
      <c r="G485" t="s">
        <v>1488</v>
      </c>
      <c r="H485" t="s">
        <v>1782</v>
      </c>
      <c r="I485" t="s">
        <v>93</v>
      </c>
      <c r="J485" t="s">
        <v>44</v>
      </c>
      <c r="K485">
        <v>4</v>
      </c>
      <c r="L485">
        <v>42055</v>
      </c>
      <c r="M485">
        <v>0</v>
      </c>
      <c r="N485" t="s">
        <v>45</v>
      </c>
      <c r="O485" t="s">
        <v>109</v>
      </c>
      <c r="P485" t="s">
        <v>69</v>
      </c>
      <c r="Q485" t="s">
        <v>116</v>
      </c>
      <c r="S485">
        <v>3</v>
      </c>
      <c r="T485" t="s">
        <v>72</v>
      </c>
      <c r="U485">
        <v>432</v>
      </c>
      <c r="V485" t="s">
        <v>79</v>
      </c>
    </row>
    <row r="486" spans="1:22" x14ac:dyDescent="0.3">
      <c r="A486" t="s">
        <v>1783</v>
      </c>
      <c r="B486" t="s">
        <v>611</v>
      </c>
      <c r="C486">
        <v>53</v>
      </c>
      <c r="D486" t="s">
        <v>51</v>
      </c>
      <c r="E486" t="s">
        <v>142</v>
      </c>
      <c r="F486" t="s">
        <v>53</v>
      </c>
      <c r="G486" t="s">
        <v>690</v>
      </c>
      <c r="H486" t="s">
        <v>1291</v>
      </c>
      <c r="I486" t="s">
        <v>43</v>
      </c>
      <c r="J486" t="s">
        <v>30</v>
      </c>
      <c r="K486">
        <v>3</v>
      </c>
      <c r="L486">
        <v>54549</v>
      </c>
      <c r="M486">
        <v>5</v>
      </c>
      <c r="N486" t="s">
        <v>56</v>
      </c>
      <c r="O486" t="s">
        <v>173</v>
      </c>
      <c r="P486" t="s">
        <v>58</v>
      </c>
      <c r="Q486" t="s">
        <v>614</v>
      </c>
      <c r="R486" t="s">
        <v>1784</v>
      </c>
      <c r="S486">
        <v>1</v>
      </c>
      <c r="T486" t="s">
        <v>96</v>
      </c>
      <c r="U486">
        <v>391</v>
      </c>
      <c r="V486" t="s">
        <v>37</v>
      </c>
    </row>
    <row r="487" spans="1:22" x14ac:dyDescent="0.3">
      <c r="A487" t="s">
        <v>1785</v>
      </c>
      <c r="B487" t="s">
        <v>397</v>
      </c>
      <c r="C487">
        <v>22</v>
      </c>
      <c r="D487" t="s">
        <v>51</v>
      </c>
      <c r="E487" t="s">
        <v>40</v>
      </c>
      <c r="F487" t="s">
        <v>26</v>
      </c>
      <c r="G487" t="s">
        <v>1321</v>
      </c>
      <c r="H487" t="s">
        <v>1786</v>
      </c>
      <c r="I487" t="s">
        <v>77</v>
      </c>
      <c r="J487" t="s">
        <v>30</v>
      </c>
      <c r="K487">
        <v>2</v>
      </c>
      <c r="L487">
        <v>55556</v>
      </c>
      <c r="M487">
        <v>10</v>
      </c>
      <c r="N487" t="s">
        <v>56</v>
      </c>
      <c r="O487" t="s">
        <v>133</v>
      </c>
      <c r="P487" t="s">
        <v>33</v>
      </c>
      <c r="Q487" t="s">
        <v>400</v>
      </c>
      <c r="R487" t="s">
        <v>1787</v>
      </c>
      <c r="S487">
        <v>4</v>
      </c>
      <c r="T487" t="s">
        <v>72</v>
      </c>
      <c r="U487">
        <v>452</v>
      </c>
      <c r="V487" t="s">
        <v>37</v>
      </c>
    </row>
    <row r="488" spans="1:22" x14ac:dyDescent="0.3">
      <c r="A488" t="s">
        <v>1788</v>
      </c>
      <c r="B488" t="s">
        <v>1789</v>
      </c>
      <c r="C488">
        <v>37</v>
      </c>
      <c r="D488" t="s">
        <v>51</v>
      </c>
      <c r="E488" t="s">
        <v>26</v>
      </c>
      <c r="F488" t="s">
        <v>82</v>
      </c>
      <c r="G488" t="s">
        <v>1790</v>
      </c>
      <c r="H488" t="s">
        <v>1791</v>
      </c>
      <c r="I488" t="s">
        <v>43</v>
      </c>
      <c r="J488" t="s">
        <v>44</v>
      </c>
      <c r="K488">
        <v>3</v>
      </c>
      <c r="L488">
        <v>22407</v>
      </c>
      <c r="M488">
        <v>10</v>
      </c>
      <c r="N488" t="s">
        <v>56</v>
      </c>
      <c r="O488" t="s">
        <v>68</v>
      </c>
      <c r="P488" t="s">
        <v>69</v>
      </c>
      <c r="Q488" t="s">
        <v>1792</v>
      </c>
      <c r="R488" t="s">
        <v>1793</v>
      </c>
      <c r="S488">
        <v>4</v>
      </c>
      <c r="T488" t="s">
        <v>96</v>
      </c>
      <c r="U488">
        <v>236</v>
      </c>
      <c r="V488" t="s">
        <v>37</v>
      </c>
    </row>
    <row r="489" spans="1:22" x14ac:dyDescent="0.3">
      <c r="A489" t="s">
        <v>1794</v>
      </c>
      <c r="B489" t="s">
        <v>119</v>
      </c>
      <c r="C489">
        <v>49</v>
      </c>
      <c r="D489" t="s">
        <v>51</v>
      </c>
      <c r="E489" t="s">
        <v>142</v>
      </c>
      <c r="F489" t="s">
        <v>53</v>
      </c>
      <c r="G489" t="s">
        <v>1795</v>
      </c>
      <c r="H489" t="s">
        <v>1202</v>
      </c>
      <c r="I489" t="s">
        <v>93</v>
      </c>
      <c r="J489" t="s">
        <v>30</v>
      </c>
      <c r="K489">
        <v>2</v>
      </c>
      <c r="L489">
        <v>63500</v>
      </c>
      <c r="M489">
        <v>10</v>
      </c>
      <c r="N489" t="s">
        <v>56</v>
      </c>
      <c r="O489" t="s">
        <v>86</v>
      </c>
      <c r="P489" t="s">
        <v>174</v>
      </c>
      <c r="Q489" t="s">
        <v>122</v>
      </c>
      <c r="S489">
        <v>5</v>
      </c>
      <c r="T489" t="s">
        <v>36</v>
      </c>
      <c r="U489">
        <v>154</v>
      </c>
      <c r="V489" t="s">
        <v>79</v>
      </c>
    </row>
    <row r="490" spans="1:22" x14ac:dyDescent="0.3">
      <c r="A490" t="s">
        <v>1796</v>
      </c>
      <c r="B490" t="s">
        <v>484</v>
      </c>
      <c r="C490">
        <v>48</v>
      </c>
      <c r="D490" t="s">
        <v>51</v>
      </c>
      <c r="E490" t="s">
        <v>229</v>
      </c>
      <c r="F490" t="s">
        <v>91</v>
      </c>
      <c r="G490" t="s">
        <v>925</v>
      </c>
      <c r="H490" t="s">
        <v>657</v>
      </c>
      <c r="I490" t="s">
        <v>108</v>
      </c>
      <c r="J490" t="s">
        <v>44</v>
      </c>
      <c r="K490">
        <v>2</v>
      </c>
      <c r="M490">
        <v>15</v>
      </c>
      <c r="N490" t="s">
        <v>31</v>
      </c>
      <c r="O490" t="s">
        <v>173</v>
      </c>
      <c r="P490" t="s">
        <v>174</v>
      </c>
      <c r="Q490" t="s">
        <v>487</v>
      </c>
      <c r="R490" t="s">
        <v>1797</v>
      </c>
      <c r="S490">
        <v>4</v>
      </c>
      <c r="T490" t="s">
        <v>72</v>
      </c>
      <c r="U490">
        <v>494</v>
      </c>
      <c r="V490" t="s">
        <v>62</v>
      </c>
    </row>
    <row r="491" spans="1:22" x14ac:dyDescent="0.3">
      <c r="A491" t="s">
        <v>1798</v>
      </c>
      <c r="B491" t="s">
        <v>684</v>
      </c>
      <c r="C491">
        <v>19</v>
      </c>
      <c r="D491" t="s">
        <v>24</v>
      </c>
      <c r="E491" t="s">
        <v>25</v>
      </c>
      <c r="F491" t="s">
        <v>65</v>
      </c>
      <c r="G491" t="s">
        <v>905</v>
      </c>
      <c r="H491" t="s">
        <v>1799</v>
      </c>
      <c r="I491" t="s">
        <v>43</v>
      </c>
      <c r="J491" t="s">
        <v>30</v>
      </c>
      <c r="K491">
        <v>1</v>
      </c>
      <c r="L491">
        <v>65125</v>
      </c>
      <c r="M491">
        <v>15</v>
      </c>
      <c r="N491" t="s">
        <v>166</v>
      </c>
      <c r="O491" t="s">
        <v>46</v>
      </c>
      <c r="P491" t="s">
        <v>174</v>
      </c>
      <c r="Q491" t="s">
        <v>785</v>
      </c>
      <c r="R491" t="s">
        <v>1800</v>
      </c>
      <c r="S491">
        <v>5</v>
      </c>
      <c r="T491" t="s">
        <v>72</v>
      </c>
      <c r="U491">
        <v>107</v>
      </c>
      <c r="V491" t="s">
        <v>62</v>
      </c>
    </row>
    <row r="492" spans="1:22" x14ac:dyDescent="0.3">
      <c r="A492" t="s">
        <v>1801</v>
      </c>
      <c r="B492" t="s">
        <v>684</v>
      </c>
      <c r="C492">
        <v>23</v>
      </c>
      <c r="D492" t="s">
        <v>183</v>
      </c>
      <c r="E492" t="s">
        <v>26</v>
      </c>
      <c r="F492" t="s">
        <v>91</v>
      </c>
      <c r="G492" t="s">
        <v>576</v>
      </c>
      <c r="H492" t="s">
        <v>481</v>
      </c>
      <c r="I492" t="s">
        <v>85</v>
      </c>
      <c r="J492" t="s">
        <v>44</v>
      </c>
      <c r="K492">
        <v>3</v>
      </c>
      <c r="L492">
        <v>31408</v>
      </c>
      <c r="M492">
        <v>0</v>
      </c>
      <c r="N492" t="s">
        <v>56</v>
      </c>
      <c r="O492" t="s">
        <v>46</v>
      </c>
      <c r="P492" t="s">
        <v>174</v>
      </c>
      <c r="Q492" t="s">
        <v>785</v>
      </c>
      <c r="R492" t="s">
        <v>1802</v>
      </c>
      <c r="S492">
        <v>5</v>
      </c>
      <c r="T492" t="s">
        <v>61</v>
      </c>
      <c r="U492">
        <v>313</v>
      </c>
      <c r="V492" t="s">
        <v>79</v>
      </c>
    </row>
    <row r="493" spans="1:22" x14ac:dyDescent="0.3">
      <c r="A493" t="s">
        <v>1803</v>
      </c>
      <c r="B493" t="s">
        <v>570</v>
      </c>
      <c r="C493">
        <v>49</v>
      </c>
      <c r="D493" t="s">
        <v>51</v>
      </c>
      <c r="E493" t="s">
        <v>26</v>
      </c>
      <c r="F493" t="s">
        <v>53</v>
      </c>
      <c r="G493" t="s">
        <v>1804</v>
      </c>
      <c r="H493" t="s">
        <v>1643</v>
      </c>
      <c r="I493" t="s">
        <v>93</v>
      </c>
      <c r="J493" t="s">
        <v>44</v>
      </c>
      <c r="K493">
        <v>2</v>
      </c>
      <c r="L493">
        <v>24972</v>
      </c>
      <c r="M493">
        <v>10</v>
      </c>
      <c r="N493" t="s">
        <v>56</v>
      </c>
      <c r="O493" t="s">
        <v>32</v>
      </c>
      <c r="P493" t="s">
        <v>33</v>
      </c>
      <c r="R493" t="s">
        <v>1805</v>
      </c>
      <c r="S493">
        <v>1</v>
      </c>
      <c r="T493" t="s">
        <v>61</v>
      </c>
      <c r="U493">
        <v>291</v>
      </c>
      <c r="V493" t="s">
        <v>62</v>
      </c>
    </row>
    <row r="494" spans="1:22" x14ac:dyDescent="0.3">
      <c r="A494" t="s">
        <v>1806</v>
      </c>
      <c r="B494" t="s">
        <v>119</v>
      </c>
      <c r="C494">
        <v>33</v>
      </c>
      <c r="D494" t="s">
        <v>51</v>
      </c>
      <c r="E494" t="s">
        <v>131</v>
      </c>
      <c r="F494" t="s">
        <v>65</v>
      </c>
      <c r="G494" t="s">
        <v>524</v>
      </c>
      <c r="H494" t="s">
        <v>548</v>
      </c>
      <c r="I494" t="s">
        <v>108</v>
      </c>
      <c r="J494" t="s">
        <v>30</v>
      </c>
      <c r="K494">
        <v>4</v>
      </c>
      <c r="L494">
        <v>6821</v>
      </c>
      <c r="M494">
        <v>5</v>
      </c>
      <c r="N494" t="s">
        <v>45</v>
      </c>
      <c r="O494" t="s">
        <v>57</v>
      </c>
      <c r="P494" t="s">
        <v>174</v>
      </c>
      <c r="R494" t="s">
        <v>1807</v>
      </c>
      <c r="S494">
        <v>1</v>
      </c>
      <c r="T494" t="s">
        <v>96</v>
      </c>
      <c r="U494">
        <v>292</v>
      </c>
      <c r="V494" t="s">
        <v>62</v>
      </c>
    </row>
    <row r="495" spans="1:22" x14ac:dyDescent="0.3">
      <c r="A495" t="s">
        <v>1808</v>
      </c>
      <c r="B495" t="s">
        <v>309</v>
      </c>
      <c r="C495">
        <v>42</v>
      </c>
      <c r="D495" t="s">
        <v>24</v>
      </c>
      <c r="E495" t="s">
        <v>131</v>
      </c>
      <c r="F495" t="s">
        <v>65</v>
      </c>
      <c r="G495" t="s">
        <v>594</v>
      </c>
      <c r="H495" t="s">
        <v>1337</v>
      </c>
      <c r="I495" t="s">
        <v>85</v>
      </c>
      <c r="J495" t="s">
        <v>30</v>
      </c>
      <c r="K495">
        <v>2</v>
      </c>
      <c r="L495">
        <v>24014</v>
      </c>
      <c r="M495">
        <v>10</v>
      </c>
      <c r="N495" t="s">
        <v>56</v>
      </c>
      <c r="O495" t="s">
        <v>32</v>
      </c>
      <c r="P495" t="s">
        <v>174</v>
      </c>
      <c r="Q495" t="s">
        <v>312</v>
      </c>
      <c r="R495" t="s">
        <v>1809</v>
      </c>
      <c r="S495">
        <v>2</v>
      </c>
      <c r="T495" t="s">
        <v>61</v>
      </c>
      <c r="U495">
        <v>353</v>
      </c>
      <c r="V495" t="s">
        <v>79</v>
      </c>
    </row>
    <row r="496" spans="1:22" x14ac:dyDescent="0.3">
      <c r="A496" t="s">
        <v>1810</v>
      </c>
      <c r="B496" t="s">
        <v>285</v>
      </c>
      <c r="C496">
        <v>27</v>
      </c>
      <c r="D496" t="s">
        <v>24</v>
      </c>
      <c r="E496" t="s">
        <v>52</v>
      </c>
      <c r="F496" t="s">
        <v>53</v>
      </c>
      <c r="G496" t="s">
        <v>1486</v>
      </c>
      <c r="H496" t="s">
        <v>1649</v>
      </c>
      <c r="I496" t="s">
        <v>108</v>
      </c>
      <c r="J496" t="s">
        <v>30</v>
      </c>
      <c r="K496">
        <v>3</v>
      </c>
      <c r="L496">
        <v>56384</v>
      </c>
      <c r="M496">
        <v>5</v>
      </c>
      <c r="N496" t="s">
        <v>166</v>
      </c>
      <c r="O496" t="s">
        <v>109</v>
      </c>
      <c r="P496" t="s">
        <v>174</v>
      </c>
      <c r="R496" t="s">
        <v>1811</v>
      </c>
      <c r="S496">
        <v>5</v>
      </c>
      <c r="T496" t="s">
        <v>72</v>
      </c>
      <c r="U496">
        <v>484</v>
      </c>
      <c r="V496" t="s">
        <v>79</v>
      </c>
    </row>
    <row r="497" spans="1:22" x14ac:dyDescent="0.3">
      <c r="A497" t="s">
        <v>1812</v>
      </c>
      <c r="B497" t="s">
        <v>476</v>
      </c>
      <c r="C497">
        <v>25</v>
      </c>
      <c r="D497" t="s">
        <v>51</v>
      </c>
      <c r="E497" t="s">
        <v>40</v>
      </c>
      <c r="F497" t="s">
        <v>65</v>
      </c>
      <c r="G497" t="s">
        <v>1813</v>
      </c>
      <c r="H497" t="s">
        <v>1544</v>
      </c>
      <c r="I497" t="s">
        <v>29</v>
      </c>
      <c r="J497" t="s">
        <v>30</v>
      </c>
      <c r="K497">
        <v>2</v>
      </c>
      <c r="L497">
        <v>13507</v>
      </c>
      <c r="M497">
        <v>15</v>
      </c>
      <c r="N497" t="s">
        <v>45</v>
      </c>
      <c r="O497" t="s">
        <v>173</v>
      </c>
      <c r="P497" t="s">
        <v>174</v>
      </c>
      <c r="Q497" t="s">
        <v>478</v>
      </c>
      <c r="R497" t="s">
        <v>1814</v>
      </c>
      <c r="S497">
        <v>4</v>
      </c>
      <c r="T497" t="s">
        <v>61</v>
      </c>
      <c r="U497">
        <v>407</v>
      </c>
      <c r="V497" t="s">
        <v>79</v>
      </c>
    </row>
    <row r="498" spans="1:22" x14ac:dyDescent="0.3">
      <c r="A498" t="s">
        <v>1815</v>
      </c>
      <c r="B498" t="s">
        <v>130</v>
      </c>
      <c r="C498">
        <v>47</v>
      </c>
      <c r="D498" t="s">
        <v>24</v>
      </c>
      <c r="E498" t="s">
        <v>26</v>
      </c>
      <c r="F498" t="s">
        <v>65</v>
      </c>
      <c r="G498" t="s">
        <v>1816</v>
      </c>
      <c r="H498" t="s">
        <v>1817</v>
      </c>
      <c r="I498" t="s">
        <v>93</v>
      </c>
      <c r="J498" t="s">
        <v>30</v>
      </c>
      <c r="K498">
        <v>4</v>
      </c>
      <c r="L498">
        <v>12509</v>
      </c>
      <c r="M498">
        <v>0</v>
      </c>
      <c r="N498" t="s">
        <v>56</v>
      </c>
      <c r="O498" t="s">
        <v>281</v>
      </c>
      <c r="P498" t="s">
        <v>174</v>
      </c>
      <c r="Q498" t="s">
        <v>1355</v>
      </c>
      <c r="R498" t="s">
        <v>1818</v>
      </c>
      <c r="S498">
        <v>4</v>
      </c>
      <c r="T498" t="s">
        <v>36</v>
      </c>
      <c r="U498">
        <v>59</v>
      </c>
      <c r="V498" t="s">
        <v>79</v>
      </c>
    </row>
    <row r="499" spans="1:22" x14ac:dyDescent="0.3">
      <c r="A499" t="s">
        <v>1819</v>
      </c>
      <c r="B499" t="s">
        <v>707</v>
      </c>
      <c r="C499">
        <v>55</v>
      </c>
      <c r="D499" t="s">
        <v>51</v>
      </c>
      <c r="E499" t="s">
        <v>229</v>
      </c>
      <c r="F499" t="s">
        <v>65</v>
      </c>
      <c r="G499" t="s">
        <v>1176</v>
      </c>
      <c r="H499" t="s">
        <v>1820</v>
      </c>
      <c r="I499" t="s">
        <v>93</v>
      </c>
      <c r="J499" t="s">
        <v>44</v>
      </c>
      <c r="K499">
        <v>3</v>
      </c>
      <c r="L499">
        <v>74858</v>
      </c>
      <c r="M499">
        <v>10</v>
      </c>
      <c r="N499" t="s">
        <v>31</v>
      </c>
      <c r="O499" t="s">
        <v>133</v>
      </c>
      <c r="P499" t="s">
        <v>174</v>
      </c>
      <c r="Q499" t="s">
        <v>709</v>
      </c>
      <c r="R499" t="s">
        <v>1821</v>
      </c>
      <c r="S499">
        <v>2</v>
      </c>
      <c r="T499" t="s">
        <v>61</v>
      </c>
      <c r="U499">
        <v>109</v>
      </c>
      <c r="V499" t="s">
        <v>37</v>
      </c>
    </row>
    <row r="500" spans="1:22" x14ac:dyDescent="0.3">
      <c r="A500" t="s">
        <v>1822</v>
      </c>
      <c r="B500" t="s">
        <v>702</v>
      </c>
      <c r="C500">
        <v>45</v>
      </c>
      <c r="D500" t="s">
        <v>51</v>
      </c>
      <c r="E500" t="s">
        <v>99</v>
      </c>
      <c r="F500" t="s">
        <v>26</v>
      </c>
      <c r="G500" t="s">
        <v>1434</v>
      </c>
      <c r="H500" t="s">
        <v>1519</v>
      </c>
      <c r="I500" t="s">
        <v>29</v>
      </c>
      <c r="J500" t="s">
        <v>44</v>
      </c>
      <c r="K500">
        <v>2</v>
      </c>
      <c r="L500">
        <v>21836</v>
      </c>
      <c r="M500">
        <v>15</v>
      </c>
      <c r="N500" t="s">
        <v>45</v>
      </c>
      <c r="O500" t="s">
        <v>102</v>
      </c>
      <c r="P500" t="s">
        <v>33</v>
      </c>
      <c r="S500">
        <v>1</v>
      </c>
      <c r="T500" t="s">
        <v>61</v>
      </c>
      <c r="U500">
        <v>189</v>
      </c>
      <c r="V500" t="s">
        <v>37</v>
      </c>
    </row>
    <row r="501" spans="1:22" x14ac:dyDescent="0.3">
      <c r="A501" t="s">
        <v>1823</v>
      </c>
      <c r="B501" t="s">
        <v>228</v>
      </c>
      <c r="C501">
        <v>45</v>
      </c>
      <c r="D501" t="s">
        <v>51</v>
      </c>
      <c r="E501" t="s">
        <v>25</v>
      </c>
      <c r="F501" t="s">
        <v>65</v>
      </c>
      <c r="G501" t="s">
        <v>257</v>
      </c>
      <c r="H501" t="s">
        <v>671</v>
      </c>
      <c r="I501" t="s">
        <v>77</v>
      </c>
      <c r="J501" t="s">
        <v>30</v>
      </c>
      <c r="K501">
        <v>4</v>
      </c>
      <c r="L501">
        <v>64333</v>
      </c>
      <c r="M501">
        <v>5</v>
      </c>
      <c r="N501" t="s">
        <v>31</v>
      </c>
      <c r="O501" t="s">
        <v>133</v>
      </c>
      <c r="P501" t="s">
        <v>69</v>
      </c>
      <c r="Q501" t="s">
        <v>232</v>
      </c>
      <c r="R501" t="s">
        <v>1824</v>
      </c>
      <c r="S501">
        <v>3</v>
      </c>
      <c r="T501" t="s">
        <v>61</v>
      </c>
      <c r="U501">
        <v>81</v>
      </c>
      <c r="V501" t="s">
        <v>62</v>
      </c>
    </row>
    <row r="502" spans="1:22" x14ac:dyDescent="0.3">
      <c r="A502" t="s">
        <v>1825</v>
      </c>
      <c r="B502" t="s">
        <v>228</v>
      </c>
      <c r="C502">
        <v>28</v>
      </c>
      <c r="D502" t="s">
        <v>24</v>
      </c>
      <c r="E502" t="s">
        <v>52</v>
      </c>
      <c r="F502" t="s">
        <v>65</v>
      </c>
      <c r="G502" t="s">
        <v>236</v>
      </c>
      <c r="H502" t="s">
        <v>83</v>
      </c>
      <c r="I502" t="s">
        <v>43</v>
      </c>
      <c r="J502" t="s">
        <v>30</v>
      </c>
      <c r="K502">
        <v>2</v>
      </c>
      <c r="L502">
        <v>64192</v>
      </c>
      <c r="M502">
        <v>10</v>
      </c>
      <c r="N502" t="s">
        <v>166</v>
      </c>
      <c r="O502" t="s">
        <v>281</v>
      </c>
      <c r="P502" t="s">
        <v>58</v>
      </c>
      <c r="Q502" t="s">
        <v>232</v>
      </c>
      <c r="R502" t="s">
        <v>1826</v>
      </c>
      <c r="S502">
        <v>3</v>
      </c>
      <c r="T502" t="s">
        <v>61</v>
      </c>
      <c r="U502">
        <v>284</v>
      </c>
      <c r="V502" t="s">
        <v>37</v>
      </c>
    </row>
    <row r="503" spans="1:22" x14ac:dyDescent="0.3">
      <c r="A503" t="s">
        <v>1827</v>
      </c>
      <c r="B503" t="s">
        <v>1503</v>
      </c>
      <c r="C503">
        <v>19</v>
      </c>
      <c r="D503" t="s">
        <v>51</v>
      </c>
      <c r="E503" t="s">
        <v>99</v>
      </c>
      <c r="F503" t="s">
        <v>53</v>
      </c>
      <c r="G503" t="s">
        <v>431</v>
      </c>
      <c r="H503" t="s">
        <v>493</v>
      </c>
      <c r="I503" t="s">
        <v>85</v>
      </c>
      <c r="J503" t="s">
        <v>44</v>
      </c>
      <c r="K503">
        <v>1</v>
      </c>
      <c r="L503">
        <v>8425</v>
      </c>
      <c r="M503">
        <v>0</v>
      </c>
      <c r="N503" t="s">
        <v>31</v>
      </c>
      <c r="O503" t="s">
        <v>102</v>
      </c>
      <c r="P503" t="s">
        <v>69</v>
      </c>
      <c r="Q503" t="s">
        <v>252</v>
      </c>
      <c r="S503">
        <v>5</v>
      </c>
      <c r="T503" t="s">
        <v>96</v>
      </c>
      <c r="U503">
        <v>73</v>
      </c>
      <c r="V503" t="s">
        <v>37</v>
      </c>
    </row>
    <row r="504" spans="1:22" x14ac:dyDescent="0.3">
      <c r="A504" t="s">
        <v>1828</v>
      </c>
      <c r="B504" t="s">
        <v>645</v>
      </c>
      <c r="C504">
        <v>23</v>
      </c>
      <c r="D504" t="s">
        <v>24</v>
      </c>
      <c r="E504" t="s">
        <v>142</v>
      </c>
      <c r="F504" t="s">
        <v>91</v>
      </c>
      <c r="G504" t="s">
        <v>1247</v>
      </c>
      <c r="H504" t="s">
        <v>1829</v>
      </c>
      <c r="I504" t="s">
        <v>93</v>
      </c>
      <c r="J504" t="s">
        <v>30</v>
      </c>
      <c r="K504">
        <v>4</v>
      </c>
      <c r="L504">
        <v>11284</v>
      </c>
      <c r="M504">
        <v>10</v>
      </c>
      <c r="N504" t="s">
        <v>56</v>
      </c>
      <c r="O504" t="s">
        <v>32</v>
      </c>
      <c r="P504" t="s">
        <v>58</v>
      </c>
      <c r="Q504" t="s">
        <v>647</v>
      </c>
      <c r="R504" t="s">
        <v>1830</v>
      </c>
      <c r="S504">
        <v>4</v>
      </c>
      <c r="T504" t="s">
        <v>36</v>
      </c>
      <c r="U504">
        <v>121</v>
      </c>
      <c r="V504" t="s">
        <v>62</v>
      </c>
    </row>
    <row r="505" spans="1:22" x14ac:dyDescent="0.3">
      <c r="A505" t="s">
        <v>1831</v>
      </c>
      <c r="B505" t="s">
        <v>98</v>
      </c>
      <c r="C505">
        <v>33</v>
      </c>
      <c r="D505" t="s">
        <v>51</v>
      </c>
      <c r="E505" t="s">
        <v>229</v>
      </c>
      <c r="F505" t="s">
        <v>65</v>
      </c>
      <c r="G505" t="s">
        <v>1832</v>
      </c>
      <c r="H505" t="s">
        <v>764</v>
      </c>
      <c r="I505" t="s">
        <v>108</v>
      </c>
      <c r="J505" t="s">
        <v>30</v>
      </c>
      <c r="K505">
        <v>2</v>
      </c>
      <c r="L505">
        <v>51249</v>
      </c>
      <c r="M505">
        <v>0</v>
      </c>
      <c r="N505" t="s">
        <v>45</v>
      </c>
      <c r="O505" t="s">
        <v>281</v>
      </c>
      <c r="P505" t="s">
        <v>33</v>
      </c>
      <c r="Q505" t="s">
        <v>103</v>
      </c>
      <c r="R505" t="s">
        <v>1833</v>
      </c>
      <c r="S505">
        <v>1</v>
      </c>
      <c r="T505" t="s">
        <v>61</v>
      </c>
      <c r="U505">
        <v>399</v>
      </c>
      <c r="V505" t="s">
        <v>79</v>
      </c>
    </row>
    <row r="506" spans="1:22" x14ac:dyDescent="0.3">
      <c r="A506" t="s">
        <v>1834</v>
      </c>
      <c r="B506" t="s">
        <v>50</v>
      </c>
      <c r="C506">
        <v>58</v>
      </c>
      <c r="D506" t="s">
        <v>51</v>
      </c>
      <c r="E506" t="s">
        <v>99</v>
      </c>
      <c r="F506" t="s">
        <v>26</v>
      </c>
      <c r="G506" t="s">
        <v>179</v>
      </c>
      <c r="H506" t="s">
        <v>1829</v>
      </c>
      <c r="I506" t="s">
        <v>85</v>
      </c>
      <c r="J506" t="s">
        <v>30</v>
      </c>
      <c r="K506">
        <v>4</v>
      </c>
      <c r="L506">
        <v>72387</v>
      </c>
      <c r="M506">
        <v>15</v>
      </c>
      <c r="N506" t="s">
        <v>45</v>
      </c>
      <c r="O506" t="s">
        <v>86</v>
      </c>
      <c r="P506" t="s">
        <v>174</v>
      </c>
      <c r="Q506" t="s">
        <v>59</v>
      </c>
      <c r="R506" t="s">
        <v>1835</v>
      </c>
      <c r="S506">
        <v>4</v>
      </c>
      <c r="T506" t="s">
        <v>36</v>
      </c>
      <c r="U506">
        <v>467</v>
      </c>
      <c r="V506" t="s">
        <v>62</v>
      </c>
    </row>
    <row r="507" spans="1:22" x14ac:dyDescent="0.3">
      <c r="A507" t="s">
        <v>1836</v>
      </c>
      <c r="B507" t="s">
        <v>1837</v>
      </c>
      <c r="C507">
        <v>42</v>
      </c>
      <c r="D507" t="s">
        <v>51</v>
      </c>
      <c r="E507" t="s">
        <v>25</v>
      </c>
      <c r="F507" t="s">
        <v>91</v>
      </c>
      <c r="G507" t="s">
        <v>867</v>
      </c>
      <c r="H507" t="s">
        <v>1838</v>
      </c>
      <c r="I507" t="s">
        <v>29</v>
      </c>
      <c r="J507" t="s">
        <v>30</v>
      </c>
      <c r="K507">
        <v>1</v>
      </c>
      <c r="L507">
        <v>57470</v>
      </c>
      <c r="M507">
        <v>15</v>
      </c>
      <c r="N507" t="s">
        <v>45</v>
      </c>
      <c r="O507" t="s">
        <v>57</v>
      </c>
      <c r="P507" t="s">
        <v>174</v>
      </c>
      <c r="Q507" t="s">
        <v>544</v>
      </c>
      <c r="R507" t="s">
        <v>1839</v>
      </c>
      <c r="S507">
        <v>5</v>
      </c>
      <c r="T507" t="s">
        <v>36</v>
      </c>
      <c r="U507">
        <v>299</v>
      </c>
      <c r="V507" t="s">
        <v>37</v>
      </c>
    </row>
    <row r="508" spans="1:22" x14ac:dyDescent="0.3">
      <c r="A508" t="s">
        <v>1840</v>
      </c>
      <c r="B508" t="s">
        <v>74</v>
      </c>
      <c r="C508">
        <v>31</v>
      </c>
      <c r="D508" t="s">
        <v>51</v>
      </c>
      <c r="E508" t="s">
        <v>25</v>
      </c>
      <c r="F508" t="s">
        <v>82</v>
      </c>
      <c r="G508" t="s">
        <v>1841</v>
      </c>
      <c r="H508" t="s">
        <v>1225</v>
      </c>
      <c r="I508" t="s">
        <v>29</v>
      </c>
      <c r="J508" t="s">
        <v>44</v>
      </c>
      <c r="K508">
        <v>2</v>
      </c>
      <c r="L508">
        <v>13328</v>
      </c>
      <c r="M508">
        <v>5</v>
      </c>
      <c r="N508" t="s">
        <v>45</v>
      </c>
      <c r="O508" t="s">
        <v>68</v>
      </c>
      <c r="P508" t="s">
        <v>69</v>
      </c>
      <c r="Q508" t="s">
        <v>78</v>
      </c>
      <c r="R508" t="s">
        <v>1842</v>
      </c>
      <c r="S508">
        <v>2</v>
      </c>
      <c r="T508" t="s">
        <v>61</v>
      </c>
      <c r="U508">
        <v>172</v>
      </c>
      <c r="V508" t="s">
        <v>62</v>
      </c>
    </row>
    <row r="509" spans="1:22" x14ac:dyDescent="0.3">
      <c r="A509" t="s">
        <v>1843</v>
      </c>
      <c r="B509" t="s">
        <v>397</v>
      </c>
      <c r="C509">
        <v>19</v>
      </c>
      <c r="D509" t="s">
        <v>51</v>
      </c>
      <c r="E509" t="s">
        <v>142</v>
      </c>
      <c r="F509" t="s">
        <v>65</v>
      </c>
      <c r="G509" t="s">
        <v>1104</v>
      </c>
      <c r="H509" t="s">
        <v>1417</v>
      </c>
      <c r="I509" t="s">
        <v>29</v>
      </c>
      <c r="J509" t="s">
        <v>44</v>
      </c>
      <c r="K509">
        <v>1</v>
      </c>
      <c r="L509">
        <v>78852</v>
      </c>
      <c r="M509">
        <v>10</v>
      </c>
      <c r="N509" t="s">
        <v>45</v>
      </c>
      <c r="O509" t="s">
        <v>68</v>
      </c>
      <c r="P509" t="s">
        <v>33</v>
      </c>
      <c r="Q509" t="s">
        <v>400</v>
      </c>
      <c r="R509" t="s">
        <v>1844</v>
      </c>
      <c r="S509">
        <v>5</v>
      </c>
      <c r="T509" t="s">
        <v>36</v>
      </c>
      <c r="U509">
        <v>493</v>
      </c>
      <c r="V509" t="s">
        <v>62</v>
      </c>
    </row>
    <row r="510" spans="1:22" x14ac:dyDescent="0.3">
      <c r="A510" t="s">
        <v>1845</v>
      </c>
      <c r="B510" t="s">
        <v>645</v>
      </c>
      <c r="C510">
        <v>41</v>
      </c>
      <c r="D510" t="s">
        <v>51</v>
      </c>
      <c r="E510" t="s">
        <v>52</v>
      </c>
      <c r="F510" t="s">
        <v>82</v>
      </c>
      <c r="G510" t="s">
        <v>1838</v>
      </c>
      <c r="H510" t="s">
        <v>1256</v>
      </c>
      <c r="I510" t="s">
        <v>85</v>
      </c>
      <c r="J510" t="s">
        <v>44</v>
      </c>
      <c r="K510">
        <v>3</v>
      </c>
      <c r="L510">
        <v>40320</v>
      </c>
      <c r="M510">
        <v>10</v>
      </c>
      <c r="N510" t="s">
        <v>56</v>
      </c>
      <c r="O510" t="s">
        <v>109</v>
      </c>
      <c r="P510" t="s">
        <v>33</v>
      </c>
      <c r="Q510" t="s">
        <v>647</v>
      </c>
      <c r="R510" t="s">
        <v>1846</v>
      </c>
      <c r="S510">
        <v>5</v>
      </c>
      <c r="T510" t="s">
        <v>36</v>
      </c>
      <c r="U510">
        <v>428</v>
      </c>
      <c r="V510" t="s">
        <v>37</v>
      </c>
    </row>
    <row r="511" spans="1:22" x14ac:dyDescent="0.3">
      <c r="A511" t="s">
        <v>1847</v>
      </c>
      <c r="B511" t="s">
        <v>1848</v>
      </c>
      <c r="C511">
        <v>50</v>
      </c>
      <c r="D511" t="s">
        <v>24</v>
      </c>
      <c r="E511" t="s">
        <v>229</v>
      </c>
      <c r="F511" t="s">
        <v>65</v>
      </c>
      <c r="G511" t="s">
        <v>1849</v>
      </c>
      <c r="H511" t="s">
        <v>973</v>
      </c>
      <c r="I511" t="s">
        <v>77</v>
      </c>
      <c r="J511" t="s">
        <v>44</v>
      </c>
      <c r="K511">
        <v>2</v>
      </c>
      <c r="L511">
        <v>36541</v>
      </c>
      <c r="M511">
        <v>10</v>
      </c>
      <c r="N511" t="s">
        <v>56</v>
      </c>
      <c r="O511" t="s">
        <v>46</v>
      </c>
      <c r="P511" t="s">
        <v>69</v>
      </c>
      <c r="R511" t="s">
        <v>1850</v>
      </c>
      <c r="S511">
        <v>3</v>
      </c>
      <c r="T511" t="s">
        <v>61</v>
      </c>
      <c r="U511">
        <v>427</v>
      </c>
      <c r="V511" t="s">
        <v>37</v>
      </c>
    </row>
    <row r="512" spans="1:22" x14ac:dyDescent="0.3">
      <c r="A512" t="s">
        <v>1851</v>
      </c>
      <c r="B512" t="s">
        <v>261</v>
      </c>
      <c r="C512">
        <v>32</v>
      </c>
      <c r="D512" t="s">
        <v>24</v>
      </c>
      <c r="E512" t="s">
        <v>26</v>
      </c>
      <c r="F512" t="s">
        <v>53</v>
      </c>
      <c r="G512" t="s">
        <v>1711</v>
      </c>
      <c r="H512" t="s">
        <v>1019</v>
      </c>
      <c r="I512" t="s">
        <v>29</v>
      </c>
      <c r="J512" t="s">
        <v>30</v>
      </c>
      <c r="K512">
        <v>4</v>
      </c>
      <c r="L512">
        <v>42701</v>
      </c>
      <c r="M512">
        <v>0</v>
      </c>
      <c r="N512" t="s">
        <v>45</v>
      </c>
      <c r="O512" t="s">
        <v>68</v>
      </c>
      <c r="P512" t="s">
        <v>69</v>
      </c>
      <c r="Q512" t="s">
        <v>264</v>
      </c>
      <c r="R512" t="s">
        <v>1852</v>
      </c>
      <c r="S512">
        <v>1</v>
      </c>
      <c r="T512" t="s">
        <v>36</v>
      </c>
      <c r="U512">
        <v>235</v>
      </c>
      <c r="V512" t="s">
        <v>37</v>
      </c>
    </row>
    <row r="513" spans="1:22" x14ac:dyDescent="0.3">
      <c r="A513" t="s">
        <v>1853</v>
      </c>
      <c r="B513" t="s">
        <v>589</v>
      </c>
      <c r="C513">
        <v>27</v>
      </c>
      <c r="D513" t="s">
        <v>51</v>
      </c>
      <c r="E513" t="s">
        <v>142</v>
      </c>
      <c r="F513" t="s">
        <v>53</v>
      </c>
      <c r="G513" t="s">
        <v>1854</v>
      </c>
      <c r="H513" t="s">
        <v>1325</v>
      </c>
      <c r="I513" t="s">
        <v>77</v>
      </c>
      <c r="J513" t="s">
        <v>44</v>
      </c>
      <c r="K513">
        <v>4</v>
      </c>
      <c r="L513">
        <v>55576</v>
      </c>
      <c r="M513">
        <v>5</v>
      </c>
      <c r="N513" t="s">
        <v>31</v>
      </c>
      <c r="O513" t="s">
        <v>281</v>
      </c>
      <c r="P513" t="s">
        <v>58</v>
      </c>
      <c r="Q513" t="s">
        <v>591</v>
      </c>
      <c r="R513" t="s">
        <v>1855</v>
      </c>
      <c r="S513">
        <v>1</v>
      </c>
      <c r="T513" t="s">
        <v>96</v>
      </c>
      <c r="U513">
        <v>447</v>
      </c>
      <c r="V513" t="s">
        <v>79</v>
      </c>
    </row>
    <row r="514" spans="1:22" x14ac:dyDescent="0.3">
      <c r="A514" t="s">
        <v>1856</v>
      </c>
      <c r="B514" t="s">
        <v>327</v>
      </c>
      <c r="C514">
        <v>56</v>
      </c>
      <c r="D514" t="s">
        <v>24</v>
      </c>
      <c r="E514" t="s">
        <v>25</v>
      </c>
      <c r="F514" t="s">
        <v>65</v>
      </c>
      <c r="G514" t="s">
        <v>267</v>
      </c>
      <c r="H514" t="s">
        <v>1211</v>
      </c>
      <c r="I514" t="s">
        <v>43</v>
      </c>
      <c r="J514" t="s">
        <v>44</v>
      </c>
      <c r="K514">
        <v>1</v>
      </c>
      <c r="L514">
        <v>70092</v>
      </c>
      <c r="M514">
        <v>15</v>
      </c>
      <c r="N514" t="s">
        <v>166</v>
      </c>
      <c r="O514" t="s">
        <v>173</v>
      </c>
      <c r="P514" t="s">
        <v>69</v>
      </c>
      <c r="Q514" t="s">
        <v>330</v>
      </c>
      <c r="S514">
        <v>4</v>
      </c>
      <c r="T514" t="s">
        <v>72</v>
      </c>
      <c r="U514">
        <v>478</v>
      </c>
      <c r="V514" t="s">
        <v>79</v>
      </c>
    </row>
    <row r="515" spans="1:22" x14ac:dyDescent="0.3">
      <c r="A515" t="s">
        <v>1857</v>
      </c>
      <c r="B515" t="s">
        <v>471</v>
      </c>
      <c r="C515">
        <v>18</v>
      </c>
      <c r="D515" t="s">
        <v>24</v>
      </c>
      <c r="E515" t="s">
        <v>142</v>
      </c>
      <c r="F515" t="s">
        <v>26</v>
      </c>
      <c r="G515" t="s">
        <v>1061</v>
      </c>
      <c r="H515" t="s">
        <v>1858</v>
      </c>
      <c r="I515" t="s">
        <v>85</v>
      </c>
      <c r="J515" t="s">
        <v>30</v>
      </c>
      <c r="K515">
        <v>2</v>
      </c>
      <c r="L515">
        <v>47377</v>
      </c>
      <c r="M515">
        <v>10</v>
      </c>
      <c r="N515" t="s">
        <v>56</v>
      </c>
      <c r="O515" t="s">
        <v>46</v>
      </c>
      <c r="P515" t="s">
        <v>33</v>
      </c>
      <c r="Q515" t="s">
        <v>495</v>
      </c>
      <c r="R515" t="s">
        <v>1859</v>
      </c>
      <c r="S515">
        <v>3</v>
      </c>
      <c r="T515" t="s">
        <v>72</v>
      </c>
      <c r="U515">
        <v>217</v>
      </c>
      <c r="V515" t="s">
        <v>37</v>
      </c>
    </row>
    <row r="516" spans="1:22" x14ac:dyDescent="0.3">
      <c r="A516" t="s">
        <v>1860</v>
      </c>
      <c r="B516" t="s">
        <v>1861</v>
      </c>
      <c r="C516">
        <v>53</v>
      </c>
      <c r="D516" t="s">
        <v>24</v>
      </c>
      <c r="E516" t="s">
        <v>25</v>
      </c>
      <c r="F516" t="s">
        <v>26</v>
      </c>
      <c r="G516" t="s">
        <v>1862</v>
      </c>
      <c r="H516" t="s">
        <v>970</v>
      </c>
      <c r="I516" t="s">
        <v>85</v>
      </c>
      <c r="J516" t="s">
        <v>44</v>
      </c>
      <c r="K516">
        <v>4</v>
      </c>
      <c r="L516">
        <v>75934</v>
      </c>
      <c r="M516">
        <v>10</v>
      </c>
      <c r="N516" t="s">
        <v>45</v>
      </c>
      <c r="O516" t="s">
        <v>57</v>
      </c>
      <c r="P516" t="s">
        <v>33</v>
      </c>
      <c r="Q516" t="s">
        <v>364</v>
      </c>
      <c r="R516" t="s">
        <v>1863</v>
      </c>
      <c r="S516">
        <v>1</v>
      </c>
      <c r="T516" t="s">
        <v>96</v>
      </c>
      <c r="U516">
        <v>408</v>
      </c>
      <c r="V516" t="s">
        <v>62</v>
      </c>
    </row>
    <row r="517" spans="1:22" x14ac:dyDescent="0.3">
      <c r="A517" t="s">
        <v>1864</v>
      </c>
      <c r="B517" t="s">
        <v>601</v>
      </c>
      <c r="C517">
        <v>30</v>
      </c>
      <c r="D517" t="s">
        <v>24</v>
      </c>
      <c r="E517" t="s">
        <v>99</v>
      </c>
      <c r="F517" t="s">
        <v>65</v>
      </c>
      <c r="G517" t="s">
        <v>1621</v>
      </c>
      <c r="H517" t="s">
        <v>267</v>
      </c>
      <c r="I517" t="s">
        <v>85</v>
      </c>
      <c r="J517" t="s">
        <v>44</v>
      </c>
      <c r="K517">
        <v>3</v>
      </c>
      <c r="L517">
        <v>59432</v>
      </c>
      <c r="M517">
        <v>15</v>
      </c>
      <c r="N517" t="s">
        <v>45</v>
      </c>
      <c r="O517" t="s">
        <v>68</v>
      </c>
      <c r="P517" t="s">
        <v>33</v>
      </c>
      <c r="Q517" t="s">
        <v>603</v>
      </c>
      <c r="R517" t="s">
        <v>1865</v>
      </c>
      <c r="S517">
        <v>1</v>
      </c>
      <c r="T517" t="s">
        <v>96</v>
      </c>
      <c r="U517">
        <v>499</v>
      </c>
      <c r="V517" t="s">
        <v>62</v>
      </c>
    </row>
    <row r="518" spans="1:22" x14ac:dyDescent="0.3">
      <c r="A518" t="s">
        <v>1866</v>
      </c>
      <c r="B518" t="s">
        <v>119</v>
      </c>
      <c r="C518">
        <v>30</v>
      </c>
      <c r="D518" t="s">
        <v>24</v>
      </c>
      <c r="E518" t="s">
        <v>26</v>
      </c>
      <c r="F518" t="s">
        <v>65</v>
      </c>
      <c r="G518" t="s">
        <v>1867</v>
      </c>
      <c r="H518" t="s">
        <v>84</v>
      </c>
      <c r="I518" t="s">
        <v>29</v>
      </c>
      <c r="J518" t="s">
        <v>44</v>
      </c>
      <c r="K518">
        <v>3</v>
      </c>
      <c r="L518">
        <v>54990</v>
      </c>
      <c r="M518">
        <v>15</v>
      </c>
      <c r="N518" t="s">
        <v>166</v>
      </c>
      <c r="O518" t="s">
        <v>173</v>
      </c>
      <c r="P518" t="s">
        <v>58</v>
      </c>
      <c r="Q518" t="s">
        <v>122</v>
      </c>
      <c r="R518" t="s">
        <v>1868</v>
      </c>
      <c r="S518">
        <v>2</v>
      </c>
      <c r="T518" t="s">
        <v>36</v>
      </c>
      <c r="U518">
        <v>114</v>
      </c>
      <c r="V518" t="s">
        <v>62</v>
      </c>
    </row>
    <row r="519" spans="1:22" x14ac:dyDescent="0.3">
      <c r="A519" t="s">
        <v>1869</v>
      </c>
      <c r="B519" t="s">
        <v>222</v>
      </c>
      <c r="C519">
        <v>58</v>
      </c>
      <c r="D519" t="s">
        <v>51</v>
      </c>
      <c r="E519" t="s">
        <v>26</v>
      </c>
      <c r="F519" t="s">
        <v>91</v>
      </c>
      <c r="G519" t="s">
        <v>1284</v>
      </c>
      <c r="H519" t="s">
        <v>1270</v>
      </c>
      <c r="I519" t="s">
        <v>93</v>
      </c>
      <c r="J519" t="s">
        <v>44</v>
      </c>
      <c r="K519">
        <v>2</v>
      </c>
      <c r="L519">
        <v>40522</v>
      </c>
      <c r="M519">
        <v>10</v>
      </c>
      <c r="N519" t="s">
        <v>56</v>
      </c>
      <c r="O519" t="s">
        <v>46</v>
      </c>
      <c r="P519" t="s">
        <v>33</v>
      </c>
      <c r="Q519" t="s">
        <v>225</v>
      </c>
      <c r="R519" t="s">
        <v>1870</v>
      </c>
      <c r="S519">
        <v>1</v>
      </c>
      <c r="T519" t="s">
        <v>96</v>
      </c>
      <c r="U519">
        <v>236</v>
      </c>
      <c r="V519" t="s">
        <v>79</v>
      </c>
    </row>
    <row r="520" spans="1:22" x14ac:dyDescent="0.3">
      <c r="A520" t="s">
        <v>1871</v>
      </c>
      <c r="B520" t="s">
        <v>1118</v>
      </c>
      <c r="C520">
        <v>35</v>
      </c>
      <c r="D520" t="s">
        <v>51</v>
      </c>
      <c r="E520" t="s">
        <v>40</v>
      </c>
      <c r="F520" t="s">
        <v>26</v>
      </c>
      <c r="G520" t="s">
        <v>1460</v>
      </c>
      <c r="H520" t="s">
        <v>1270</v>
      </c>
      <c r="I520" t="s">
        <v>85</v>
      </c>
      <c r="J520" t="s">
        <v>30</v>
      </c>
      <c r="K520">
        <v>2</v>
      </c>
      <c r="L520">
        <v>66845</v>
      </c>
      <c r="M520">
        <v>10</v>
      </c>
      <c r="N520" t="s">
        <v>45</v>
      </c>
      <c r="O520" t="s">
        <v>133</v>
      </c>
      <c r="P520" t="s">
        <v>69</v>
      </c>
      <c r="Q520" t="s">
        <v>1120</v>
      </c>
      <c r="R520" t="s">
        <v>1872</v>
      </c>
      <c r="S520">
        <v>3</v>
      </c>
      <c r="T520" t="s">
        <v>72</v>
      </c>
      <c r="U520">
        <v>237</v>
      </c>
      <c r="V520" t="s">
        <v>79</v>
      </c>
    </row>
    <row r="521" spans="1:22" x14ac:dyDescent="0.3">
      <c r="A521" t="s">
        <v>1873</v>
      </c>
      <c r="B521" t="s">
        <v>850</v>
      </c>
      <c r="C521">
        <v>59</v>
      </c>
      <c r="D521" t="s">
        <v>24</v>
      </c>
      <c r="E521" t="s">
        <v>142</v>
      </c>
      <c r="F521" t="s">
        <v>26</v>
      </c>
      <c r="G521" t="s">
        <v>1804</v>
      </c>
      <c r="H521" t="s">
        <v>1489</v>
      </c>
      <c r="I521" t="s">
        <v>93</v>
      </c>
      <c r="J521" t="s">
        <v>30</v>
      </c>
      <c r="L521">
        <v>69198</v>
      </c>
      <c r="M521">
        <v>10</v>
      </c>
      <c r="N521" t="s">
        <v>45</v>
      </c>
      <c r="O521" t="s">
        <v>86</v>
      </c>
      <c r="P521" t="s">
        <v>69</v>
      </c>
      <c r="Q521" t="s">
        <v>258</v>
      </c>
      <c r="R521" t="s">
        <v>1874</v>
      </c>
      <c r="S521">
        <v>4</v>
      </c>
      <c r="T521" t="s">
        <v>61</v>
      </c>
      <c r="U521">
        <v>57</v>
      </c>
      <c r="V521" t="s">
        <v>62</v>
      </c>
    </row>
    <row r="522" spans="1:22" x14ac:dyDescent="0.3">
      <c r="A522" t="s">
        <v>1875</v>
      </c>
      <c r="B522" t="s">
        <v>1876</v>
      </c>
      <c r="C522">
        <v>22</v>
      </c>
      <c r="D522" t="s">
        <v>24</v>
      </c>
      <c r="E522" t="s">
        <v>40</v>
      </c>
      <c r="F522" t="s">
        <v>53</v>
      </c>
      <c r="G522" t="s">
        <v>1877</v>
      </c>
      <c r="H522" t="s">
        <v>1878</v>
      </c>
      <c r="I522" t="s">
        <v>29</v>
      </c>
      <c r="J522" t="s">
        <v>30</v>
      </c>
      <c r="K522">
        <v>4</v>
      </c>
      <c r="L522">
        <v>11467</v>
      </c>
      <c r="M522">
        <v>0</v>
      </c>
      <c r="N522" t="s">
        <v>166</v>
      </c>
      <c r="O522" t="s">
        <v>173</v>
      </c>
      <c r="P522" t="s">
        <v>58</v>
      </c>
      <c r="R522" t="s">
        <v>1879</v>
      </c>
      <c r="S522">
        <v>5</v>
      </c>
      <c r="T522" t="s">
        <v>72</v>
      </c>
      <c r="U522">
        <v>165</v>
      </c>
      <c r="V522" t="s">
        <v>37</v>
      </c>
    </row>
    <row r="523" spans="1:22" x14ac:dyDescent="0.3">
      <c r="A523" t="s">
        <v>1880</v>
      </c>
      <c r="B523" t="s">
        <v>527</v>
      </c>
      <c r="C523">
        <v>45</v>
      </c>
      <c r="D523" t="s">
        <v>24</v>
      </c>
      <c r="E523" t="s">
        <v>25</v>
      </c>
      <c r="F523" t="s">
        <v>82</v>
      </c>
      <c r="G523" t="s">
        <v>624</v>
      </c>
      <c r="H523" t="s">
        <v>231</v>
      </c>
      <c r="I523" t="s">
        <v>77</v>
      </c>
      <c r="J523" t="s">
        <v>30</v>
      </c>
      <c r="K523">
        <v>3</v>
      </c>
      <c r="L523">
        <v>25033</v>
      </c>
      <c r="M523">
        <v>10</v>
      </c>
      <c r="N523" t="s">
        <v>45</v>
      </c>
      <c r="O523" t="s">
        <v>46</v>
      </c>
      <c r="P523" t="s">
        <v>69</v>
      </c>
      <c r="Q523" t="s">
        <v>530</v>
      </c>
      <c r="R523" t="s">
        <v>1881</v>
      </c>
      <c r="S523">
        <v>5</v>
      </c>
      <c r="T523" t="s">
        <v>96</v>
      </c>
      <c r="U523">
        <v>488</v>
      </c>
      <c r="V523" t="s">
        <v>37</v>
      </c>
    </row>
    <row r="524" spans="1:22" x14ac:dyDescent="0.3">
      <c r="A524" t="s">
        <v>1882</v>
      </c>
      <c r="B524" t="s">
        <v>471</v>
      </c>
      <c r="C524">
        <v>36</v>
      </c>
      <c r="D524" t="s">
        <v>51</v>
      </c>
      <c r="E524" t="s">
        <v>142</v>
      </c>
      <c r="F524" t="s">
        <v>91</v>
      </c>
      <c r="G524" t="s">
        <v>421</v>
      </c>
      <c r="H524" t="s">
        <v>1735</v>
      </c>
      <c r="I524" t="s">
        <v>29</v>
      </c>
      <c r="J524" t="s">
        <v>30</v>
      </c>
      <c r="K524">
        <v>1</v>
      </c>
      <c r="L524">
        <v>20087</v>
      </c>
      <c r="M524">
        <v>10</v>
      </c>
      <c r="N524" t="s">
        <v>31</v>
      </c>
      <c r="O524" t="s">
        <v>133</v>
      </c>
      <c r="P524" t="s">
        <v>69</v>
      </c>
      <c r="Q524" t="s">
        <v>495</v>
      </c>
      <c r="R524" t="s">
        <v>1883</v>
      </c>
      <c r="S524">
        <v>5</v>
      </c>
      <c r="T524" t="s">
        <v>72</v>
      </c>
      <c r="U524">
        <v>486</v>
      </c>
      <c r="V524" t="s">
        <v>62</v>
      </c>
    </row>
    <row r="525" spans="1:22" x14ac:dyDescent="0.3">
      <c r="A525" t="s">
        <v>1884</v>
      </c>
      <c r="B525" t="s">
        <v>64</v>
      </c>
      <c r="C525">
        <v>23</v>
      </c>
      <c r="D525" t="s">
        <v>51</v>
      </c>
      <c r="E525" t="s">
        <v>142</v>
      </c>
      <c r="F525" t="s">
        <v>65</v>
      </c>
      <c r="G525" t="s">
        <v>556</v>
      </c>
      <c r="H525" t="s">
        <v>1087</v>
      </c>
      <c r="I525" t="s">
        <v>77</v>
      </c>
      <c r="J525" t="s">
        <v>30</v>
      </c>
      <c r="K525">
        <v>2</v>
      </c>
      <c r="L525">
        <v>21937</v>
      </c>
      <c r="M525">
        <v>15</v>
      </c>
      <c r="N525" t="s">
        <v>56</v>
      </c>
      <c r="O525" t="s">
        <v>102</v>
      </c>
      <c r="P525" t="s">
        <v>69</v>
      </c>
      <c r="Q525" t="s">
        <v>70</v>
      </c>
      <c r="R525" t="s">
        <v>1885</v>
      </c>
      <c r="S525">
        <v>2</v>
      </c>
      <c r="T525" t="s">
        <v>61</v>
      </c>
      <c r="U525">
        <v>470</v>
      </c>
      <c r="V525" t="s">
        <v>62</v>
      </c>
    </row>
    <row r="526" spans="1:22" x14ac:dyDescent="0.3">
      <c r="A526" t="s">
        <v>1886</v>
      </c>
      <c r="B526" t="s">
        <v>382</v>
      </c>
      <c r="C526">
        <v>55</v>
      </c>
      <c r="D526" t="s">
        <v>24</v>
      </c>
      <c r="E526" t="s">
        <v>40</v>
      </c>
      <c r="F526" t="s">
        <v>91</v>
      </c>
      <c r="G526" t="s">
        <v>1332</v>
      </c>
      <c r="H526" t="s">
        <v>441</v>
      </c>
      <c r="I526" t="s">
        <v>77</v>
      </c>
      <c r="J526" t="s">
        <v>30</v>
      </c>
      <c r="K526">
        <v>4</v>
      </c>
      <c r="L526">
        <v>8879</v>
      </c>
      <c r="M526">
        <v>0</v>
      </c>
      <c r="N526" t="s">
        <v>166</v>
      </c>
      <c r="O526" t="s">
        <v>173</v>
      </c>
      <c r="P526" t="s">
        <v>33</v>
      </c>
      <c r="Q526" t="s">
        <v>385</v>
      </c>
      <c r="R526" t="s">
        <v>1887</v>
      </c>
      <c r="S526">
        <v>3</v>
      </c>
      <c r="T526" t="s">
        <v>61</v>
      </c>
      <c r="U526">
        <v>217</v>
      </c>
      <c r="V526" t="s">
        <v>79</v>
      </c>
    </row>
    <row r="527" spans="1:22" x14ac:dyDescent="0.3">
      <c r="A527" t="s">
        <v>1888</v>
      </c>
      <c r="B527" t="s">
        <v>1889</v>
      </c>
      <c r="C527">
        <v>58</v>
      </c>
      <c r="D527" t="s">
        <v>51</v>
      </c>
      <c r="E527" t="s">
        <v>25</v>
      </c>
      <c r="F527" t="s">
        <v>91</v>
      </c>
      <c r="G527" t="s">
        <v>1890</v>
      </c>
      <c r="H527" t="s">
        <v>1782</v>
      </c>
      <c r="I527" t="s">
        <v>43</v>
      </c>
      <c r="J527" t="s">
        <v>44</v>
      </c>
      <c r="K527">
        <v>5</v>
      </c>
      <c r="L527">
        <v>37252</v>
      </c>
      <c r="M527">
        <v>5</v>
      </c>
      <c r="N527" t="s">
        <v>56</v>
      </c>
      <c r="O527" t="s">
        <v>32</v>
      </c>
      <c r="P527" t="s">
        <v>58</v>
      </c>
      <c r="Q527" t="s">
        <v>573</v>
      </c>
      <c r="R527" t="s">
        <v>1891</v>
      </c>
      <c r="S527">
        <v>5</v>
      </c>
      <c r="T527" t="s">
        <v>61</v>
      </c>
      <c r="U527">
        <v>425</v>
      </c>
      <c r="V527" t="s">
        <v>79</v>
      </c>
    </row>
    <row r="528" spans="1:22" x14ac:dyDescent="0.3">
      <c r="A528" t="s">
        <v>1892</v>
      </c>
      <c r="B528" t="s">
        <v>650</v>
      </c>
      <c r="C528">
        <v>44</v>
      </c>
      <c r="D528" t="s">
        <v>24</v>
      </c>
      <c r="E528" t="s">
        <v>131</v>
      </c>
      <c r="F528" t="s">
        <v>82</v>
      </c>
      <c r="G528" t="s">
        <v>354</v>
      </c>
      <c r="H528" t="s">
        <v>1247</v>
      </c>
      <c r="I528" t="s">
        <v>77</v>
      </c>
      <c r="J528" t="s">
        <v>44</v>
      </c>
      <c r="K528">
        <v>2</v>
      </c>
      <c r="L528">
        <v>60397</v>
      </c>
      <c r="M528">
        <v>15</v>
      </c>
      <c r="N528" t="s">
        <v>45</v>
      </c>
      <c r="O528" t="s">
        <v>173</v>
      </c>
      <c r="P528" t="s">
        <v>69</v>
      </c>
      <c r="Q528" t="s">
        <v>653</v>
      </c>
      <c r="R528" t="s">
        <v>1893</v>
      </c>
      <c r="S528">
        <v>3</v>
      </c>
      <c r="T528" t="s">
        <v>72</v>
      </c>
      <c r="U528">
        <v>204</v>
      </c>
      <c r="V528" t="s">
        <v>62</v>
      </c>
    </row>
    <row r="529" spans="1:22" x14ac:dyDescent="0.3">
      <c r="A529" t="s">
        <v>1894</v>
      </c>
      <c r="B529" t="s">
        <v>707</v>
      </c>
      <c r="C529">
        <v>35</v>
      </c>
      <c r="D529" t="s">
        <v>51</v>
      </c>
      <c r="E529" t="s">
        <v>131</v>
      </c>
      <c r="F529" t="s">
        <v>65</v>
      </c>
      <c r="G529" t="s">
        <v>775</v>
      </c>
      <c r="H529" t="s">
        <v>279</v>
      </c>
      <c r="I529" t="s">
        <v>108</v>
      </c>
      <c r="J529" t="s">
        <v>30</v>
      </c>
      <c r="K529">
        <v>3</v>
      </c>
      <c r="L529">
        <v>73803</v>
      </c>
      <c r="M529">
        <v>15</v>
      </c>
      <c r="N529" t="s">
        <v>56</v>
      </c>
      <c r="O529" t="s">
        <v>281</v>
      </c>
      <c r="P529" t="s">
        <v>69</v>
      </c>
      <c r="Q529" t="s">
        <v>709</v>
      </c>
      <c r="R529" t="s">
        <v>1895</v>
      </c>
      <c r="S529">
        <v>1</v>
      </c>
      <c r="T529" t="s">
        <v>72</v>
      </c>
      <c r="U529">
        <v>73</v>
      </c>
      <c r="V529" t="s">
        <v>79</v>
      </c>
    </row>
    <row r="530" spans="1:22" x14ac:dyDescent="0.3">
      <c r="A530" t="s">
        <v>1896</v>
      </c>
      <c r="B530" t="s">
        <v>684</v>
      </c>
      <c r="C530">
        <v>28</v>
      </c>
      <c r="D530" t="s">
        <v>24</v>
      </c>
      <c r="E530" t="s">
        <v>26</v>
      </c>
      <c r="F530" t="s">
        <v>53</v>
      </c>
      <c r="G530" t="s">
        <v>1126</v>
      </c>
      <c r="H530" t="s">
        <v>1400</v>
      </c>
      <c r="I530" t="s">
        <v>108</v>
      </c>
      <c r="J530" t="s">
        <v>30</v>
      </c>
      <c r="K530">
        <v>3</v>
      </c>
      <c r="L530">
        <v>23108</v>
      </c>
      <c r="M530">
        <v>15</v>
      </c>
      <c r="N530" t="s">
        <v>56</v>
      </c>
      <c r="O530" t="s">
        <v>102</v>
      </c>
      <c r="P530" t="s">
        <v>58</v>
      </c>
      <c r="Q530" t="s">
        <v>785</v>
      </c>
      <c r="R530" t="s">
        <v>1897</v>
      </c>
      <c r="S530">
        <v>5</v>
      </c>
      <c r="T530" t="s">
        <v>61</v>
      </c>
      <c r="U530">
        <v>424</v>
      </c>
      <c r="V530" t="s">
        <v>62</v>
      </c>
    </row>
    <row r="531" spans="1:22" x14ac:dyDescent="0.3">
      <c r="A531" t="s">
        <v>1898</v>
      </c>
      <c r="B531" t="s">
        <v>198</v>
      </c>
      <c r="C531">
        <v>37</v>
      </c>
      <c r="D531" t="s">
        <v>24</v>
      </c>
      <c r="E531" t="s">
        <v>229</v>
      </c>
      <c r="F531" t="s">
        <v>26</v>
      </c>
      <c r="G531" t="s">
        <v>724</v>
      </c>
      <c r="H531" t="s">
        <v>1899</v>
      </c>
      <c r="I531" t="s">
        <v>85</v>
      </c>
      <c r="J531" t="s">
        <v>44</v>
      </c>
      <c r="L531">
        <v>65459</v>
      </c>
      <c r="M531">
        <v>10</v>
      </c>
      <c r="N531" t="s">
        <v>45</v>
      </c>
      <c r="O531" t="s">
        <v>281</v>
      </c>
      <c r="P531" t="s">
        <v>174</v>
      </c>
      <c r="Q531" t="s">
        <v>201</v>
      </c>
      <c r="S531">
        <v>5</v>
      </c>
      <c r="T531" t="s">
        <v>61</v>
      </c>
      <c r="U531">
        <v>311</v>
      </c>
      <c r="V531" t="s">
        <v>62</v>
      </c>
    </row>
    <row r="532" spans="1:22" x14ac:dyDescent="0.3">
      <c r="A532" t="s">
        <v>1900</v>
      </c>
      <c r="B532" t="s">
        <v>198</v>
      </c>
      <c r="C532">
        <v>25</v>
      </c>
      <c r="D532" t="s">
        <v>51</v>
      </c>
      <c r="E532" t="s">
        <v>142</v>
      </c>
      <c r="F532" t="s">
        <v>65</v>
      </c>
      <c r="G532" t="s">
        <v>1901</v>
      </c>
      <c r="H532" t="s">
        <v>1902</v>
      </c>
      <c r="I532" t="s">
        <v>29</v>
      </c>
      <c r="J532" t="s">
        <v>30</v>
      </c>
      <c r="K532">
        <v>1</v>
      </c>
      <c r="L532">
        <v>38916</v>
      </c>
      <c r="M532">
        <v>10</v>
      </c>
      <c r="N532" t="s">
        <v>45</v>
      </c>
      <c r="O532" t="s">
        <v>46</v>
      </c>
      <c r="P532" t="s">
        <v>174</v>
      </c>
      <c r="Q532" t="s">
        <v>201</v>
      </c>
      <c r="R532" t="s">
        <v>1903</v>
      </c>
      <c r="S532">
        <v>4</v>
      </c>
      <c r="T532" t="s">
        <v>72</v>
      </c>
      <c r="U532">
        <v>62</v>
      </c>
      <c r="V532" t="s">
        <v>79</v>
      </c>
    </row>
    <row r="533" spans="1:22" x14ac:dyDescent="0.3">
      <c r="A533" t="s">
        <v>1904</v>
      </c>
      <c r="B533" t="s">
        <v>1686</v>
      </c>
      <c r="C533">
        <v>24</v>
      </c>
      <c r="D533" t="s">
        <v>51</v>
      </c>
      <c r="E533" t="s">
        <v>99</v>
      </c>
      <c r="F533" t="s">
        <v>26</v>
      </c>
      <c r="G533" t="s">
        <v>826</v>
      </c>
      <c r="H533" t="s">
        <v>244</v>
      </c>
      <c r="I533" t="s">
        <v>29</v>
      </c>
      <c r="J533" t="s">
        <v>44</v>
      </c>
      <c r="K533">
        <v>1</v>
      </c>
      <c r="L533">
        <v>7839</v>
      </c>
      <c r="M533">
        <v>15</v>
      </c>
      <c r="N533" t="s">
        <v>31</v>
      </c>
      <c r="O533" t="s">
        <v>281</v>
      </c>
      <c r="P533" t="s">
        <v>174</v>
      </c>
      <c r="Q533" t="s">
        <v>1687</v>
      </c>
      <c r="R533" t="s">
        <v>1905</v>
      </c>
      <c r="S533">
        <v>2</v>
      </c>
      <c r="T533" t="s">
        <v>72</v>
      </c>
      <c r="U533">
        <v>468</v>
      </c>
      <c r="V533" t="s">
        <v>37</v>
      </c>
    </row>
    <row r="534" spans="1:22" x14ac:dyDescent="0.3">
      <c r="A534" t="s">
        <v>1906</v>
      </c>
      <c r="B534" t="s">
        <v>397</v>
      </c>
      <c r="C534">
        <v>21</v>
      </c>
      <c r="D534" t="s">
        <v>24</v>
      </c>
      <c r="E534" t="s">
        <v>99</v>
      </c>
      <c r="F534" t="s">
        <v>53</v>
      </c>
      <c r="G534" t="s">
        <v>1163</v>
      </c>
      <c r="H534" t="s">
        <v>1627</v>
      </c>
      <c r="I534" t="s">
        <v>29</v>
      </c>
      <c r="J534" t="s">
        <v>30</v>
      </c>
      <c r="K534">
        <v>3</v>
      </c>
      <c r="L534">
        <v>77335</v>
      </c>
      <c r="M534">
        <v>0</v>
      </c>
      <c r="N534" t="s">
        <v>45</v>
      </c>
      <c r="O534" t="s">
        <v>133</v>
      </c>
      <c r="P534" t="s">
        <v>174</v>
      </c>
      <c r="R534" t="s">
        <v>1907</v>
      </c>
      <c r="S534">
        <v>5</v>
      </c>
      <c r="T534" t="s">
        <v>36</v>
      </c>
      <c r="U534">
        <v>210</v>
      </c>
      <c r="V534" t="s">
        <v>79</v>
      </c>
    </row>
    <row r="535" spans="1:22" x14ac:dyDescent="0.3">
      <c r="A535" t="s">
        <v>1908</v>
      </c>
      <c r="B535" t="s">
        <v>105</v>
      </c>
      <c r="C535">
        <v>28</v>
      </c>
      <c r="D535" t="s">
        <v>51</v>
      </c>
      <c r="E535" t="s">
        <v>25</v>
      </c>
      <c r="F535" t="s">
        <v>82</v>
      </c>
      <c r="G535" t="s">
        <v>1909</v>
      </c>
      <c r="H535" t="s">
        <v>1910</v>
      </c>
      <c r="I535" t="s">
        <v>108</v>
      </c>
      <c r="J535" t="s">
        <v>30</v>
      </c>
      <c r="K535">
        <v>3</v>
      </c>
      <c r="L535">
        <v>17211</v>
      </c>
      <c r="M535">
        <v>10</v>
      </c>
      <c r="N535" t="s">
        <v>45</v>
      </c>
      <c r="O535" t="s">
        <v>102</v>
      </c>
      <c r="P535" t="s">
        <v>174</v>
      </c>
      <c r="Q535" t="s">
        <v>110</v>
      </c>
      <c r="R535" t="s">
        <v>1911</v>
      </c>
      <c r="S535">
        <v>1</v>
      </c>
      <c r="T535" t="s">
        <v>36</v>
      </c>
      <c r="U535">
        <v>233</v>
      </c>
      <c r="V535" t="s">
        <v>62</v>
      </c>
    </row>
    <row r="536" spans="1:22" x14ac:dyDescent="0.3">
      <c r="A536" t="s">
        <v>1912</v>
      </c>
      <c r="B536" t="s">
        <v>466</v>
      </c>
      <c r="C536">
        <v>21</v>
      </c>
      <c r="D536" t="s">
        <v>51</v>
      </c>
      <c r="E536" t="s">
        <v>142</v>
      </c>
      <c r="F536" t="s">
        <v>65</v>
      </c>
      <c r="G536" t="s">
        <v>1913</v>
      </c>
      <c r="H536" t="s">
        <v>557</v>
      </c>
      <c r="I536" t="s">
        <v>43</v>
      </c>
      <c r="J536" t="s">
        <v>44</v>
      </c>
      <c r="K536">
        <v>3</v>
      </c>
      <c r="L536">
        <v>69703</v>
      </c>
      <c r="M536">
        <v>10</v>
      </c>
      <c r="N536" t="s">
        <v>166</v>
      </c>
      <c r="O536" t="s">
        <v>46</v>
      </c>
      <c r="P536" t="s">
        <v>33</v>
      </c>
      <c r="Q536" t="s">
        <v>468</v>
      </c>
      <c r="R536" t="s">
        <v>1914</v>
      </c>
      <c r="S536">
        <v>1</v>
      </c>
      <c r="T536" t="s">
        <v>36</v>
      </c>
      <c r="U536">
        <v>375</v>
      </c>
      <c r="V536" t="s">
        <v>79</v>
      </c>
    </row>
    <row r="537" spans="1:22" x14ac:dyDescent="0.3">
      <c r="A537" t="s">
        <v>1915</v>
      </c>
      <c r="B537" t="s">
        <v>141</v>
      </c>
      <c r="C537">
        <v>19</v>
      </c>
      <c r="D537" t="s">
        <v>24</v>
      </c>
      <c r="E537" t="s">
        <v>99</v>
      </c>
      <c r="F537" t="s">
        <v>53</v>
      </c>
      <c r="G537" t="s">
        <v>1519</v>
      </c>
      <c r="H537" t="s">
        <v>1916</v>
      </c>
      <c r="I537" t="s">
        <v>43</v>
      </c>
      <c r="J537" t="s">
        <v>44</v>
      </c>
      <c r="K537">
        <v>1</v>
      </c>
      <c r="L537">
        <v>32337</v>
      </c>
      <c r="M537">
        <v>0</v>
      </c>
      <c r="N537" t="s">
        <v>56</v>
      </c>
      <c r="O537" t="s">
        <v>68</v>
      </c>
      <c r="P537" t="s">
        <v>58</v>
      </c>
      <c r="Q537" t="s">
        <v>144</v>
      </c>
      <c r="R537" t="s">
        <v>1917</v>
      </c>
      <c r="S537">
        <v>4</v>
      </c>
      <c r="T537" t="s">
        <v>36</v>
      </c>
      <c r="U537">
        <v>82</v>
      </c>
      <c r="V537" t="s">
        <v>62</v>
      </c>
    </row>
    <row r="538" spans="1:22" x14ac:dyDescent="0.3">
      <c r="A538" t="s">
        <v>1918</v>
      </c>
      <c r="B538" t="s">
        <v>411</v>
      </c>
      <c r="C538">
        <v>45</v>
      </c>
      <c r="D538" t="s">
        <v>24</v>
      </c>
      <c r="E538" t="s">
        <v>142</v>
      </c>
      <c r="F538" t="s">
        <v>65</v>
      </c>
      <c r="G538" t="s">
        <v>1919</v>
      </c>
      <c r="H538" t="s">
        <v>703</v>
      </c>
      <c r="I538" t="s">
        <v>77</v>
      </c>
      <c r="J538" t="s">
        <v>44</v>
      </c>
      <c r="K538">
        <v>1</v>
      </c>
      <c r="M538">
        <v>0</v>
      </c>
      <c r="N538" t="s">
        <v>56</v>
      </c>
      <c r="O538" t="s">
        <v>57</v>
      </c>
      <c r="P538" t="s">
        <v>33</v>
      </c>
      <c r="Q538" t="s">
        <v>414</v>
      </c>
      <c r="R538" t="s">
        <v>1920</v>
      </c>
      <c r="S538">
        <v>4</v>
      </c>
      <c r="T538" t="s">
        <v>36</v>
      </c>
      <c r="U538">
        <v>120</v>
      </c>
      <c r="V538" t="s">
        <v>62</v>
      </c>
    </row>
    <row r="539" spans="1:22" x14ac:dyDescent="0.3">
      <c r="A539" t="s">
        <v>1921</v>
      </c>
      <c r="B539" t="s">
        <v>39</v>
      </c>
      <c r="C539">
        <v>18</v>
      </c>
      <c r="D539" t="s">
        <v>24</v>
      </c>
      <c r="E539" t="s">
        <v>25</v>
      </c>
      <c r="F539" t="s">
        <v>91</v>
      </c>
      <c r="G539" t="s">
        <v>1568</v>
      </c>
      <c r="H539" t="s">
        <v>922</v>
      </c>
      <c r="I539" t="s">
        <v>29</v>
      </c>
      <c r="J539" t="s">
        <v>30</v>
      </c>
      <c r="K539">
        <v>1</v>
      </c>
      <c r="L539">
        <v>16261</v>
      </c>
      <c r="M539">
        <v>0</v>
      </c>
      <c r="N539" t="s">
        <v>56</v>
      </c>
      <c r="O539" t="s">
        <v>109</v>
      </c>
      <c r="P539" t="s">
        <v>174</v>
      </c>
      <c r="Q539" t="s">
        <v>47</v>
      </c>
      <c r="R539" t="s">
        <v>1922</v>
      </c>
      <c r="S539">
        <v>4</v>
      </c>
      <c r="T539" t="s">
        <v>96</v>
      </c>
      <c r="U539">
        <v>131</v>
      </c>
      <c r="V539" t="s">
        <v>79</v>
      </c>
    </row>
    <row r="540" spans="1:22" x14ac:dyDescent="0.3">
      <c r="A540" t="s">
        <v>1923</v>
      </c>
      <c r="B540" t="s">
        <v>90</v>
      </c>
      <c r="C540">
        <v>53</v>
      </c>
      <c r="D540" t="s">
        <v>51</v>
      </c>
      <c r="E540" t="s">
        <v>131</v>
      </c>
      <c r="F540" t="s">
        <v>53</v>
      </c>
      <c r="G540" t="s">
        <v>1924</v>
      </c>
      <c r="H540" t="s">
        <v>1058</v>
      </c>
      <c r="I540" t="s">
        <v>43</v>
      </c>
      <c r="J540" t="s">
        <v>44</v>
      </c>
      <c r="K540">
        <v>4</v>
      </c>
      <c r="L540">
        <v>36415</v>
      </c>
      <c r="M540">
        <v>5</v>
      </c>
      <c r="N540" t="s">
        <v>31</v>
      </c>
      <c r="O540" t="s">
        <v>281</v>
      </c>
      <c r="P540" t="s">
        <v>58</v>
      </c>
      <c r="Q540" t="s">
        <v>94</v>
      </c>
      <c r="R540" t="s">
        <v>1925</v>
      </c>
      <c r="S540">
        <v>1</v>
      </c>
      <c r="T540" t="s">
        <v>61</v>
      </c>
      <c r="U540">
        <v>315</v>
      </c>
      <c r="V540" t="s">
        <v>62</v>
      </c>
    </row>
    <row r="541" spans="1:22" x14ac:dyDescent="0.3">
      <c r="A541" t="s">
        <v>1926</v>
      </c>
      <c r="B541" t="s">
        <v>105</v>
      </c>
      <c r="C541">
        <v>55</v>
      </c>
      <c r="D541" t="s">
        <v>24</v>
      </c>
      <c r="E541" t="s">
        <v>142</v>
      </c>
      <c r="F541" t="s">
        <v>26</v>
      </c>
      <c r="G541" t="s">
        <v>1004</v>
      </c>
      <c r="H541" t="s">
        <v>250</v>
      </c>
      <c r="I541" t="s">
        <v>93</v>
      </c>
      <c r="J541" t="s">
        <v>44</v>
      </c>
      <c r="K541">
        <v>2</v>
      </c>
      <c r="L541">
        <v>29765</v>
      </c>
      <c r="M541">
        <v>10</v>
      </c>
      <c r="N541" t="s">
        <v>45</v>
      </c>
      <c r="O541" t="s">
        <v>86</v>
      </c>
      <c r="P541" t="s">
        <v>33</v>
      </c>
      <c r="Q541" t="s">
        <v>110</v>
      </c>
      <c r="R541" t="s">
        <v>1927</v>
      </c>
      <c r="S541">
        <v>5</v>
      </c>
      <c r="T541" t="s">
        <v>72</v>
      </c>
      <c r="U541">
        <v>388</v>
      </c>
      <c r="V541" t="s">
        <v>37</v>
      </c>
    </row>
    <row r="542" spans="1:22" x14ac:dyDescent="0.3">
      <c r="A542" t="s">
        <v>1928</v>
      </c>
      <c r="B542" t="s">
        <v>440</v>
      </c>
      <c r="C542">
        <v>41</v>
      </c>
      <c r="D542" t="s">
        <v>24</v>
      </c>
      <c r="E542" t="s">
        <v>52</v>
      </c>
      <c r="F542" t="s">
        <v>26</v>
      </c>
      <c r="G542" t="s">
        <v>1929</v>
      </c>
      <c r="H542" t="s">
        <v>833</v>
      </c>
      <c r="I542" t="s">
        <v>77</v>
      </c>
      <c r="J542" t="s">
        <v>44</v>
      </c>
      <c r="K542">
        <v>3</v>
      </c>
      <c r="L542">
        <v>9996</v>
      </c>
      <c r="M542">
        <v>15</v>
      </c>
      <c r="N542" t="s">
        <v>45</v>
      </c>
      <c r="O542" t="s">
        <v>68</v>
      </c>
      <c r="P542" t="s">
        <v>58</v>
      </c>
      <c r="Q542" t="s">
        <v>437</v>
      </c>
      <c r="R542" t="s">
        <v>1930</v>
      </c>
      <c r="S542">
        <v>2</v>
      </c>
      <c r="T542" t="s">
        <v>96</v>
      </c>
      <c r="U542">
        <v>143</v>
      </c>
      <c r="V542" t="s">
        <v>37</v>
      </c>
    </row>
    <row r="543" spans="1:22" x14ac:dyDescent="0.3">
      <c r="A543" t="s">
        <v>1931</v>
      </c>
      <c r="B543" t="s">
        <v>249</v>
      </c>
      <c r="C543">
        <v>44</v>
      </c>
      <c r="D543" t="s">
        <v>51</v>
      </c>
      <c r="E543" t="s">
        <v>40</v>
      </c>
      <c r="F543" t="s">
        <v>65</v>
      </c>
      <c r="G543" t="s">
        <v>1932</v>
      </c>
      <c r="H543" t="s">
        <v>1030</v>
      </c>
      <c r="I543" t="s">
        <v>77</v>
      </c>
      <c r="J543" t="s">
        <v>30</v>
      </c>
      <c r="K543">
        <v>4</v>
      </c>
      <c r="L543">
        <v>48638</v>
      </c>
      <c r="M543">
        <v>5</v>
      </c>
      <c r="N543" t="s">
        <v>31</v>
      </c>
      <c r="O543" t="s">
        <v>86</v>
      </c>
      <c r="P543" t="s">
        <v>69</v>
      </c>
      <c r="Q543" t="s">
        <v>252</v>
      </c>
      <c r="R543" t="s">
        <v>1933</v>
      </c>
      <c r="S543">
        <v>1</v>
      </c>
      <c r="T543" t="s">
        <v>96</v>
      </c>
      <c r="U543">
        <v>305</v>
      </c>
      <c r="V543" t="s">
        <v>79</v>
      </c>
    </row>
    <row r="544" spans="1:22" x14ac:dyDescent="0.3">
      <c r="A544" t="s">
        <v>1934</v>
      </c>
      <c r="B544" t="s">
        <v>1309</v>
      </c>
      <c r="C544">
        <v>27</v>
      </c>
      <c r="D544" t="s">
        <v>51</v>
      </c>
      <c r="E544" t="s">
        <v>26</v>
      </c>
      <c r="F544" t="s">
        <v>91</v>
      </c>
      <c r="G544" t="s">
        <v>1621</v>
      </c>
      <c r="H544" t="s">
        <v>268</v>
      </c>
      <c r="I544" t="s">
        <v>77</v>
      </c>
      <c r="J544" t="s">
        <v>30</v>
      </c>
      <c r="K544">
        <v>2</v>
      </c>
      <c r="L544">
        <v>59418</v>
      </c>
      <c r="M544">
        <v>0</v>
      </c>
      <c r="N544" t="s">
        <v>31</v>
      </c>
      <c r="O544" t="s">
        <v>57</v>
      </c>
      <c r="P544" t="s">
        <v>174</v>
      </c>
      <c r="Q544" t="s">
        <v>1311</v>
      </c>
      <c r="R544" t="s">
        <v>1935</v>
      </c>
      <c r="S544">
        <v>1</v>
      </c>
      <c r="T544" t="s">
        <v>96</v>
      </c>
      <c r="U544">
        <v>195</v>
      </c>
      <c r="V544" t="s">
        <v>62</v>
      </c>
    </row>
    <row r="545" spans="1:22" x14ac:dyDescent="0.3">
      <c r="A545" t="s">
        <v>1936</v>
      </c>
      <c r="B545" t="s">
        <v>397</v>
      </c>
      <c r="C545">
        <v>45</v>
      </c>
      <c r="D545" t="s">
        <v>51</v>
      </c>
      <c r="E545" t="s">
        <v>142</v>
      </c>
      <c r="F545" t="s">
        <v>91</v>
      </c>
      <c r="G545" t="s">
        <v>146</v>
      </c>
      <c r="H545" t="s">
        <v>1937</v>
      </c>
      <c r="I545" t="s">
        <v>93</v>
      </c>
      <c r="J545" t="s">
        <v>44</v>
      </c>
      <c r="K545">
        <v>4</v>
      </c>
      <c r="L545">
        <v>44911</v>
      </c>
      <c r="M545">
        <v>10</v>
      </c>
      <c r="N545" t="s">
        <v>56</v>
      </c>
      <c r="O545" t="s">
        <v>57</v>
      </c>
      <c r="P545" t="s">
        <v>58</v>
      </c>
      <c r="Q545" t="s">
        <v>400</v>
      </c>
      <c r="R545" t="s">
        <v>1938</v>
      </c>
      <c r="S545">
        <v>1</v>
      </c>
      <c r="T545" t="s">
        <v>36</v>
      </c>
      <c r="U545">
        <v>326</v>
      </c>
      <c r="V545" t="s">
        <v>62</v>
      </c>
    </row>
    <row r="546" spans="1:22" x14ac:dyDescent="0.3">
      <c r="A546" t="s">
        <v>1939</v>
      </c>
      <c r="B546" t="s">
        <v>729</v>
      </c>
      <c r="C546">
        <v>42</v>
      </c>
      <c r="D546" t="s">
        <v>51</v>
      </c>
      <c r="E546" t="s">
        <v>142</v>
      </c>
      <c r="F546" t="s">
        <v>65</v>
      </c>
      <c r="G546" t="s">
        <v>1176</v>
      </c>
      <c r="H546" t="s">
        <v>841</v>
      </c>
      <c r="I546" t="s">
        <v>93</v>
      </c>
      <c r="J546" t="s">
        <v>30</v>
      </c>
      <c r="K546">
        <v>4</v>
      </c>
      <c r="L546">
        <v>53927</v>
      </c>
      <c r="M546">
        <v>0</v>
      </c>
      <c r="N546" t="s">
        <v>31</v>
      </c>
      <c r="O546" t="s">
        <v>57</v>
      </c>
      <c r="P546" t="s">
        <v>33</v>
      </c>
      <c r="Q546" t="s">
        <v>732</v>
      </c>
      <c r="R546" t="s">
        <v>1940</v>
      </c>
      <c r="S546">
        <v>3</v>
      </c>
      <c r="T546" t="s">
        <v>61</v>
      </c>
      <c r="U546">
        <v>470</v>
      </c>
      <c r="V546" t="s">
        <v>79</v>
      </c>
    </row>
    <row r="547" spans="1:22" x14ac:dyDescent="0.3">
      <c r="A547" t="s">
        <v>1941</v>
      </c>
      <c r="B547" t="s">
        <v>601</v>
      </c>
      <c r="C547">
        <v>20</v>
      </c>
      <c r="D547" t="s">
        <v>51</v>
      </c>
      <c r="E547" t="s">
        <v>52</v>
      </c>
      <c r="F547" t="s">
        <v>26</v>
      </c>
      <c r="G547" t="s">
        <v>1942</v>
      </c>
      <c r="H547" t="s">
        <v>1943</v>
      </c>
      <c r="I547" t="s">
        <v>85</v>
      </c>
      <c r="J547" t="s">
        <v>30</v>
      </c>
      <c r="K547">
        <v>3</v>
      </c>
      <c r="L547">
        <v>74209</v>
      </c>
      <c r="M547">
        <v>0</v>
      </c>
      <c r="N547" t="s">
        <v>166</v>
      </c>
      <c r="O547" t="s">
        <v>102</v>
      </c>
      <c r="P547" t="s">
        <v>33</v>
      </c>
      <c r="Q547" t="s">
        <v>603</v>
      </c>
      <c r="R547" t="s">
        <v>1944</v>
      </c>
      <c r="S547">
        <v>1</v>
      </c>
      <c r="T547" t="s">
        <v>36</v>
      </c>
      <c r="U547">
        <v>379</v>
      </c>
      <c r="V547" t="s">
        <v>79</v>
      </c>
    </row>
    <row r="548" spans="1:22" x14ac:dyDescent="0.3">
      <c r="A548" t="s">
        <v>1945</v>
      </c>
      <c r="B548" t="s">
        <v>222</v>
      </c>
      <c r="C548">
        <v>53</v>
      </c>
      <c r="D548" t="s">
        <v>183</v>
      </c>
      <c r="E548" t="s">
        <v>52</v>
      </c>
      <c r="F548" t="s">
        <v>53</v>
      </c>
      <c r="G548" t="s">
        <v>92</v>
      </c>
      <c r="H548" t="s">
        <v>1799</v>
      </c>
      <c r="I548" t="s">
        <v>108</v>
      </c>
      <c r="J548" t="s">
        <v>30</v>
      </c>
      <c r="K548">
        <v>2</v>
      </c>
      <c r="L548">
        <v>62337</v>
      </c>
      <c r="M548">
        <v>10</v>
      </c>
      <c r="N548" t="s">
        <v>166</v>
      </c>
      <c r="O548" t="s">
        <v>46</v>
      </c>
      <c r="P548" t="s">
        <v>33</v>
      </c>
      <c r="Q548" t="s">
        <v>225</v>
      </c>
      <c r="R548" t="s">
        <v>1946</v>
      </c>
      <c r="S548">
        <v>4</v>
      </c>
      <c r="T548" t="s">
        <v>96</v>
      </c>
      <c r="U548">
        <v>97</v>
      </c>
      <c r="V548" t="s">
        <v>62</v>
      </c>
    </row>
    <row r="549" spans="1:22" x14ac:dyDescent="0.3">
      <c r="A549" t="s">
        <v>1947</v>
      </c>
      <c r="B549" t="s">
        <v>327</v>
      </c>
      <c r="C549">
        <v>49</v>
      </c>
      <c r="D549" t="s">
        <v>51</v>
      </c>
      <c r="E549" t="s">
        <v>40</v>
      </c>
      <c r="F549" t="s">
        <v>26</v>
      </c>
      <c r="G549" t="s">
        <v>1756</v>
      </c>
      <c r="H549" t="s">
        <v>298</v>
      </c>
      <c r="I549" t="s">
        <v>93</v>
      </c>
      <c r="J549" t="s">
        <v>30</v>
      </c>
      <c r="L549">
        <v>49166</v>
      </c>
      <c r="M549">
        <v>5</v>
      </c>
      <c r="N549" t="s">
        <v>56</v>
      </c>
      <c r="O549" t="s">
        <v>133</v>
      </c>
      <c r="P549" t="s">
        <v>69</v>
      </c>
      <c r="Q549" t="s">
        <v>330</v>
      </c>
      <c r="S549">
        <v>2</v>
      </c>
      <c r="T549" t="s">
        <v>36</v>
      </c>
      <c r="U549">
        <v>351</v>
      </c>
      <c r="V549" t="s">
        <v>79</v>
      </c>
    </row>
    <row r="550" spans="1:22" x14ac:dyDescent="0.3">
      <c r="A550" t="s">
        <v>1948</v>
      </c>
      <c r="B550" t="s">
        <v>1309</v>
      </c>
      <c r="C550">
        <v>56</v>
      </c>
      <c r="D550" t="s">
        <v>24</v>
      </c>
      <c r="E550" t="s">
        <v>131</v>
      </c>
      <c r="F550" t="s">
        <v>26</v>
      </c>
      <c r="G550" t="s">
        <v>354</v>
      </c>
      <c r="H550" t="s">
        <v>556</v>
      </c>
      <c r="I550" t="s">
        <v>43</v>
      </c>
      <c r="J550" t="s">
        <v>44</v>
      </c>
      <c r="K550">
        <v>5</v>
      </c>
      <c r="L550">
        <v>41717</v>
      </c>
      <c r="M550">
        <v>15</v>
      </c>
      <c r="N550" t="s">
        <v>31</v>
      </c>
      <c r="O550" t="s">
        <v>281</v>
      </c>
      <c r="P550" t="s">
        <v>33</v>
      </c>
      <c r="Q550" t="s">
        <v>1311</v>
      </c>
      <c r="R550" t="s">
        <v>1949</v>
      </c>
      <c r="S550">
        <v>5</v>
      </c>
      <c r="T550" t="s">
        <v>72</v>
      </c>
      <c r="U550">
        <v>68</v>
      </c>
      <c r="V550" t="s">
        <v>79</v>
      </c>
    </row>
    <row r="551" spans="1:22" x14ac:dyDescent="0.3">
      <c r="A551" t="s">
        <v>1950</v>
      </c>
      <c r="B551" t="s">
        <v>547</v>
      </c>
      <c r="C551">
        <v>24</v>
      </c>
      <c r="D551" t="s">
        <v>24</v>
      </c>
      <c r="E551" t="s">
        <v>229</v>
      </c>
      <c r="F551" t="s">
        <v>65</v>
      </c>
      <c r="G551" t="s">
        <v>681</v>
      </c>
      <c r="H551" t="s">
        <v>1951</v>
      </c>
      <c r="I551" t="s">
        <v>77</v>
      </c>
      <c r="J551" t="s">
        <v>30</v>
      </c>
      <c r="K551">
        <v>2</v>
      </c>
      <c r="L551">
        <v>6733</v>
      </c>
      <c r="M551">
        <v>10</v>
      </c>
      <c r="N551" t="s">
        <v>56</v>
      </c>
      <c r="O551" t="s">
        <v>102</v>
      </c>
      <c r="P551" t="s">
        <v>174</v>
      </c>
      <c r="Q551" t="s">
        <v>549</v>
      </c>
      <c r="R551" t="s">
        <v>1952</v>
      </c>
      <c r="S551">
        <v>2</v>
      </c>
      <c r="T551" t="s">
        <v>96</v>
      </c>
      <c r="U551">
        <v>159</v>
      </c>
      <c r="V551" t="s">
        <v>79</v>
      </c>
    </row>
    <row r="552" spans="1:22" x14ac:dyDescent="0.3">
      <c r="A552" t="s">
        <v>1953</v>
      </c>
      <c r="B552" t="s">
        <v>249</v>
      </c>
      <c r="C552">
        <v>42</v>
      </c>
      <c r="D552" t="s">
        <v>24</v>
      </c>
      <c r="E552" t="s">
        <v>99</v>
      </c>
      <c r="F552" t="s">
        <v>53</v>
      </c>
      <c r="G552" t="s">
        <v>1406</v>
      </c>
      <c r="H552" t="s">
        <v>1790</v>
      </c>
      <c r="I552" t="s">
        <v>43</v>
      </c>
      <c r="J552" t="s">
        <v>44</v>
      </c>
      <c r="K552">
        <v>4</v>
      </c>
      <c r="L552">
        <v>8880</v>
      </c>
      <c r="M552">
        <v>5</v>
      </c>
      <c r="N552" t="s">
        <v>45</v>
      </c>
      <c r="O552" t="s">
        <v>281</v>
      </c>
      <c r="P552" t="s">
        <v>33</v>
      </c>
      <c r="Q552" t="s">
        <v>252</v>
      </c>
      <c r="R552" t="s">
        <v>1954</v>
      </c>
      <c r="S552">
        <v>3</v>
      </c>
      <c r="T552" t="s">
        <v>72</v>
      </c>
      <c r="U552">
        <v>171</v>
      </c>
      <c r="V552" t="s">
        <v>37</v>
      </c>
    </row>
    <row r="553" spans="1:22" x14ac:dyDescent="0.3">
      <c r="A553" t="s">
        <v>1955</v>
      </c>
      <c r="B553" t="s">
        <v>1361</v>
      </c>
      <c r="C553">
        <v>21</v>
      </c>
      <c r="D553" t="s">
        <v>24</v>
      </c>
      <c r="E553" t="s">
        <v>40</v>
      </c>
      <c r="F553" t="s">
        <v>53</v>
      </c>
      <c r="G553" t="s">
        <v>1549</v>
      </c>
      <c r="H553" t="s">
        <v>1545</v>
      </c>
      <c r="I553" t="s">
        <v>108</v>
      </c>
      <c r="J553" t="s">
        <v>30</v>
      </c>
      <c r="K553">
        <v>3</v>
      </c>
      <c r="L553">
        <v>78275</v>
      </c>
      <c r="M553">
        <v>15</v>
      </c>
      <c r="N553" t="s">
        <v>56</v>
      </c>
      <c r="O553" t="s">
        <v>102</v>
      </c>
      <c r="P553" t="s">
        <v>33</v>
      </c>
      <c r="Q553" t="s">
        <v>595</v>
      </c>
      <c r="R553" t="s">
        <v>1956</v>
      </c>
      <c r="S553">
        <v>5</v>
      </c>
      <c r="T553" t="s">
        <v>72</v>
      </c>
      <c r="U553">
        <v>203</v>
      </c>
      <c r="V553" t="s">
        <v>62</v>
      </c>
    </row>
    <row r="554" spans="1:22" x14ac:dyDescent="0.3">
      <c r="A554" t="s">
        <v>1957</v>
      </c>
      <c r="B554" t="s">
        <v>119</v>
      </c>
      <c r="C554">
        <v>27</v>
      </c>
      <c r="D554" t="s">
        <v>51</v>
      </c>
      <c r="E554" t="s">
        <v>229</v>
      </c>
      <c r="F554" t="s">
        <v>26</v>
      </c>
      <c r="G554" t="s">
        <v>670</v>
      </c>
      <c r="H554" t="s">
        <v>1376</v>
      </c>
      <c r="I554" t="s">
        <v>29</v>
      </c>
      <c r="J554" t="s">
        <v>30</v>
      </c>
      <c r="K554">
        <v>5</v>
      </c>
      <c r="L554">
        <v>69340</v>
      </c>
      <c r="M554">
        <v>15</v>
      </c>
      <c r="N554" t="s">
        <v>56</v>
      </c>
      <c r="O554" t="s">
        <v>86</v>
      </c>
      <c r="P554" t="s">
        <v>174</v>
      </c>
      <c r="R554" t="s">
        <v>1958</v>
      </c>
      <c r="S554">
        <v>1</v>
      </c>
      <c r="T554" t="s">
        <v>72</v>
      </c>
      <c r="U554">
        <v>82</v>
      </c>
      <c r="V554" t="s">
        <v>37</v>
      </c>
    </row>
    <row r="555" spans="1:22" x14ac:dyDescent="0.3">
      <c r="A555" t="s">
        <v>1959</v>
      </c>
      <c r="B555" t="s">
        <v>1118</v>
      </c>
      <c r="C555">
        <v>30</v>
      </c>
      <c r="D555" t="s">
        <v>51</v>
      </c>
      <c r="E555" t="s">
        <v>142</v>
      </c>
      <c r="F555" t="s">
        <v>65</v>
      </c>
      <c r="G555" t="s">
        <v>1960</v>
      </c>
      <c r="H555" t="s">
        <v>1961</v>
      </c>
      <c r="I555" t="s">
        <v>43</v>
      </c>
      <c r="J555" t="s">
        <v>44</v>
      </c>
      <c r="K555">
        <v>1</v>
      </c>
      <c r="L555">
        <v>44999</v>
      </c>
      <c r="M555">
        <v>10</v>
      </c>
      <c r="N555" t="s">
        <v>166</v>
      </c>
      <c r="O555" t="s">
        <v>102</v>
      </c>
      <c r="P555" t="s">
        <v>69</v>
      </c>
      <c r="S555">
        <v>5</v>
      </c>
      <c r="T555" t="s">
        <v>72</v>
      </c>
      <c r="U555">
        <v>302</v>
      </c>
      <c r="V555" t="s">
        <v>37</v>
      </c>
    </row>
    <row r="556" spans="1:22" x14ac:dyDescent="0.3">
      <c r="A556" t="s">
        <v>1962</v>
      </c>
      <c r="B556" t="s">
        <v>130</v>
      </c>
      <c r="C556">
        <v>18</v>
      </c>
      <c r="D556" t="s">
        <v>24</v>
      </c>
      <c r="E556" t="s">
        <v>99</v>
      </c>
      <c r="F556" t="s">
        <v>82</v>
      </c>
      <c r="G556" t="s">
        <v>1613</v>
      </c>
      <c r="H556" t="s">
        <v>1963</v>
      </c>
      <c r="I556" t="s">
        <v>93</v>
      </c>
      <c r="J556" t="s">
        <v>44</v>
      </c>
      <c r="L556">
        <v>53104</v>
      </c>
      <c r="M556">
        <v>10</v>
      </c>
      <c r="N556" t="s">
        <v>31</v>
      </c>
      <c r="O556" t="s">
        <v>57</v>
      </c>
      <c r="P556" t="s">
        <v>174</v>
      </c>
      <c r="Q556" t="s">
        <v>1355</v>
      </c>
      <c r="R556" t="s">
        <v>1964</v>
      </c>
      <c r="S556">
        <v>2</v>
      </c>
      <c r="T556" t="s">
        <v>96</v>
      </c>
      <c r="U556">
        <v>257</v>
      </c>
      <c r="V556" t="s">
        <v>79</v>
      </c>
    </row>
    <row r="557" spans="1:22" x14ac:dyDescent="0.3">
      <c r="A557" t="s">
        <v>1965</v>
      </c>
      <c r="B557" t="s">
        <v>411</v>
      </c>
      <c r="C557">
        <v>59</v>
      </c>
      <c r="D557" t="s">
        <v>51</v>
      </c>
      <c r="E557" t="s">
        <v>25</v>
      </c>
      <c r="F557" t="s">
        <v>53</v>
      </c>
      <c r="G557" t="s">
        <v>1966</v>
      </c>
      <c r="H557" t="s">
        <v>1967</v>
      </c>
      <c r="I557" t="s">
        <v>43</v>
      </c>
      <c r="J557" t="s">
        <v>44</v>
      </c>
      <c r="K557">
        <v>5</v>
      </c>
      <c r="L557">
        <v>53933</v>
      </c>
      <c r="M557">
        <v>0</v>
      </c>
      <c r="N557" t="s">
        <v>166</v>
      </c>
      <c r="O557" t="s">
        <v>57</v>
      </c>
      <c r="P557" t="s">
        <v>69</v>
      </c>
      <c r="Q557" t="s">
        <v>414</v>
      </c>
      <c r="R557" t="s">
        <v>1968</v>
      </c>
      <c r="S557">
        <v>5</v>
      </c>
      <c r="T557" t="s">
        <v>72</v>
      </c>
      <c r="U557">
        <v>129</v>
      </c>
      <c r="V557" t="s">
        <v>62</v>
      </c>
    </row>
    <row r="558" spans="1:22" x14ac:dyDescent="0.3">
      <c r="A558" t="s">
        <v>1969</v>
      </c>
      <c r="B558" t="s">
        <v>397</v>
      </c>
      <c r="C558">
        <v>26</v>
      </c>
      <c r="D558" t="s">
        <v>51</v>
      </c>
      <c r="E558" t="s">
        <v>26</v>
      </c>
      <c r="F558" t="s">
        <v>82</v>
      </c>
      <c r="G558" t="s">
        <v>1529</v>
      </c>
      <c r="H558" t="s">
        <v>1759</v>
      </c>
      <c r="I558" t="s">
        <v>108</v>
      </c>
      <c r="J558" t="s">
        <v>44</v>
      </c>
      <c r="K558">
        <v>5</v>
      </c>
      <c r="L558">
        <v>77829</v>
      </c>
      <c r="M558">
        <v>10</v>
      </c>
      <c r="N558" t="s">
        <v>56</v>
      </c>
      <c r="O558" t="s">
        <v>281</v>
      </c>
      <c r="P558" t="s">
        <v>58</v>
      </c>
      <c r="Q558" t="s">
        <v>400</v>
      </c>
      <c r="R558" t="s">
        <v>1970</v>
      </c>
      <c r="S558">
        <v>5</v>
      </c>
      <c r="T558" t="s">
        <v>61</v>
      </c>
      <c r="U558">
        <v>241</v>
      </c>
      <c r="V558" t="s">
        <v>37</v>
      </c>
    </row>
    <row r="559" spans="1:22" x14ac:dyDescent="0.3">
      <c r="A559" t="s">
        <v>1971</v>
      </c>
      <c r="B559" t="s">
        <v>623</v>
      </c>
      <c r="C559">
        <v>36</v>
      </c>
      <c r="D559" t="s">
        <v>51</v>
      </c>
      <c r="E559" t="s">
        <v>229</v>
      </c>
      <c r="F559" t="s">
        <v>82</v>
      </c>
      <c r="G559" t="s">
        <v>76</v>
      </c>
      <c r="H559" t="s">
        <v>1150</v>
      </c>
      <c r="I559" t="s">
        <v>93</v>
      </c>
      <c r="J559" t="s">
        <v>30</v>
      </c>
      <c r="K559">
        <v>2</v>
      </c>
      <c r="L559">
        <v>11290</v>
      </c>
      <c r="M559">
        <v>5</v>
      </c>
      <c r="N559" t="s">
        <v>31</v>
      </c>
      <c r="O559" t="s">
        <v>173</v>
      </c>
      <c r="P559" t="s">
        <v>58</v>
      </c>
      <c r="Q559" t="s">
        <v>626</v>
      </c>
      <c r="R559" t="s">
        <v>1972</v>
      </c>
      <c r="S559">
        <v>5</v>
      </c>
      <c r="T559" t="s">
        <v>72</v>
      </c>
      <c r="U559">
        <v>466</v>
      </c>
      <c r="V559" t="s">
        <v>79</v>
      </c>
    </row>
    <row r="560" spans="1:22" x14ac:dyDescent="0.3">
      <c r="A560" t="s">
        <v>1973</v>
      </c>
      <c r="B560" t="s">
        <v>23</v>
      </c>
      <c r="C560">
        <v>58</v>
      </c>
      <c r="D560" t="s">
        <v>24</v>
      </c>
      <c r="E560" t="s">
        <v>40</v>
      </c>
      <c r="F560" t="s">
        <v>91</v>
      </c>
      <c r="G560" t="s">
        <v>1820</v>
      </c>
      <c r="H560" t="s">
        <v>66</v>
      </c>
      <c r="I560" t="s">
        <v>29</v>
      </c>
      <c r="J560" t="s">
        <v>44</v>
      </c>
      <c r="K560">
        <v>4</v>
      </c>
      <c r="L560">
        <v>37343</v>
      </c>
      <c r="M560">
        <v>15</v>
      </c>
      <c r="N560" t="s">
        <v>45</v>
      </c>
      <c r="O560" t="s">
        <v>86</v>
      </c>
      <c r="P560" t="s">
        <v>33</v>
      </c>
      <c r="Q560" t="s">
        <v>34</v>
      </c>
      <c r="R560" t="s">
        <v>1974</v>
      </c>
      <c r="S560">
        <v>2</v>
      </c>
      <c r="T560" t="s">
        <v>36</v>
      </c>
      <c r="U560">
        <v>255</v>
      </c>
      <c r="V560" t="s">
        <v>79</v>
      </c>
    </row>
    <row r="561" spans="1:22" x14ac:dyDescent="0.3">
      <c r="A561" t="s">
        <v>1975</v>
      </c>
      <c r="B561" t="s">
        <v>338</v>
      </c>
      <c r="C561">
        <v>42</v>
      </c>
      <c r="D561" t="s">
        <v>51</v>
      </c>
      <c r="E561" t="s">
        <v>26</v>
      </c>
      <c r="F561" t="s">
        <v>65</v>
      </c>
      <c r="G561" t="s">
        <v>1976</v>
      </c>
      <c r="H561" t="s">
        <v>224</v>
      </c>
      <c r="I561" t="s">
        <v>93</v>
      </c>
      <c r="J561" t="s">
        <v>30</v>
      </c>
      <c r="K561">
        <v>4</v>
      </c>
      <c r="L561">
        <v>41678</v>
      </c>
      <c r="M561">
        <v>15</v>
      </c>
      <c r="N561" t="s">
        <v>56</v>
      </c>
      <c r="O561" t="s">
        <v>109</v>
      </c>
      <c r="P561" t="s">
        <v>33</v>
      </c>
      <c r="R561" t="s">
        <v>1977</v>
      </c>
      <c r="S561">
        <v>2</v>
      </c>
      <c r="T561" t="s">
        <v>72</v>
      </c>
      <c r="U561">
        <v>176</v>
      </c>
      <c r="V561" t="s">
        <v>37</v>
      </c>
    </row>
    <row r="562" spans="1:22" x14ac:dyDescent="0.3">
      <c r="A562" t="s">
        <v>1978</v>
      </c>
      <c r="B562" t="s">
        <v>1979</v>
      </c>
      <c r="C562">
        <v>53</v>
      </c>
      <c r="D562" t="s">
        <v>24</v>
      </c>
      <c r="E562" t="s">
        <v>131</v>
      </c>
      <c r="F562" t="s">
        <v>65</v>
      </c>
      <c r="G562" t="s">
        <v>403</v>
      </c>
      <c r="H562" t="s">
        <v>404</v>
      </c>
      <c r="I562" t="s">
        <v>108</v>
      </c>
      <c r="J562" t="s">
        <v>44</v>
      </c>
      <c r="K562">
        <v>4</v>
      </c>
      <c r="L562">
        <v>17582</v>
      </c>
      <c r="M562">
        <v>5</v>
      </c>
      <c r="N562" t="s">
        <v>45</v>
      </c>
      <c r="O562" t="s">
        <v>32</v>
      </c>
      <c r="P562" t="s">
        <v>58</v>
      </c>
      <c r="Q562" t="s">
        <v>175</v>
      </c>
      <c r="R562" t="s">
        <v>1980</v>
      </c>
      <c r="S562">
        <v>2</v>
      </c>
      <c r="T562" t="s">
        <v>96</v>
      </c>
      <c r="U562">
        <v>334</v>
      </c>
      <c r="V562" t="s">
        <v>62</v>
      </c>
    </row>
    <row r="563" spans="1:22" x14ac:dyDescent="0.3">
      <c r="A563" t="s">
        <v>1981</v>
      </c>
      <c r="B563" t="s">
        <v>1045</v>
      </c>
      <c r="C563">
        <v>37</v>
      </c>
      <c r="D563" t="s">
        <v>51</v>
      </c>
      <c r="E563" t="s">
        <v>229</v>
      </c>
      <c r="F563" t="s">
        <v>53</v>
      </c>
      <c r="G563" t="s">
        <v>510</v>
      </c>
      <c r="H563" t="s">
        <v>1902</v>
      </c>
      <c r="I563" t="s">
        <v>29</v>
      </c>
      <c r="J563" t="s">
        <v>30</v>
      </c>
      <c r="K563">
        <v>1</v>
      </c>
      <c r="L563">
        <v>13993</v>
      </c>
      <c r="M563">
        <v>15</v>
      </c>
      <c r="N563" t="s">
        <v>31</v>
      </c>
      <c r="O563" t="s">
        <v>86</v>
      </c>
      <c r="P563" t="s">
        <v>174</v>
      </c>
      <c r="Q563" t="s">
        <v>1048</v>
      </c>
      <c r="R563" t="s">
        <v>1982</v>
      </c>
      <c r="S563">
        <v>3</v>
      </c>
      <c r="T563" t="s">
        <v>96</v>
      </c>
      <c r="U563">
        <v>195</v>
      </c>
      <c r="V563" t="s">
        <v>62</v>
      </c>
    </row>
    <row r="564" spans="1:22" x14ac:dyDescent="0.3">
      <c r="A564" t="s">
        <v>1983</v>
      </c>
      <c r="B564" t="s">
        <v>527</v>
      </c>
      <c r="C564">
        <v>23</v>
      </c>
      <c r="D564" t="s">
        <v>51</v>
      </c>
      <c r="E564" t="s">
        <v>99</v>
      </c>
      <c r="F564" t="s">
        <v>53</v>
      </c>
      <c r="G564" t="s">
        <v>1350</v>
      </c>
      <c r="H564" t="s">
        <v>1984</v>
      </c>
      <c r="I564" t="s">
        <v>85</v>
      </c>
      <c r="J564" t="s">
        <v>44</v>
      </c>
      <c r="K564">
        <v>2</v>
      </c>
      <c r="L564">
        <v>44582</v>
      </c>
      <c r="M564">
        <v>10</v>
      </c>
      <c r="N564" t="s">
        <v>31</v>
      </c>
      <c r="O564" t="s">
        <v>133</v>
      </c>
      <c r="P564" t="s">
        <v>33</v>
      </c>
      <c r="Q564" t="s">
        <v>530</v>
      </c>
      <c r="R564" t="s">
        <v>1985</v>
      </c>
      <c r="S564">
        <v>2</v>
      </c>
      <c r="T564" t="s">
        <v>36</v>
      </c>
      <c r="U564">
        <v>180</v>
      </c>
      <c r="V564" t="s">
        <v>79</v>
      </c>
    </row>
    <row r="565" spans="1:22" x14ac:dyDescent="0.3">
      <c r="A565" t="s">
        <v>1986</v>
      </c>
      <c r="B565" t="s">
        <v>74</v>
      </c>
      <c r="C565">
        <v>27</v>
      </c>
      <c r="D565" t="s">
        <v>51</v>
      </c>
      <c r="E565" t="s">
        <v>25</v>
      </c>
      <c r="F565" t="s">
        <v>65</v>
      </c>
      <c r="G565" t="s">
        <v>1201</v>
      </c>
      <c r="H565" t="s">
        <v>1477</v>
      </c>
      <c r="I565" t="s">
        <v>77</v>
      </c>
      <c r="J565" t="s">
        <v>30</v>
      </c>
      <c r="K565">
        <v>1</v>
      </c>
      <c r="L565">
        <v>60007</v>
      </c>
      <c r="M565">
        <v>15</v>
      </c>
      <c r="N565" t="s">
        <v>56</v>
      </c>
      <c r="O565" t="s">
        <v>32</v>
      </c>
      <c r="P565" t="s">
        <v>174</v>
      </c>
      <c r="Q565" t="s">
        <v>78</v>
      </c>
      <c r="R565" t="s">
        <v>1987</v>
      </c>
      <c r="S565">
        <v>5</v>
      </c>
      <c r="T565" t="s">
        <v>72</v>
      </c>
      <c r="U565">
        <v>192</v>
      </c>
      <c r="V565" t="s">
        <v>62</v>
      </c>
    </row>
    <row r="566" spans="1:22" x14ac:dyDescent="0.3">
      <c r="A566" t="s">
        <v>1988</v>
      </c>
      <c r="B566" t="s">
        <v>90</v>
      </c>
      <c r="C566">
        <v>43</v>
      </c>
      <c r="D566" t="s">
        <v>51</v>
      </c>
      <c r="E566" t="s">
        <v>26</v>
      </c>
      <c r="F566" t="s">
        <v>53</v>
      </c>
      <c r="G566" t="s">
        <v>1989</v>
      </c>
      <c r="H566" t="s">
        <v>999</v>
      </c>
      <c r="I566" t="s">
        <v>77</v>
      </c>
      <c r="J566" t="s">
        <v>30</v>
      </c>
      <c r="K566">
        <v>5</v>
      </c>
      <c r="L566">
        <v>18672</v>
      </c>
      <c r="M566">
        <v>10</v>
      </c>
      <c r="N566" t="s">
        <v>56</v>
      </c>
      <c r="O566" t="s">
        <v>173</v>
      </c>
      <c r="P566" t="s">
        <v>33</v>
      </c>
      <c r="Q566" t="s">
        <v>94</v>
      </c>
      <c r="R566" t="s">
        <v>1990</v>
      </c>
      <c r="S566">
        <v>4</v>
      </c>
      <c r="T566" t="s">
        <v>96</v>
      </c>
      <c r="U566">
        <v>85</v>
      </c>
      <c r="V566" t="s">
        <v>37</v>
      </c>
    </row>
    <row r="567" spans="1:22" x14ac:dyDescent="0.3">
      <c r="A567" t="s">
        <v>1991</v>
      </c>
      <c r="B567" t="s">
        <v>170</v>
      </c>
      <c r="C567">
        <v>36</v>
      </c>
      <c r="D567" t="s">
        <v>24</v>
      </c>
      <c r="E567" t="s">
        <v>25</v>
      </c>
      <c r="F567" t="s">
        <v>53</v>
      </c>
      <c r="G567" t="s">
        <v>263</v>
      </c>
      <c r="H567" t="s">
        <v>1284</v>
      </c>
      <c r="I567" t="s">
        <v>93</v>
      </c>
      <c r="J567" t="s">
        <v>44</v>
      </c>
      <c r="K567">
        <v>2</v>
      </c>
      <c r="L567">
        <v>69738</v>
      </c>
      <c r="M567">
        <v>5</v>
      </c>
      <c r="N567" t="s">
        <v>31</v>
      </c>
      <c r="O567" t="s">
        <v>32</v>
      </c>
      <c r="P567" t="s">
        <v>69</v>
      </c>
      <c r="Q567" t="s">
        <v>175</v>
      </c>
      <c r="R567" t="s">
        <v>1992</v>
      </c>
      <c r="S567">
        <v>1</v>
      </c>
      <c r="T567" t="s">
        <v>72</v>
      </c>
      <c r="U567">
        <v>131</v>
      </c>
      <c r="V567" t="s">
        <v>37</v>
      </c>
    </row>
    <row r="568" spans="1:22" x14ac:dyDescent="0.3">
      <c r="A568" t="s">
        <v>1993</v>
      </c>
      <c r="B568" t="s">
        <v>193</v>
      </c>
      <c r="C568">
        <v>31</v>
      </c>
      <c r="D568" t="s">
        <v>24</v>
      </c>
      <c r="E568" t="s">
        <v>131</v>
      </c>
      <c r="F568" t="s">
        <v>91</v>
      </c>
      <c r="G568" t="s">
        <v>1994</v>
      </c>
      <c r="H568" t="s">
        <v>200</v>
      </c>
      <c r="I568" t="s">
        <v>77</v>
      </c>
      <c r="J568" t="s">
        <v>44</v>
      </c>
      <c r="K568">
        <v>3</v>
      </c>
      <c r="L568">
        <v>69124</v>
      </c>
      <c r="M568">
        <v>10</v>
      </c>
      <c r="N568" t="s">
        <v>45</v>
      </c>
      <c r="O568" t="s">
        <v>281</v>
      </c>
      <c r="P568" t="s">
        <v>58</v>
      </c>
      <c r="Q568" t="s">
        <v>195</v>
      </c>
      <c r="R568" t="s">
        <v>1995</v>
      </c>
      <c r="S568">
        <v>4</v>
      </c>
      <c r="T568" t="s">
        <v>61</v>
      </c>
      <c r="U568">
        <v>138</v>
      </c>
      <c r="V568" t="s">
        <v>62</v>
      </c>
    </row>
    <row r="569" spans="1:22" x14ac:dyDescent="0.3">
      <c r="A569" t="s">
        <v>1996</v>
      </c>
      <c r="B569" t="s">
        <v>1690</v>
      </c>
      <c r="C569">
        <v>35</v>
      </c>
      <c r="D569" t="s">
        <v>24</v>
      </c>
      <c r="E569" t="s">
        <v>52</v>
      </c>
      <c r="F569" t="s">
        <v>53</v>
      </c>
      <c r="G569" t="s">
        <v>1997</v>
      </c>
      <c r="H569" t="s">
        <v>792</v>
      </c>
      <c r="I569" t="s">
        <v>85</v>
      </c>
      <c r="J569" t="s">
        <v>44</v>
      </c>
      <c r="K569">
        <v>1</v>
      </c>
      <c r="L569">
        <v>62455</v>
      </c>
      <c r="M569">
        <v>10</v>
      </c>
      <c r="N569" t="s">
        <v>45</v>
      </c>
      <c r="O569" t="s">
        <v>102</v>
      </c>
      <c r="P569" t="s">
        <v>58</v>
      </c>
      <c r="Q569" t="s">
        <v>87</v>
      </c>
      <c r="R569" t="s">
        <v>1998</v>
      </c>
      <c r="S569">
        <v>4</v>
      </c>
      <c r="T569" t="s">
        <v>61</v>
      </c>
      <c r="U569">
        <v>238</v>
      </c>
      <c r="V569" t="s">
        <v>62</v>
      </c>
    </row>
    <row r="570" spans="1:22" x14ac:dyDescent="0.3">
      <c r="A570" t="s">
        <v>1999</v>
      </c>
      <c r="B570" t="s">
        <v>547</v>
      </c>
      <c r="C570">
        <v>23</v>
      </c>
      <c r="D570" t="s">
        <v>24</v>
      </c>
      <c r="E570" t="s">
        <v>142</v>
      </c>
      <c r="F570" t="s">
        <v>82</v>
      </c>
      <c r="G570" t="s">
        <v>55</v>
      </c>
      <c r="H570" t="s">
        <v>2000</v>
      </c>
      <c r="I570" t="s">
        <v>108</v>
      </c>
      <c r="J570" t="s">
        <v>30</v>
      </c>
      <c r="K570">
        <v>1</v>
      </c>
      <c r="L570">
        <v>39534</v>
      </c>
      <c r="M570">
        <v>0</v>
      </c>
      <c r="N570" t="s">
        <v>56</v>
      </c>
      <c r="O570" t="s">
        <v>281</v>
      </c>
      <c r="P570" t="s">
        <v>69</v>
      </c>
      <c r="Q570" t="s">
        <v>549</v>
      </c>
      <c r="R570" t="s">
        <v>2001</v>
      </c>
      <c r="S570">
        <v>5</v>
      </c>
      <c r="T570" t="s">
        <v>96</v>
      </c>
      <c r="U570">
        <v>169</v>
      </c>
      <c r="V570" t="s">
        <v>37</v>
      </c>
    </row>
    <row r="571" spans="1:22" x14ac:dyDescent="0.3">
      <c r="A571" t="s">
        <v>2002</v>
      </c>
      <c r="B571" t="s">
        <v>198</v>
      </c>
      <c r="C571">
        <v>56</v>
      </c>
      <c r="D571" t="s">
        <v>24</v>
      </c>
      <c r="E571" t="s">
        <v>229</v>
      </c>
      <c r="F571" t="s">
        <v>65</v>
      </c>
      <c r="G571" t="s">
        <v>2003</v>
      </c>
      <c r="H571" t="s">
        <v>408</v>
      </c>
      <c r="I571" t="s">
        <v>43</v>
      </c>
      <c r="J571" t="s">
        <v>30</v>
      </c>
      <c r="L571">
        <v>16135</v>
      </c>
      <c r="M571">
        <v>10</v>
      </c>
      <c r="N571" t="s">
        <v>56</v>
      </c>
      <c r="O571" t="s">
        <v>109</v>
      </c>
      <c r="P571" t="s">
        <v>58</v>
      </c>
      <c r="Q571" t="s">
        <v>201</v>
      </c>
      <c r="R571" t="s">
        <v>2004</v>
      </c>
      <c r="S571">
        <v>4</v>
      </c>
      <c r="T571" t="s">
        <v>61</v>
      </c>
      <c r="U571">
        <v>61</v>
      </c>
      <c r="V571" t="s">
        <v>79</v>
      </c>
    </row>
    <row r="572" spans="1:22" x14ac:dyDescent="0.3">
      <c r="A572" t="s">
        <v>2005</v>
      </c>
      <c r="B572" t="s">
        <v>309</v>
      </c>
      <c r="C572">
        <v>20</v>
      </c>
      <c r="D572" t="s">
        <v>51</v>
      </c>
      <c r="E572" t="s">
        <v>25</v>
      </c>
      <c r="F572" t="s">
        <v>53</v>
      </c>
      <c r="G572" t="s">
        <v>861</v>
      </c>
      <c r="H572" t="s">
        <v>358</v>
      </c>
      <c r="I572" t="s">
        <v>85</v>
      </c>
      <c r="J572" t="s">
        <v>30</v>
      </c>
      <c r="K572">
        <v>3</v>
      </c>
      <c r="L572">
        <v>76342</v>
      </c>
      <c r="M572">
        <v>15</v>
      </c>
      <c r="N572" t="s">
        <v>31</v>
      </c>
      <c r="O572" t="s">
        <v>173</v>
      </c>
      <c r="P572" t="s">
        <v>174</v>
      </c>
      <c r="R572" t="s">
        <v>2006</v>
      </c>
      <c r="S572">
        <v>4</v>
      </c>
      <c r="T572" t="s">
        <v>96</v>
      </c>
      <c r="U572">
        <v>213</v>
      </c>
      <c r="V572" t="s">
        <v>62</v>
      </c>
    </row>
    <row r="573" spans="1:22" x14ac:dyDescent="0.3">
      <c r="A573" t="s">
        <v>2007</v>
      </c>
      <c r="B573" t="s">
        <v>645</v>
      </c>
      <c r="C573">
        <v>20</v>
      </c>
      <c r="D573" t="s">
        <v>51</v>
      </c>
      <c r="E573" t="s">
        <v>131</v>
      </c>
      <c r="F573" t="s">
        <v>91</v>
      </c>
      <c r="G573" t="s">
        <v>2008</v>
      </c>
      <c r="H573" t="s">
        <v>566</v>
      </c>
      <c r="I573" t="s">
        <v>43</v>
      </c>
      <c r="J573" t="s">
        <v>44</v>
      </c>
      <c r="K573">
        <v>4</v>
      </c>
      <c r="L573">
        <v>77207</v>
      </c>
      <c r="M573">
        <v>0</v>
      </c>
      <c r="N573" t="s">
        <v>45</v>
      </c>
      <c r="O573" t="s">
        <v>46</v>
      </c>
      <c r="P573" t="s">
        <v>69</v>
      </c>
      <c r="Q573" t="s">
        <v>647</v>
      </c>
      <c r="R573" t="s">
        <v>2009</v>
      </c>
      <c r="S573">
        <v>3</v>
      </c>
      <c r="T573" t="s">
        <v>96</v>
      </c>
      <c r="U573">
        <v>342</v>
      </c>
      <c r="V573" t="s">
        <v>79</v>
      </c>
    </row>
    <row r="574" spans="1:22" x14ac:dyDescent="0.3">
      <c r="A574" t="s">
        <v>2010</v>
      </c>
      <c r="B574" t="s">
        <v>476</v>
      </c>
      <c r="C574">
        <v>28</v>
      </c>
      <c r="D574" t="s">
        <v>24</v>
      </c>
      <c r="E574" t="s">
        <v>99</v>
      </c>
      <c r="F574" t="s">
        <v>65</v>
      </c>
      <c r="G574" t="s">
        <v>1627</v>
      </c>
      <c r="H574" t="s">
        <v>1403</v>
      </c>
      <c r="I574" t="s">
        <v>43</v>
      </c>
      <c r="J574" t="s">
        <v>44</v>
      </c>
      <c r="K574">
        <v>5</v>
      </c>
      <c r="L574">
        <v>42655</v>
      </c>
      <c r="M574">
        <v>10</v>
      </c>
      <c r="N574" t="s">
        <v>31</v>
      </c>
      <c r="O574" t="s">
        <v>102</v>
      </c>
      <c r="P574" t="s">
        <v>69</v>
      </c>
      <c r="Q574" t="s">
        <v>478</v>
      </c>
      <c r="S574">
        <v>2</v>
      </c>
      <c r="T574" t="s">
        <v>72</v>
      </c>
      <c r="U574">
        <v>228</v>
      </c>
      <c r="V574" t="s">
        <v>37</v>
      </c>
    </row>
    <row r="575" spans="1:22" x14ac:dyDescent="0.3">
      <c r="A575" t="s">
        <v>2011</v>
      </c>
      <c r="B575" t="s">
        <v>23</v>
      </c>
      <c r="C575">
        <v>36</v>
      </c>
      <c r="D575" t="s">
        <v>51</v>
      </c>
      <c r="E575" t="s">
        <v>52</v>
      </c>
      <c r="F575" t="s">
        <v>26</v>
      </c>
      <c r="G575" t="s">
        <v>2012</v>
      </c>
      <c r="H575" t="s">
        <v>2013</v>
      </c>
      <c r="I575" t="s">
        <v>85</v>
      </c>
      <c r="J575" t="s">
        <v>44</v>
      </c>
      <c r="L575">
        <v>36629</v>
      </c>
      <c r="M575">
        <v>5</v>
      </c>
      <c r="N575" t="s">
        <v>166</v>
      </c>
      <c r="O575" t="s">
        <v>281</v>
      </c>
      <c r="P575" t="s">
        <v>33</v>
      </c>
      <c r="R575" t="s">
        <v>2014</v>
      </c>
      <c r="S575">
        <v>5</v>
      </c>
      <c r="T575" t="s">
        <v>36</v>
      </c>
      <c r="U575">
        <v>256</v>
      </c>
      <c r="V575" t="s">
        <v>62</v>
      </c>
    </row>
    <row r="576" spans="1:22" x14ac:dyDescent="0.3">
      <c r="A576" t="s">
        <v>2015</v>
      </c>
      <c r="B576" t="s">
        <v>2016</v>
      </c>
      <c r="C576">
        <v>27</v>
      </c>
      <c r="D576" t="s">
        <v>51</v>
      </c>
      <c r="E576" t="s">
        <v>26</v>
      </c>
      <c r="F576" t="s">
        <v>82</v>
      </c>
      <c r="G576" t="s">
        <v>557</v>
      </c>
      <c r="H576" t="s">
        <v>1421</v>
      </c>
      <c r="I576" t="s">
        <v>108</v>
      </c>
      <c r="J576" t="s">
        <v>30</v>
      </c>
      <c r="K576">
        <v>3</v>
      </c>
      <c r="L576">
        <v>39208</v>
      </c>
      <c r="M576">
        <v>0</v>
      </c>
      <c r="N576" t="s">
        <v>31</v>
      </c>
      <c r="O576" t="s">
        <v>68</v>
      </c>
      <c r="P576" t="s">
        <v>69</v>
      </c>
      <c r="R576" t="s">
        <v>2017</v>
      </c>
      <c r="S576">
        <v>4</v>
      </c>
      <c r="T576" t="s">
        <v>61</v>
      </c>
      <c r="U576">
        <v>458</v>
      </c>
      <c r="V576" t="s">
        <v>79</v>
      </c>
    </row>
    <row r="577" spans="1:22" x14ac:dyDescent="0.3">
      <c r="A577" t="s">
        <v>2018</v>
      </c>
      <c r="B577" t="s">
        <v>461</v>
      </c>
      <c r="C577">
        <v>37</v>
      </c>
      <c r="D577" t="s">
        <v>24</v>
      </c>
      <c r="E577" t="s">
        <v>229</v>
      </c>
      <c r="F577" t="s">
        <v>82</v>
      </c>
      <c r="G577" t="s">
        <v>641</v>
      </c>
      <c r="H577" t="s">
        <v>703</v>
      </c>
      <c r="I577" t="s">
        <v>108</v>
      </c>
      <c r="J577" t="s">
        <v>30</v>
      </c>
      <c r="K577">
        <v>5</v>
      </c>
      <c r="L577">
        <v>34638</v>
      </c>
      <c r="M577">
        <v>15</v>
      </c>
      <c r="N577" t="s">
        <v>56</v>
      </c>
      <c r="O577" t="s">
        <v>173</v>
      </c>
      <c r="P577" t="s">
        <v>69</v>
      </c>
      <c r="Q577" t="s">
        <v>563</v>
      </c>
      <c r="R577" t="s">
        <v>2019</v>
      </c>
      <c r="S577">
        <v>3</v>
      </c>
      <c r="T577" t="s">
        <v>72</v>
      </c>
      <c r="U577">
        <v>241</v>
      </c>
      <c r="V577" t="s">
        <v>37</v>
      </c>
    </row>
    <row r="578" spans="1:22" x14ac:dyDescent="0.3">
      <c r="A578" t="s">
        <v>2020</v>
      </c>
      <c r="B578" t="s">
        <v>503</v>
      </c>
      <c r="C578">
        <v>31</v>
      </c>
      <c r="D578" t="s">
        <v>51</v>
      </c>
      <c r="E578" t="s">
        <v>131</v>
      </c>
      <c r="F578" t="s">
        <v>53</v>
      </c>
      <c r="G578" t="s">
        <v>1666</v>
      </c>
      <c r="H578" t="s">
        <v>486</v>
      </c>
      <c r="I578" t="s">
        <v>93</v>
      </c>
      <c r="J578" t="s">
        <v>30</v>
      </c>
      <c r="K578">
        <v>1</v>
      </c>
      <c r="L578">
        <v>54099</v>
      </c>
      <c r="M578">
        <v>5</v>
      </c>
      <c r="N578" t="s">
        <v>45</v>
      </c>
      <c r="O578" t="s">
        <v>68</v>
      </c>
      <c r="P578" t="s">
        <v>174</v>
      </c>
      <c r="Q578" t="s">
        <v>506</v>
      </c>
      <c r="R578" t="s">
        <v>2021</v>
      </c>
      <c r="S578">
        <v>2</v>
      </c>
      <c r="T578" t="s">
        <v>36</v>
      </c>
      <c r="U578">
        <v>448</v>
      </c>
      <c r="V578" t="s">
        <v>62</v>
      </c>
    </row>
    <row r="579" spans="1:22" x14ac:dyDescent="0.3">
      <c r="A579" t="s">
        <v>2022</v>
      </c>
      <c r="B579" t="s">
        <v>411</v>
      </c>
      <c r="C579">
        <v>54</v>
      </c>
      <c r="D579" t="s">
        <v>51</v>
      </c>
      <c r="E579" t="s">
        <v>52</v>
      </c>
      <c r="F579" t="s">
        <v>26</v>
      </c>
      <c r="G579" t="s">
        <v>2023</v>
      </c>
      <c r="H579" t="s">
        <v>2024</v>
      </c>
      <c r="I579" t="s">
        <v>93</v>
      </c>
      <c r="J579" t="s">
        <v>44</v>
      </c>
      <c r="K579">
        <v>5</v>
      </c>
      <c r="L579">
        <v>77102</v>
      </c>
      <c r="M579">
        <v>5</v>
      </c>
      <c r="N579" t="s">
        <v>56</v>
      </c>
      <c r="O579" t="s">
        <v>133</v>
      </c>
      <c r="P579" t="s">
        <v>33</v>
      </c>
      <c r="Q579" t="s">
        <v>414</v>
      </c>
      <c r="R579" t="s">
        <v>2025</v>
      </c>
      <c r="S579">
        <v>3</v>
      </c>
      <c r="T579" t="s">
        <v>96</v>
      </c>
      <c r="U579">
        <v>319</v>
      </c>
      <c r="V579" t="s">
        <v>37</v>
      </c>
    </row>
    <row r="580" spans="1:22" x14ac:dyDescent="0.3">
      <c r="A580" t="s">
        <v>2026</v>
      </c>
      <c r="B580" t="s">
        <v>98</v>
      </c>
      <c r="C580">
        <v>55</v>
      </c>
      <c r="D580" t="s">
        <v>51</v>
      </c>
      <c r="E580" t="s">
        <v>142</v>
      </c>
      <c r="F580" t="s">
        <v>53</v>
      </c>
      <c r="G580" t="s">
        <v>1932</v>
      </c>
      <c r="H580" t="s">
        <v>1031</v>
      </c>
      <c r="I580" t="s">
        <v>77</v>
      </c>
      <c r="J580" t="s">
        <v>44</v>
      </c>
      <c r="K580">
        <v>5</v>
      </c>
      <c r="L580">
        <v>62464</v>
      </c>
      <c r="M580">
        <v>0</v>
      </c>
      <c r="N580" t="s">
        <v>166</v>
      </c>
      <c r="O580" t="s">
        <v>102</v>
      </c>
      <c r="P580" t="s">
        <v>69</v>
      </c>
      <c r="Q580" t="s">
        <v>103</v>
      </c>
      <c r="R580" t="s">
        <v>2027</v>
      </c>
      <c r="S580">
        <v>3</v>
      </c>
      <c r="T580" t="s">
        <v>36</v>
      </c>
      <c r="U580">
        <v>156</v>
      </c>
      <c r="V580" t="s">
        <v>62</v>
      </c>
    </row>
    <row r="581" spans="1:22" x14ac:dyDescent="0.3">
      <c r="A581" t="s">
        <v>2028</v>
      </c>
      <c r="B581" t="s">
        <v>397</v>
      </c>
      <c r="C581">
        <v>40</v>
      </c>
      <c r="D581" t="s">
        <v>51</v>
      </c>
      <c r="E581" t="s">
        <v>25</v>
      </c>
      <c r="F581" t="s">
        <v>53</v>
      </c>
      <c r="G581" t="s">
        <v>1061</v>
      </c>
      <c r="H581" t="s">
        <v>2029</v>
      </c>
      <c r="I581" t="s">
        <v>43</v>
      </c>
      <c r="J581" t="s">
        <v>30</v>
      </c>
      <c r="K581">
        <v>5</v>
      </c>
      <c r="L581">
        <v>67301</v>
      </c>
      <c r="M581">
        <v>0</v>
      </c>
      <c r="N581" t="s">
        <v>56</v>
      </c>
      <c r="O581" t="s">
        <v>86</v>
      </c>
      <c r="P581" t="s">
        <v>69</v>
      </c>
      <c r="Q581" t="s">
        <v>400</v>
      </c>
      <c r="R581" t="s">
        <v>2030</v>
      </c>
      <c r="S581">
        <v>3</v>
      </c>
      <c r="T581" t="s">
        <v>72</v>
      </c>
      <c r="U581">
        <v>161</v>
      </c>
      <c r="V581" t="s">
        <v>79</v>
      </c>
    </row>
    <row r="582" spans="1:22" x14ac:dyDescent="0.3">
      <c r="A582" t="s">
        <v>2031</v>
      </c>
      <c r="B582" t="s">
        <v>216</v>
      </c>
      <c r="C582">
        <v>36</v>
      </c>
      <c r="D582" t="s">
        <v>51</v>
      </c>
      <c r="E582" t="s">
        <v>40</v>
      </c>
      <c r="F582" t="s">
        <v>82</v>
      </c>
      <c r="G582" t="s">
        <v>657</v>
      </c>
      <c r="H582" t="s">
        <v>75</v>
      </c>
      <c r="I582" t="s">
        <v>77</v>
      </c>
      <c r="J582" t="s">
        <v>30</v>
      </c>
      <c r="K582">
        <v>4</v>
      </c>
      <c r="L582">
        <v>18420</v>
      </c>
      <c r="M582">
        <v>5</v>
      </c>
      <c r="N582" t="s">
        <v>166</v>
      </c>
      <c r="O582" t="s">
        <v>173</v>
      </c>
      <c r="P582" t="s">
        <v>33</v>
      </c>
      <c r="R582" t="s">
        <v>2032</v>
      </c>
      <c r="S582">
        <v>3</v>
      </c>
      <c r="T582" t="s">
        <v>96</v>
      </c>
      <c r="U582">
        <v>162</v>
      </c>
      <c r="V582" t="s">
        <v>62</v>
      </c>
    </row>
    <row r="583" spans="1:22" x14ac:dyDescent="0.3">
      <c r="A583" t="s">
        <v>2033</v>
      </c>
      <c r="B583" t="s">
        <v>193</v>
      </c>
      <c r="C583">
        <v>29</v>
      </c>
      <c r="D583" t="s">
        <v>24</v>
      </c>
      <c r="E583" t="s">
        <v>229</v>
      </c>
      <c r="F583" t="s">
        <v>53</v>
      </c>
      <c r="G583" t="s">
        <v>2034</v>
      </c>
      <c r="H583" t="s">
        <v>856</v>
      </c>
      <c r="I583" t="s">
        <v>43</v>
      </c>
      <c r="J583" t="s">
        <v>44</v>
      </c>
      <c r="L583">
        <v>17798</v>
      </c>
      <c r="M583">
        <v>15</v>
      </c>
      <c r="N583" t="s">
        <v>45</v>
      </c>
      <c r="O583" t="s">
        <v>173</v>
      </c>
      <c r="P583" t="s">
        <v>174</v>
      </c>
      <c r="Q583" t="s">
        <v>195</v>
      </c>
      <c r="R583" t="s">
        <v>2035</v>
      </c>
      <c r="S583">
        <v>2</v>
      </c>
      <c r="T583" t="s">
        <v>36</v>
      </c>
      <c r="U583">
        <v>330</v>
      </c>
      <c r="V583" t="s">
        <v>79</v>
      </c>
    </row>
    <row r="584" spans="1:22" x14ac:dyDescent="0.3">
      <c r="A584" t="s">
        <v>2036</v>
      </c>
      <c r="B584" t="s">
        <v>684</v>
      </c>
      <c r="C584">
        <v>20</v>
      </c>
      <c r="D584" t="s">
        <v>24</v>
      </c>
      <c r="E584" t="s">
        <v>229</v>
      </c>
      <c r="F584" t="s">
        <v>65</v>
      </c>
      <c r="G584" t="s">
        <v>582</v>
      </c>
      <c r="H584" t="s">
        <v>902</v>
      </c>
      <c r="I584" t="s">
        <v>93</v>
      </c>
      <c r="J584" t="s">
        <v>30</v>
      </c>
      <c r="K584">
        <v>5</v>
      </c>
      <c r="L584">
        <v>19103</v>
      </c>
      <c r="M584">
        <v>0</v>
      </c>
      <c r="N584" t="s">
        <v>166</v>
      </c>
      <c r="O584" t="s">
        <v>46</v>
      </c>
      <c r="P584" t="s">
        <v>58</v>
      </c>
      <c r="Q584" t="s">
        <v>785</v>
      </c>
      <c r="R584" t="s">
        <v>2037</v>
      </c>
      <c r="S584">
        <v>2</v>
      </c>
      <c r="T584" t="s">
        <v>36</v>
      </c>
      <c r="U584">
        <v>242</v>
      </c>
      <c r="V584" t="s">
        <v>79</v>
      </c>
    </row>
    <row r="585" spans="1:22" x14ac:dyDescent="0.3">
      <c r="A585" t="s">
        <v>2038</v>
      </c>
      <c r="B585" t="s">
        <v>1409</v>
      </c>
      <c r="C585">
        <v>47</v>
      </c>
      <c r="D585" t="s">
        <v>24</v>
      </c>
      <c r="E585" t="s">
        <v>99</v>
      </c>
      <c r="F585" t="s">
        <v>26</v>
      </c>
      <c r="G585" t="s">
        <v>510</v>
      </c>
      <c r="H585" t="s">
        <v>1433</v>
      </c>
      <c r="I585" t="s">
        <v>29</v>
      </c>
      <c r="J585" t="s">
        <v>44</v>
      </c>
      <c r="K585">
        <v>1</v>
      </c>
      <c r="L585">
        <v>58674</v>
      </c>
      <c r="M585">
        <v>0</v>
      </c>
      <c r="N585" t="s">
        <v>31</v>
      </c>
      <c r="O585" t="s">
        <v>281</v>
      </c>
      <c r="P585" t="s">
        <v>58</v>
      </c>
      <c r="Q585" t="s">
        <v>1082</v>
      </c>
      <c r="R585" t="s">
        <v>2039</v>
      </c>
      <c r="S585">
        <v>5</v>
      </c>
      <c r="T585" t="s">
        <v>72</v>
      </c>
      <c r="U585">
        <v>337</v>
      </c>
      <c r="V585" t="s">
        <v>62</v>
      </c>
    </row>
    <row r="586" spans="1:22" x14ac:dyDescent="0.3">
      <c r="A586" t="s">
        <v>2040</v>
      </c>
      <c r="B586" t="s">
        <v>729</v>
      </c>
      <c r="C586">
        <v>24</v>
      </c>
      <c r="D586" t="s">
        <v>51</v>
      </c>
      <c r="E586" t="s">
        <v>26</v>
      </c>
      <c r="F586" t="s">
        <v>91</v>
      </c>
      <c r="G586" t="s">
        <v>906</v>
      </c>
      <c r="H586" t="s">
        <v>1139</v>
      </c>
      <c r="I586" t="s">
        <v>77</v>
      </c>
      <c r="J586" t="s">
        <v>30</v>
      </c>
      <c r="K586">
        <v>4</v>
      </c>
      <c r="L586">
        <v>77562</v>
      </c>
      <c r="M586">
        <v>5</v>
      </c>
      <c r="N586" t="s">
        <v>31</v>
      </c>
      <c r="O586" t="s">
        <v>68</v>
      </c>
      <c r="P586" t="s">
        <v>174</v>
      </c>
      <c r="Q586" t="s">
        <v>732</v>
      </c>
      <c r="R586" t="s">
        <v>2041</v>
      </c>
      <c r="S586">
        <v>3</v>
      </c>
      <c r="T586" t="s">
        <v>61</v>
      </c>
      <c r="U586">
        <v>446</v>
      </c>
      <c r="V586" t="s">
        <v>62</v>
      </c>
    </row>
    <row r="587" spans="1:22" x14ac:dyDescent="0.3">
      <c r="A587" t="s">
        <v>2042</v>
      </c>
      <c r="B587" t="s">
        <v>204</v>
      </c>
      <c r="C587">
        <v>25</v>
      </c>
      <c r="D587" t="s">
        <v>24</v>
      </c>
      <c r="E587" t="s">
        <v>229</v>
      </c>
      <c r="F587" t="s">
        <v>26</v>
      </c>
      <c r="G587" t="s">
        <v>1320</v>
      </c>
      <c r="H587" t="s">
        <v>1321</v>
      </c>
      <c r="I587" t="s">
        <v>93</v>
      </c>
      <c r="J587" t="s">
        <v>44</v>
      </c>
      <c r="K587">
        <v>1</v>
      </c>
      <c r="L587">
        <v>45676</v>
      </c>
      <c r="M587">
        <v>5</v>
      </c>
      <c r="N587" t="s">
        <v>45</v>
      </c>
      <c r="O587" t="s">
        <v>46</v>
      </c>
      <c r="P587" t="s">
        <v>33</v>
      </c>
      <c r="Q587" t="s">
        <v>207</v>
      </c>
      <c r="R587" t="s">
        <v>2043</v>
      </c>
      <c r="S587">
        <v>2</v>
      </c>
      <c r="T587" t="s">
        <v>72</v>
      </c>
      <c r="U587">
        <v>268</v>
      </c>
      <c r="V587" t="s">
        <v>79</v>
      </c>
    </row>
    <row r="588" spans="1:22" x14ac:dyDescent="0.3">
      <c r="A588" t="s">
        <v>2044</v>
      </c>
      <c r="B588" t="s">
        <v>327</v>
      </c>
      <c r="C588">
        <v>45</v>
      </c>
      <c r="D588" t="s">
        <v>24</v>
      </c>
      <c r="E588" t="s">
        <v>52</v>
      </c>
      <c r="F588" t="s">
        <v>82</v>
      </c>
      <c r="G588" t="s">
        <v>1294</v>
      </c>
      <c r="H588" t="s">
        <v>830</v>
      </c>
      <c r="I588" t="s">
        <v>29</v>
      </c>
      <c r="J588" t="s">
        <v>30</v>
      </c>
      <c r="K588">
        <v>2</v>
      </c>
      <c r="L588">
        <v>63190</v>
      </c>
      <c r="M588">
        <v>5</v>
      </c>
      <c r="N588" t="s">
        <v>45</v>
      </c>
      <c r="O588" t="s">
        <v>281</v>
      </c>
      <c r="P588" t="s">
        <v>69</v>
      </c>
      <c r="Q588" t="s">
        <v>330</v>
      </c>
      <c r="R588" t="s">
        <v>2045</v>
      </c>
      <c r="S588">
        <v>1</v>
      </c>
      <c r="T588" t="s">
        <v>36</v>
      </c>
      <c r="U588">
        <v>163</v>
      </c>
      <c r="V588" t="s">
        <v>37</v>
      </c>
    </row>
    <row r="589" spans="1:22" x14ac:dyDescent="0.3">
      <c r="A589" t="s">
        <v>2046</v>
      </c>
      <c r="B589" t="s">
        <v>860</v>
      </c>
      <c r="C589">
        <v>20</v>
      </c>
      <c r="D589" t="s">
        <v>51</v>
      </c>
      <c r="E589" t="s">
        <v>52</v>
      </c>
      <c r="F589" t="s">
        <v>91</v>
      </c>
      <c r="G589" t="s">
        <v>2047</v>
      </c>
      <c r="H589" t="s">
        <v>294</v>
      </c>
      <c r="I589" t="s">
        <v>85</v>
      </c>
      <c r="J589" t="s">
        <v>30</v>
      </c>
      <c r="K589">
        <v>1</v>
      </c>
      <c r="L589">
        <v>20858</v>
      </c>
      <c r="M589">
        <v>15</v>
      </c>
      <c r="N589" t="s">
        <v>56</v>
      </c>
      <c r="O589" t="s">
        <v>281</v>
      </c>
      <c r="P589" t="s">
        <v>69</v>
      </c>
      <c r="Q589" t="s">
        <v>862</v>
      </c>
      <c r="R589" t="s">
        <v>2048</v>
      </c>
      <c r="S589">
        <v>2</v>
      </c>
      <c r="T589" t="s">
        <v>96</v>
      </c>
      <c r="U589">
        <v>311</v>
      </c>
      <c r="V589" t="s">
        <v>62</v>
      </c>
    </row>
    <row r="590" spans="1:22" x14ac:dyDescent="0.3">
      <c r="A590" t="s">
        <v>2049</v>
      </c>
      <c r="B590" t="s">
        <v>541</v>
      </c>
      <c r="C590">
        <v>48</v>
      </c>
      <c r="D590" t="s">
        <v>51</v>
      </c>
      <c r="E590" t="s">
        <v>99</v>
      </c>
      <c r="F590" t="s">
        <v>26</v>
      </c>
      <c r="G590" t="s">
        <v>263</v>
      </c>
      <c r="H590" t="s">
        <v>1460</v>
      </c>
      <c r="I590" t="s">
        <v>93</v>
      </c>
      <c r="J590" t="s">
        <v>30</v>
      </c>
      <c r="K590">
        <v>2</v>
      </c>
      <c r="L590">
        <v>43640</v>
      </c>
      <c r="M590">
        <v>0</v>
      </c>
      <c r="N590" t="s">
        <v>56</v>
      </c>
      <c r="O590" t="s">
        <v>173</v>
      </c>
      <c r="P590" t="s">
        <v>58</v>
      </c>
      <c r="Q590" t="s">
        <v>544</v>
      </c>
      <c r="R590" t="s">
        <v>2050</v>
      </c>
      <c r="S590">
        <v>4</v>
      </c>
      <c r="T590" t="s">
        <v>72</v>
      </c>
      <c r="U590">
        <v>458</v>
      </c>
      <c r="V590" t="s">
        <v>79</v>
      </c>
    </row>
    <row r="591" spans="1:22" x14ac:dyDescent="0.3">
      <c r="A591" t="s">
        <v>2051</v>
      </c>
      <c r="B591" t="s">
        <v>606</v>
      </c>
      <c r="C591">
        <v>39</v>
      </c>
      <c r="D591" t="s">
        <v>24</v>
      </c>
      <c r="E591" t="s">
        <v>99</v>
      </c>
      <c r="F591" t="s">
        <v>65</v>
      </c>
      <c r="G591" t="s">
        <v>583</v>
      </c>
      <c r="H591" t="s">
        <v>521</v>
      </c>
      <c r="I591" t="s">
        <v>108</v>
      </c>
      <c r="J591" t="s">
        <v>30</v>
      </c>
      <c r="K591">
        <v>2</v>
      </c>
      <c r="L591">
        <v>12764</v>
      </c>
      <c r="M591">
        <v>10</v>
      </c>
      <c r="N591" t="s">
        <v>31</v>
      </c>
      <c r="O591" t="s">
        <v>109</v>
      </c>
      <c r="P591" t="s">
        <v>174</v>
      </c>
      <c r="S591">
        <v>3</v>
      </c>
      <c r="T591" t="s">
        <v>36</v>
      </c>
      <c r="U591">
        <v>480</v>
      </c>
      <c r="V591" t="s">
        <v>62</v>
      </c>
    </row>
    <row r="592" spans="1:22" x14ac:dyDescent="0.3">
      <c r="A592" t="s">
        <v>2052</v>
      </c>
      <c r="B592" t="s">
        <v>64</v>
      </c>
      <c r="C592">
        <v>49</v>
      </c>
      <c r="D592" t="s">
        <v>24</v>
      </c>
      <c r="E592" t="s">
        <v>229</v>
      </c>
      <c r="F592" t="s">
        <v>82</v>
      </c>
      <c r="G592" t="s">
        <v>1341</v>
      </c>
      <c r="H592" t="s">
        <v>1706</v>
      </c>
      <c r="I592" t="s">
        <v>108</v>
      </c>
      <c r="J592" t="s">
        <v>30</v>
      </c>
      <c r="K592">
        <v>1</v>
      </c>
      <c r="L592">
        <v>22055</v>
      </c>
      <c r="M592">
        <v>0</v>
      </c>
      <c r="N592" t="s">
        <v>166</v>
      </c>
      <c r="O592" t="s">
        <v>68</v>
      </c>
      <c r="P592" t="s">
        <v>69</v>
      </c>
      <c r="Q592" t="s">
        <v>70</v>
      </c>
      <c r="R592" t="s">
        <v>2053</v>
      </c>
      <c r="S592">
        <v>1</v>
      </c>
      <c r="T592" t="s">
        <v>72</v>
      </c>
      <c r="U592">
        <v>209</v>
      </c>
      <c r="V592" t="s">
        <v>79</v>
      </c>
    </row>
    <row r="593" spans="1:22" x14ac:dyDescent="0.3">
      <c r="A593" t="s">
        <v>2054</v>
      </c>
      <c r="B593" t="s">
        <v>162</v>
      </c>
      <c r="C593">
        <v>30</v>
      </c>
      <c r="D593" t="s">
        <v>24</v>
      </c>
      <c r="E593" t="s">
        <v>25</v>
      </c>
      <c r="F593" t="s">
        <v>91</v>
      </c>
      <c r="G593" t="s">
        <v>1497</v>
      </c>
      <c r="H593" t="s">
        <v>2055</v>
      </c>
      <c r="I593" t="s">
        <v>108</v>
      </c>
      <c r="J593" t="s">
        <v>44</v>
      </c>
      <c r="K593">
        <v>3</v>
      </c>
      <c r="L593">
        <v>7146</v>
      </c>
      <c r="M593">
        <v>10</v>
      </c>
      <c r="N593" t="s">
        <v>45</v>
      </c>
      <c r="O593" t="s">
        <v>173</v>
      </c>
      <c r="P593" t="s">
        <v>174</v>
      </c>
      <c r="Q593" t="s">
        <v>167</v>
      </c>
      <c r="S593">
        <v>4</v>
      </c>
      <c r="T593" t="s">
        <v>72</v>
      </c>
      <c r="U593">
        <v>302</v>
      </c>
      <c r="V593" t="s">
        <v>37</v>
      </c>
    </row>
    <row r="594" spans="1:22" x14ac:dyDescent="0.3">
      <c r="A594" t="s">
        <v>2056</v>
      </c>
      <c r="B594" t="s">
        <v>136</v>
      </c>
      <c r="C594">
        <v>36</v>
      </c>
      <c r="D594" t="s">
        <v>51</v>
      </c>
      <c r="E594" t="s">
        <v>25</v>
      </c>
      <c r="F594" t="s">
        <v>82</v>
      </c>
      <c r="G594" t="s">
        <v>2057</v>
      </c>
      <c r="H594" t="s">
        <v>2058</v>
      </c>
      <c r="I594" t="s">
        <v>77</v>
      </c>
      <c r="J594" t="s">
        <v>30</v>
      </c>
      <c r="K594">
        <v>1</v>
      </c>
      <c r="L594">
        <v>32541</v>
      </c>
      <c r="M594">
        <v>0</v>
      </c>
      <c r="N594" t="s">
        <v>166</v>
      </c>
      <c r="O594" t="s">
        <v>133</v>
      </c>
      <c r="P594" t="s">
        <v>69</v>
      </c>
      <c r="Q594" t="s">
        <v>269</v>
      </c>
      <c r="R594" t="s">
        <v>2059</v>
      </c>
      <c r="S594">
        <v>4</v>
      </c>
      <c r="T594" t="s">
        <v>61</v>
      </c>
      <c r="U594">
        <v>424</v>
      </c>
      <c r="V594" t="s">
        <v>37</v>
      </c>
    </row>
    <row r="595" spans="1:22" x14ac:dyDescent="0.3">
      <c r="A595" t="s">
        <v>2060</v>
      </c>
      <c r="B595" t="s">
        <v>2061</v>
      </c>
      <c r="C595">
        <v>29</v>
      </c>
      <c r="D595" t="s">
        <v>51</v>
      </c>
      <c r="E595" t="s">
        <v>131</v>
      </c>
      <c r="F595" t="s">
        <v>91</v>
      </c>
      <c r="G595" t="s">
        <v>1126</v>
      </c>
      <c r="H595" t="s">
        <v>2062</v>
      </c>
      <c r="I595" t="s">
        <v>77</v>
      </c>
      <c r="J595" t="s">
        <v>30</v>
      </c>
      <c r="K595">
        <v>4</v>
      </c>
      <c r="L595">
        <v>45799</v>
      </c>
      <c r="M595">
        <v>0</v>
      </c>
      <c r="N595" t="s">
        <v>31</v>
      </c>
      <c r="O595" t="s">
        <v>133</v>
      </c>
      <c r="P595" t="s">
        <v>58</v>
      </c>
      <c r="Q595" t="s">
        <v>94</v>
      </c>
      <c r="R595" t="s">
        <v>2063</v>
      </c>
      <c r="S595">
        <v>2</v>
      </c>
      <c r="T595" t="s">
        <v>36</v>
      </c>
      <c r="U595">
        <v>161</v>
      </c>
      <c r="V595" t="s">
        <v>79</v>
      </c>
    </row>
    <row r="596" spans="1:22" x14ac:dyDescent="0.3">
      <c r="A596" t="s">
        <v>2064</v>
      </c>
      <c r="B596" t="s">
        <v>503</v>
      </c>
      <c r="C596">
        <v>32</v>
      </c>
      <c r="D596" t="s">
        <v>24</v>
      </c>
      <c r="E596" t="s">
        <v>25</v>
      </c>
      <c r="F596" t="s">
        <v>65</v>
      </c>
      <c r="G596" t="s">
        <v>1480</v>
      </c>
      <c r="H596" t="s">
        <v>2065</v>
      </c>
      <c r="I596" t="s">
        <v>93</v>
      </c>
      <c r="J596" t="s">
        <v>30</v>
      </c>
      <c r="K596">
        <v>4</v>
      </c>
      <c r="L596">
        <v>32191</v>
      </c>
      <c r="M596">
        <v>10</v>
      </c>
      <c r="N596" t="s">
        <v>31</v>
      </c>
      <c r="O596" t="s">
        <v>281</v>
      </c>
      <c r="P596" t="s">
        <v>33</v>
      </c>
      <c r="Q596" t="s">
        <v>506</v>
      </c>
      <c r="R596" t="s">
        <v>2066</v>
      </c>
      <c r="S596">
        <v>5</v>
      </c>
      <c r="T596" t="s">
        <v>96</v>
      </c>
      <c r="U596">
        <v>415</v>
      </c>
      <c r="V596" t="s">
        <v>79</v>
      </c>
    </row>
    <row r="597" spans="1:22" x14ac:dyDescent="0.3">
      <c r="A597" t="s">
        <v>2067</v>
      </c>
      <c r="B597" t="s">
        <v>527</v>
      </c>
      <c r="C597">
        <v>39</v>
      </c>
      <c r="D597" t="s">
        <v>24</v>
      </c>
      <c r="E597" t="s">
        <v>131</v>
      </c>
      <c r="F597" t="s">
        <v>82</v>
      </c>
      <c r="G597" t="s">
        <v>1588</v>
      </c>
      <c r="H597" t="s">
        <v>763</v>
      </c>
      <c r="I597" t="s">
        <v>85</v>
      </c>
      <c r="J597" t="s">
        <v>44</v>
      </c>
      <c r="K597">
        <v>3</v>
      </c>
      <c r="L597">
        <v>32196</v>
      </c>
      <c r="M597">
        <v>10</v>
      </c>
      <c r="N597" t="s">
        <v>31</v>
      </c>
      <c r="O597" t="s">
        <v>32</v>
      </c>
      <c r="P597" t="s">
        <v>33</v>
      </c>
      <c r="Q597" t="s">
        <v>530</v>
      </c>
      <c r="R597" t="s">
        <v>2068</v>
      </c>
      <c r="S597">
        <v>4</v>
      </c>
      <c r="T597" t="s">
        <v>36</v>
      </c>
      <c r="U597">
        <v>360</v>
      </c>
      <c r="V597" t="s">
        <v>62</v>
      </c>
    </row>
    <row r="598" spans="1:22" x14ac:dyDescent="0.3">
      <c r="A598" t="s">
        <v>2069</v>
      </c>
      <c r="B598" t="s">
        <v>484</v>
      </c>
      <c r="C598">
        <v>36</v>
      </c>
      <c r="D598" t="s">
        <v>24</v>
      </c>
      <c r="E598" t="s">
        <v>25</v>
      </c>
      <c r="F598" t="s">
        <v>82</v>
      </c>
      <c r="G598" t="s">
        <v>2070</v>
      </c>
      <c r="H598" t="s">
        <v>2071</v>
      </c>
      <c r="I598" t="s">
        <v>85</v>
      </c>
      <c r="J598" t="s">
        <v>44</v>
      </c>
      <c r="K598">
        <v>4</v>
      </c>
      <c r="L598">
        <v>16421</v>
      </c>
      <c r="M598">
        <v>5</v>
      </c>
      <c r="N598" t="s">
        <v>166</v>
      </c>
      <c r="O598" t="s">
        <v>102</v>
      </c>
      <c r="P598" t="s">
        <v>174</v>
      </c>
      <c r="Q598" t="s">
        <v>487</v>
      </c>
      <c r="R598" t="s">
        <v>2072</v>
      </c>
      <c r="S598">
        <v>5</v>
      </c>
      <c r="T598" t="s">
        <v>36</v>
      </c>
      <c r="U598">
        <v>110</v>
      </c>
      <c r="V598" t="s">
        <v>79</v>
      </c>
    </row>
    <row r="599" spans="1:22" x14ac:dyDescent="0.3">
      <c r="A599" t="s">
        <v>2073</v>
      </c>
      <c r="B599" t="s">
        <v>272</v>
      </c>
      <c r="C599">
        <v>37</v>
      </c>
      <c r="D599" t="s">
        <v>51</v>
      </c>
      <c r="E599" t="s">
        <v>40</v>
      </c>
      <c r="F599" t="s">
        <v>91</v>
      </c>
      <c r="G599" t="s">
        <v>763</v>
      </c>
      <c r="H599" t="s">
        <v>1832</v>
      </c>
      <c r="I599" t="s">
        <v>77</v>
      </c>
      <c r="J599" t="s">
        <v>30</v>
      </c>
      <c r="K599">
        <v>2</v>
      </c>
      <c r="L599">
        <v>49793</v>
      </c>
      <c r="M599">
        <v>10</v>
      </c>
      <c r="N599" t="s">
        <v>31</v>
      </c>
      <c r="O599" t="s">
        <v>173</v>
      </c>
      <c r="P599" t="s">
        <v>174</v>
      </c>
      <c r="Q599" t="s">
        <v>275</v>
      </c>
      <c r="R599" t="s">
        <v>2074</v>
      </c>
      <c r="S599">
        <v>1</v>
      </c>
      <c r="T599" t="s">
        <v>72</v>
      </c>
      <c r="U599">
        <v>71</v>
      </c>
      <c r="V599" t="s">
        <v>62</v>
      </c>
    </row>
    <row r="600" spans="1:22" x14ac:dyDescent="0.3">
      <c r="A600" t="s">
        <v>2075</v>
      </c>
      <c r="B600" t="s">
        <v>660</v>
      </c>
      <c r="C600">
        <v>34</v>
      </c>
      <c r="D600" t="s">
        <v>24</v>
      </c>
      <c r="E600" t="s">
        <v>229</v>
      </c>
      <c r="F600" t="s">
        <v>65</v>
      </c>
      <c r="G600" t="s">
        <v>2076</v>
      </c>
      <c r="H600" t="s">
        <v>408</v>
      </c>
      <c r="I600" t="s">
        <v>85</v>
      </c>
      <c r="J600" t="s">
        <v>44</v>
      </c>
      <c r="K600">
        <v>4</v>
      </c>
      <c r="L600">
        <v>30119</v>
      </c>
      <c r="M600">
        <v>5</v>
      </c>
      <c r="N600" t="s">
        <v>56</v>
      </c>
      <c r="O600" t="s">
        <v>109</v>
      </c>
      <c r="P600" t="s">
        <v>33</v>
      </c>
      <c r="R600" t="s">
        <v>2077</v>
      </c>
      <c r="S600">
        <v>4</v>
      </c>
      <c r="T600" t="s">
        <v>36</v>
      </c>
      <c r="U600">
        <v>81</v>
      </c>
      <c r="V600" t="s">
        <v>62</v>
      </c>
    </row>
    <row r="601" spans="1:22" x14ac:dyDescent="0.3">
      <c r="A601" t="s">
        <v>2078</v>
      </c>
      <c r="B601" t="s">
        <v>1690</v>
      </c>
      <c r="C601">
        <v>24</v>
      </c>
      <c r="D601" t="s">
        <v>24</v>
      </c>
      <c r="E601" t="s">
        <v>142</v>
      </c>
      <c r="F601" t="s">
        <v>82</v>
      </c>
      <c r="G601" t="s">
        <v>2079</v>
      </c>
      <c r="H601" t="s">
        <v>2080</v>
      </c>
      <c r="I601" t="s">
        <v>93</v>
      </c>
      <c r="J601" t="s">
        <v>44</v>
      </c>
      <c r="K601">
        <v>1</v>
      </c>
      <c r="L601">
        <v>20715</v>
      </c>
      <c r="M601">
        <v>0</v>
      </c>
      <c r="N601" t="s">
        <v>31</v>
      </c>
      <c r="O601" t="s">
        <v>57</v>
      </c>
      <c r="P601" t="s">
        <v>69</v>
      </c>
      <c r="Q601" t="s">
        <v>87</v>
      </c>
      <c r="R601" t="s">
        <v>2081</v>
      </c>
      <c r="S601">
        <v>5</v>
      </c>
      <c r="T601" t="s">
        <v>61</v>
      </c>
      <c r="U601">
        <v>142</v>
      </c>
      <c r="V601" t="s">
        <v>37</v>
      </c>
    </row>
    <row r="602" spans="1:22" x14ac:dyDescent="0.3">
      <c r="A602" t="s">
        <v>2082</v>
      </c>
      <c r="B602" t="s">
        <v>193</v>
      </c>
      <c r="C602">
        <v>45</v>
      </c>
      <c r="D602" t="s">
        <v>51</v>
      </c>
      <c r="E602" t="s">
        <v>25</v>
      </c>
      <c r="F602" t="s">
        <v>65</v>
      </c>
      <c r="G602" t="s">
        <v>2083</v>
      </c>
      <c r="H602" t="s">
        <v>837</v>
      </c>
      <c r="I602" t="s">
        <v>43</v>
      </c>
      <c r="J602" t="s">
        <v>44</v>
      </c>
      <c r="K602">
        <v>2</v>
      </c>
      <c r="L602">
        <v>76293</v>
      </c>
      <c r="M602">
        <v>5</v>
      </c>
      <c r="N602" t="s">
        <v>56</v>
      </c>
      <c r="O602" t="s">
        <v>133</v>
      </c>
      <c r="P602" t="s">
        <v>33</v>
      </c>
      <c r="Q602" t="s">
        <v>195</v>
      </c>
      <c r="R602" t="s">
        <v>2084</v>
      </c>
      <c r="S602">
        <v>5</v>
      </c>
      <c r="T602" t="s">
        <v>61</v>
      </c>
      <c r="U602">
        <v>332</v>
      </c>
      <c r="V602" t="s">
        <v>79</v>
      </c>
    </row>
    <row r="603" spans="1:22" x14ac:dyDescent="0.3">
      <c r="A603" t="s">
        <v>2085</v>
      </c>
      <c r="B603" t="s">
        <v>90</v>
      </c>
      <c r="C603">
        <v>31</v>
      </c>
      <c r="D603" t="s">
        <v>24</v>
      </c>
      <c r="E603" t="s">
        <v>99</v>
      </c>
      <c r="F603" t="s">
        <v>53</v>
      </c>
      <c r="G603" t="s">
        <v>2086</v>
      </c>
      <c r="H603" t="s">
        <v>715</v>
      </c>
      <c r="I603" t="s">
        <v>29</v>
      </c>
      <c r="J603" t="s">
        <v>44</v>
      </c>
      <c r="K603">
        <v>1</v>
      </c>
      <c r="M603">
        <v>15</v>
      </c>
      <c r="N603" t="s">
        <v>166</v>
      </c>
      <c r="O603" t="s">
        <v>102</v>
      </c>
      <c r="P603" t="s">
        <v>58</v>
      </c>
      <c r="Q603" t="s">
        <v>94</v>
      </c>
      <c r="R603" t="s">
        <v>2087</v>
      </c>
      <c r="S603">
        <v>4</v>
      </c>
      <c r="T603" t="s">
        <v>72</v>
      </c>
      <c r="U603">
        <v>161</v>
      </c>
      <c r="V603" t="s">
        <v>37</v>
      </c>
    </row>
    <row r="604" spans="1:22" x14ac:dyDescent="0.3">
      <c r="A604" t="s">
        <v>2088</v>
      </c>
      <c r="B604" t="s">
        <v>193</v>
      </c>
      <c r="C604">
        <v>58</v>
      </c>
      <c r="D604" t="s">
        <v>51</v>
      </c>
      <c r="E604" t="s">
        <v>99</v>
      </c>
      <c r="F604" t="s">
        <v>53</v>
      </c>
      <c r="G604" t="s">
        <v>2089</v>
      </c>
      <c r="H604" t="s">
        <v>2090</v>
      </c>
      <c r="I604" t="s">
        <v>93</v>
      </c>
      <c r="J604" t="s">
        <v>44</v>
      </c>
      <c r="K604">
        <v>5</v>
      </c>
      <c r="L604">
        <v>73566</v>
      </c>
      <c r="M604">
        <v>0</v>
      </c>
      <c r="N604" t="s">
        <v>166</v>
      </c>
      <c r="O604" t="s">
        <v>102</v>
      </c>
      <c r="P604" t="s">
        <v>69</v>
      </c>
      <c r="Q604" t="s">
        <v>195</v>
      </c>
      <c r="R604" t="s">
        <v>2091</v>
      </c>
      <c r="S604">
        <v>3</v>
      </c>
      <c r="T604" t="s">
        <v>61</v>
      </c>
      <c r="U604">
        <v>169</v>
      </c>
      <c r="V604" t="s">
        <v>79</v>
      </c>
    </row>
    <row r="605" spans="1:22" x14ac:dyDescent="0.3">
      <c r="A605" t="s">
        <v>2092</v>
      </c>
      <c r="B605" t="s">
        <v>1632</v>
      </c>
      <c r="C605">
        <v>55</v>
      </c>
      <c r="D605" t="s">
        <v>51</v>
      </c>
      <c r="E605" t="s">
        <v>26</v>
      </c>
      <c r="F605" t="s">
        <v>53</v>
      </c>
      <c r="G605" t="s">
        <v>1951</v>
      </c>
      <c r="H605" t="s">
        <v>670</v>
      </c>
      <c r="I605" t="s">
        <v>85</v>
      </c>
      <c r="J605" t="s">
        <v>44</v>
      </c>
      <c r="K605">
        <v>1</v>
      </c>
      <c r="L605">
        <v>74368</v>
      </c>
      <c r="M605">
        <v>5</v>
      </c>
      <c r="N605" t="s">
        <v>45</v>
      </c>
      <c r="O605" t="s">
        <v>68</v>
      </c>
      <c r="P605" t="s">
        <v>33</v>
      </c>
      <c r="Q605" t="s">
        <v>916</v>
      </c>
      <c r="R605" t="s">
        <v>2093</v>
      </c>
      <c r="S605">
        <v>5</v>
      </c>
      <c r="T605" t="s">
        <v>61</v>
      </c>
      <c r="U605">
        <v>205</v>
      </c>
      <c r="V605" t="s">
        <v>62</v>
      </c>
    </row>
    <row r="606" spans="1:22" x14ac:dyDescent="0.3">
      <c r="A606" t="s">
        <v>2094</v>
      </c>
      <c r="B606" t="s">
        <v>503</v>
      </c>
      <c r="C606">
        <v>26</v>
      </c>
      <c r="D606" t="s">
        <v>24</v>
      </c>
      <c r="E606" t="s">
        <v>25</v>
      </c>
      <c r="F606" t="s">
        <v>82</v>
      </c>
      <c r="G606" t="s">
        <v>245</v>
      </c>
      <c r="H606" t="s">
        <v>795</v>
      </c>
      <c r="I606" t="s">
        <v>29</v>
      </c>
      <c r="J606" t="s">
        <v>30</v>
      </c>
      <c r="K606">
        <v>1</v>
      </c>
      <c r="L606">
        <v>29335</v>
      </c>
      <c r="M606">
        <v>0</v>
      </c>
      <c r="N606" t="s">
        <v>56</v>
      </c>
      <c r="O606" t="s">
        <v>68</v>
      </c>
      <c r="P606" t="s">
        <v>174</v>
      </c>
      <c r="Q606" t="s">
        <v>506</v>
      </c>
      <c r="R606" t="s">
        <v>2095</v>
      </c>
      <c r="S606">
        <v>2</v>
      </c>
      <c r="T606" t="s">
        <v>72</v>
      </c>
      <c r="U606">
        <v>213</v>
      </c>
      <c r="V606" t="s">
        <v>62</v>
      </c>
    </row>
    <row r="607" spans="1:22" x14ac:dyDescent="0.3">
      <c r="A607" t="s">
        <v>2096</v>
      </c>
      <c r="B607" t="s">
        <v>361</v>
      </c>
      <c r="C607">
        <v>24</v>
      </c>
      <c r="D607" t="s">
        <v>24</v>
      </c>
      <c r="E607" t="s">
        <v>25</v>
      </c>
      <c r="F607" t="s">
        <v>82</v>
      </c>
      <c r="G607" t="s">
        <v>171</v>
      </c>
      <c r="H607" t="s">
        <v>1187</v>
      </c>
      <c r="I607" t="s">
        <v>85</v>
      </c>
      <c r="J607" t="s">
        <v>44</v>
      </c>
      <c r="K607">
        <v>5</v>
      </c>
      <c r="L607">
        <v>67880</v>
      </c>
      <c r="M607">
        <v>5</v>
      </c>
      <c r="N607" t="s">
        <v>56</v>
      </c>
      <c r="O607" t="s">
        <v>173</v>
      </c>
      <c r="P607" t="s">
        <v>69</v>
      </c>
      <c r="Q607" t="s">
        <v>364</v>
      </c>
      <c r="R607" t="s">
        <v>2097</v>
      </c>
      <c r="S607">
        <v>4</v>
      </c>
      <c r="T607" t="s">
        <v>72</v>
      </c>
      <c r="U607">
        <v>72</v>
      </c>
      <c r="V607" t="s">
        <v>62</v>
      </c>
    </row>
    <row r="608" spans="1:22" x14ac:dyDescent="0.3">
      <c r="A608" t="s">
        <v>2098</v>
      </c>
      <c r="B608" t="s">
        <v>278</v>
      </c>
      <c r="C608">
        <v>60</v>
      </c>
      <c r="D608" t="s">
        <v>51</v>
      </c>
      <c r="E608" t="s">
        <v>131</v>
      </c>
      <c r="F608" t="s">
        <v>82</v>
      </c>
      <c r="G608" t="s">
        <v>2099</v>
      </c>
      <c r="H608" t="s">
        <v>2100</v>
      </c>
      <c r="I608" t="s">
        <v>108</v>
      </c>
      <c r="J608" t="s">
        <v>30</v>
      </c>
      <c r="K608">
        <v>3</v>
      </c>
      <c r="L608">
        <v>20512</v>
      </c>
      <c r="M608">
        <v>5</v>
      </c>
      <c r="N608" t="s">
        <v>166</v>
      </c>
      <c r="O608" t="s">
        <v>86</v>
      </c>
      <c r="P608" t="s">
        <v>33</v>
      </c>
      <c r="Q608" t="s">
        <v>282</v>
      </c>
      <c r="R608" t="s">
        <v>2101</v>
      </c>
      <c r="S608">
        <v>1</v>
      </c>
      <c r="T608" t="s">
        <v>96</v>
      </c>
      <c r="U608">
        <v>65</v>
      </c>
      <c r="V608" t="s">
        <v>79</v>
      </c>
    </row>
    <row r="609" spans="1:22" x14ac:dyDescent="0.3">
      <c r="A609" t="s">
        <v>2102</v>
      </c>
      <c r="B609" t="s">
        <v>509</v>
      </c>
      <c r="C609">
        <v>53</v>
      </c>
      <c r="D609" t="s">
        <v>24</v>
      </c>
      <c r="E609" t="s">
        <v>26</v>
      </c>
      <c r="F609" t="s">
        <v>26</v>
      </c>
      <c r="G609" t="s">
        <v>357</v>
      </c>
      <c r="H609" t="s">
        <v>602</v>
      </c>
      <c r="I609" t="s">
        <v>77</v>
      </c>
      <c r="J609" t="s">
        <v>44</v>
      </c>
      <c r="K609">
        <v>2</v>
      </c>
      <c r="L609">
        <v>64493</v>
      </c>
      <c r="M609">
        <v>5</v>
      </c>
      <c r="N609" t="s">
        <v>31</v>
      </c>
      <c r="O609" t="s">
        <v>46</v>
      </c>
      <c r="P609" t="s">
        <v>174</v>
      </c>
      <c r="Q609" t="s">
        <v>512</v>
      </c>
      <c r="S609">
        <v>4</v>
      </c>
      <c r="T609" t="s">
        <v>36</v>
      </c>
      <c r="U609">
        <v>304</v>
      </c>
      <c r="V609" t="s">
        <v>79</v>
      </c>
    </row>
    <row r="610" spans="1:22" x14ac:dyDescent="0.3">
      <c r="A610" t="s">
        <v>2103</v>
      </c>
      <c r="B610" t="s">
        <v>1309</v>
      </c>
      <c r="C610">
        <v>23</v>
      </c>
      <c r="D610" t="s">
        <v>24</v>
      </c>
      <c r="E610" t="s">
        <v>52</v>
      </c>
      <c r="F610" t="s">
        <v>65</v>
      </c>
      <c r="G610" t="s">
        <v>630</v>
      </c>
      <c r="H610" t="s">
        <v>510</v>
      </c>
      <c r="I610" t="s">
        <v>77</v>
      </c>
      <c r="J610" t="s">
        <v>30</v>
      </c>
      <c r="K610">
        <v>4</v>
      </c>
      <c r="L610">
        <v>49378</v>
      </c>
      <c r="M610">
        <v>15</v>
      </c>
      <c r="N610" t="s">
        <v>45</v>
      </c>
      <c r="O610" t="s">
        <v>102</v>
      </c>
      <c r="P610" t="s">
        <v>33</v>
      </c>
      <c r="Q610" t="s">
        <v>1311</v>
      </c>
      <c r="R610" t="s">
        <v>2104</v>
      </c>
      <c r="S610">
        <v>4</v>
      </c>
      <c r="T610" t="s">
        <v>61</v>
      </c>
      <c r="U610">
        <v>485</v>
      </c>
      <c r="V610" t="s">
        <v>37</v>
      </c>
    </row>
    <row r="611" spans="1:22" x14ac:dyDescent="0.3">
      <c r="A611" t="s">
        <v>2105</v>
      </c>
      <c r="B611" t="s">
        <v>660</v>
      </c>
      <c r="C611">
        <v>47</v>
      </c>
      <c r="D611" t="s">
        <v>51</v>
      </c>
      <c r="E611" t="s">
        <v>142</v>
      </c>
      <c r="F611" t="s">
        <v>26</v>
      </c>
      <c r="G611" t="s">
        <v>2106</v>
      </c>
      <c r="H611" t="s">
        <v>2107</v>
      </c>
      <c r="I611" t="s">
        <v>43</v>
      </c>
      <c r="J611" t="s">
        <v>30</v>
      </c>
      <c r="K611">
        <v>3</v>
      </c>
      <c r="L611">
        <v>60659</v>
      </c>
      <c r="M611">
        <v>0</v>
      </c>
      <c r="N611" t="s">
        <v>166</v>
      </c>
      <c r="O611" t="s">
        <v>86</v>
      </c>
      <c r="P611" t="s">
        <v>174</v>
      </c>
      <c r="Q611" t="s">
        <v>662</v>
      </c>
      <c r="R611" t="s">
        <v>2108</v>
      </c>
      <c r="S611">
        <v>4</v>
      </c>
      <c r="T611" t="s">
        <v>96</v>
      </c>
      <c r="U611">
        <v>58</v>
      </c>
      <c r="V611" t="s">
        <v>37</v>
      </c>
    </row>
    <row r="612" spans="1:22" x14ac:dyDescent="0.3">
      <c r="A612" t="s">
        <v>2109</v>
      </c>
      <c r="B612" t="s">
        <v>2016</v>
      </c>
      <c r="C612">
        <v>37</v>
      </c>
      <c r="D612" t="s">
        <v>51</v>
      </c>
      <c r="E612" t="s">
        <v>25</v>
      </c>
      <c r="F612" t="s">
        <v>91</v>
      </c>
      <c r="G612" t="s">
        <v>1942</v>
      </c>
      <c r="H612" t="s">
        <v>1217</v>
      </c>
      <c r="I612" t="s">
        <v>43</v>
      </c>
      <c r="J612" t="s">
        <v>30</v>
      </c>
      <c r="K612">
        <v>5</v>
      </c>
      <c r="L612">
        <v>19434</v>
      </c>
      <c r="M612">
        <v>0</v>
      </c>
      <c r="N612" t="s">
        <v>56</v>
      </c>
      <c r="O612" t="s">
        <v>46</v>
      </c>
      <c r="P612" t="s">
        <v>69</v>
      </c>
      <c r="Q612" t="s">
        <v>1792</v>
      </c>
      <c r="R612" t="s">
        <v>2110</v>
      </c>
      <c r="S612">
        <v>3</v>
      </c>
      <c r="T612" t="s">
        <v>72</v>
      </c>
      <c r="U612">
        <v>310</v>
      </c>
      <c r="V612" t="s">
        <v>37</v>
      </c>
    </row>
    <row r="613" spans="1:22" x14ac:dyDescent="0.3">
      <c r="A613" t="s">
        <v>2111</v>
      </c>
      <c r="B613" t="s">
        <v>113</v>
      </c>
      <c r="C613">
        <v>60</v>
      </c>
      <c r="D613" t="s">
        <v>24</v>
      </c>
      <c r="E613" t="s">
        <v>99</v>
      </c>
      <c r="F613" t="s">
        <v>65</v>
      </c>
      <c r="G613" t="s">
        <v>2112</v>
      </c>
      <c r="H613" t="s">
        <v>619</v>
      </c>
      <c r="I613" t="s">
        <v>43</v>
      </c>
      <c r="J613" t="s">
        <v>44</v>
      </c>
      <c r="K613">
        <v>3</v>
      </c>
      <c r="L613">
        <v>16207</v>
      </c>
      <c r="M613">
        <v>10</v>
      </c>
      <c r="N613" t="s">
        <v>166</v>
      </c>
      <c r="O613" t="s">
        <v>68</v>
      </c>
      <c r="P613" t="s">
        <v>69</v>
      </c>
      <c r="Q613" t="s">
        <v>116</v>
      </c>
      <c r="R613" t="s">
        <v>2113</v>
      </c>
      <c r="S613">
        <v>3</v>
      </c>
      <c r="T613" t="s">
        <v>61</v>
      </c>
      <c r="U613">
        <v>252</v>
      </c>
      <c r="V613" t="s">
        <v>62</v>
      </c>
    </row>
    <row r="614" spans="1:22" x14ac:dyDescent="0.3">
      <c r="A614" t="s">
        <v>2114</v>
      </c>
      <c r="B614" t="s">
        <v>338</v>
      </c>
      <c r="C614">
        <v>26</v>
      </c>
      <c r="D614" t="s">
        <v>51</v>
      </c>
      <c r="E614" t="s">
        <v>40</v>
      </c>
      <c r="F614" t="s">
        <v>91</v>
      </c>
      <c r="G614" t="s">
        <v>2115</v>
      </c>
      <c r="H614" t="s">
        <v>2003</v>
      </c>
      <c r="I614" t="s">
        <v>43</v>
      </c>
      <c r="J614" t="s">
        <v>30</v>
      </c>
      <c r="K614">
        <v>1</v>
      </c>
      <c r="L614">
        <v>46557</v>
      </c>
      <c r="M614">
        <v>0</v>
      </c>
      <c r="N614" t="s">
        <v>45</v>
      </c>
      <c r="O614" t="s">
        <v>109</v>
      </c>
      <c r="P614" t="s">
        <v>174</v>
      </c>
      <c r="Q614" t="s">
        <v>341</v>
      </c>
      <c r="S614">
        <v>4</v>
      </c>
      <c r="T614" t="s">
        <v>72</v>
      </c>
      <c r="U614">
        <v>219</v>
      </c>
      <c r="V614" t="s">
        <v>62</v>
      </c>
    </row>
    <row r="615" spans="1:22" x14ac:dyDescent="0.3">
      <c r="A615" t="s">
        <v>2116</v>
      </c>
      <c r="B615" t="s">
        <v>23</v>
      </c>
      <c r="C615">
        <v>35</v>
      </c>
      <c r="D615" t="s">
        <v>24</v>
      </c>
      <c r="E615" t="s">
        <v>40</v>
      </c>
      <c r="F615" t="s">
        <v>26</v>
      </c>
      <c r="G615" t="s">
        <v>2117</v>
      </c>
      <c r="H615" t="s">
        <v>1379</v>
      </c>
      <c r="I615" t="s">
        <v>43</v>
      </c>
      <c r="J615" t="s">
        <v>44</v>
      </c>
      <c r="K615">
        <v>1</v>
      </c>
      <c r="L615">
        <v>12462</v>
      </c>
      <c r="M615">
        <v>10</v>
      </c>
      <c r="N615" t="s">
        <v>56</v>
      </c>
      <c r="O615" t="s">
        <v>32</v>
      </c>
      <c r="P615" t="s">
        <v>33</v>
      </c>
      <c r="Q615" t="s">
        <v>34</v>
      </c>
      <c r="R615" t="s">
        <v>2118</v>
      </c>
      <c r="S615">
        <v>2</v>
      </c>
      <c r="T615" t="s">
        <v>96</v>
      </c>
      <c r="U615">
        <v>76</v>
      </c>
      <c r="V615" t="s">
        <v>37</v>
      </c>
    </row>
    <row r="616" spans="1:22" x14ac:dyDescent="0.3">
      <c r="A616" t="s">
        <v>2119</v>
      </c>
      <c r="B616" t="s">
        <v>170</v>
      </c>
      <c r="C616">
        <v>30</v>
      </c>
      <c r="D616" t="s">
        <v>51</v>
      </c>
      <c r="E616" t="s">
        <v>131</v>
      </c>
      <c r="F616" t="s">
        <v>82</v>
      </c>
      <c r="G616" t="s">
        <v>1287</v>
      </c>
      <c r="H616" t="s">
        <v>178</v>
      </c>
      <c r="I616" t="s">
        <v>43</v>
      </c>
      <c r="J616" t="s">
        <v>44</v>
      </c>
      <c r="K616">
        <v>1</v>
      </c>
      <c r="L616">
        <v>52752</v>
      </c>
      <c r="M616">
        <v>5</v>
      </c>
      <c r="N616" t="s">
        <v>56</v>
      </c>
      <c r="O616" t="s">
        <v>173</v>
      </c>
      <c r="P616" t="s">
        <v>33</v>
      </c>
      <c r="Q616" t="s">
        <v>175</v>
      </c>
      <c r="R616" t="s">
        <v>2120</v>
      </c>
      <c r="S616">
        <v>3</v>
      </c>
      <c r="T616" t="s">
        <v>72</v>
      </c>
      <c r="U616">
        <v>130</v>
      </c>
      <c r="V616" t="s">
        <v>79</v>
      </c>
    </row>
    <row r="617" spans="1:22" x14ac:dyDescent="0.3">
      <c r="A617" t="s">
        <v>2121</v>
      </c>
      <c r="B617" t="s">
        <v>1118</v>
      </c>
      <c r="C617">
        <v>34</v>
      </c>
      <c r="D617" t="s">
        <v>24</v>
      </c>
      <c r="E617" t="s">
        <v>229</v>
      </c>
      <c r="F617" t="s">
        <v>82</v>
      </c>
      <c r="G617" t="s">
        <v>2122</v>
      </c>
      <c r="H617" t="s">
        <v>345</v>
      </c>
      <c r="I617" t="s">
        <v>85</v>
      </c>
      <c r="J617" t="s">
        <v>44</v>
      </c>
      <c r="K617">
        <v>1</v>
      </c>
      <c r="L617">
        <v>32657</v>
      </c>
      <c r="M617">
        <v>0</v>
      </c>
      <c r="N617" t="s">
        <v>166</v>
      </c>
      <c r="O617" t="s">
        <v>133</v>
      </c>
      <c r="P617" t="s">
        <v>174</v>
      </c>
      <c r="Q617" t="s">
        <v>1120</v>
      </c>
      <c r="R617" t="s">
        <v>2123</v>
      </c>
      <c r="S617">
        <v>2</v>
      </c>
      <c r="T617" t="s">
        <v>36</v>
      </c>
      <c r="U617">
        <v>461</v>
      </c>
      <c r="V617" t="s">
        <v>62</v>
      </c>
    </row>
    <row r="618" spans="1:22" x14ac:dyDescent="0.3">
      <c r="A618" t="s">
        <v>2124</v>
      </c>
      <c r="B618" t="s">
        <v>1080</v>
      </c>
      <c r="C618">
        <v>24</v>
      </c>
      <c r="D618" t="s">
        <v>51</v>
      </c>
      <c r="E618" t="s">
        <v>131</v>
      </c>
      <c r="F618" t="s">
        <v>82</v>
      </c>
      <c r="G618" t="s">
        <v>263</v>
      </c>
      <c r="H618" t="s">
        <v>1270</v>
      </c>
      <c r="I618" t="s">
        <v>108</v>
      </c>
      <c r="J618" t="s">
        <v>44</v>
      </c>
      <c r="K618">
        <v>1</v>
      </c>
      <c r="L618">
        <v>24562</v>
      </c>
      <c r="M618">
        <v>5</v>
      </c>
      <c r="N618" t="s">
        <v>166</v>
      </c>
      <c r="O618" t="s">
        <v>32</v>
      </c>
      <c r="P618" t="s">
        <v>174</v>
      </c>
      <c r="Q618" t="s">
        <v>1082</v>
      </c>
      <c r="R618" t="s">
        <v>2125</v>
      </c>
      <c r="S618">
        <v>4</v>
      </c>
      <c r="T618" t="s">
        <v>36</v>
      </c>
      <c r="U618">
        <v>318</v>
      </c>
      <c r="V618" t="s">
        <v>79</v>
      </c>
    </row>
    <row r="619" spans="1:22" x14ac:dyDescent="0.3">
      <c r="A619" t="s">
        <v>2126</v>
      </c>
      <c r="B619" t="s">
        <v>660</v>
      </c>
      <c r="C619">
        <v>41</v>
      </c>
      <c r="D619" t="s">
        <v>24</v>
      </c>
      <c r="E619" t="s">
        <v>52</v>
      </c>
      <c r="F619" t="s">
        <v>82</v>
      </c>
      <c r="G619" t="s">
        <v>363</v>
      </c>
      <c r="H619" t="s">
        <v>557</v>
      </c>
      <c r="I619" t="s">
        <v>108</v>
      </c>
      <c r="J619" t="s">
        <v>44</v>
      </c>
      <c r="K619">
        <v>2</v>
      </c>
      <c r="L619">
        <v>8423</v>
      </c>
      <c r="M619">
        <v>10</v>
      </c>
      <c r="N619" t="s">
        <v>45</v>
      </c>
      <c r="O619" t="s">
        <v>46</v>
      </c>
      <c r="P619" t="s">
        <v>58</v>
      </c>
      <c r="Q619" t="s">
        <v>662</v>
      </c>
      <c r="R619" t="s">
        <v>2127</v>
      </c>
      <c r="S619">
        <v>2</v>
      </c>
      <c r="T619" t="s">
        <v>72</v>
      </c>
      <c r="U619">
        <v>71</v>
      </c>
      <c r="V619" t="s">
        <v>62</v>
      </c>
    </row>
    <row r="620" spans="1:22" x14ac:dyDescent="0.3">
      <c r="A620" t="s">
        <v>2128</v>
      </c>
      <c r="B620" t="s">
        <v>860</v>
      </c>
      <c r="C620">
        <v>58</v>
      </c>
      <c r="D620" t="s">
        <v>51</v>
      </c>
      <c r="E620" t="s">
        <v>26</v>
      </c>
      <c r="F620" t="s">
        <v>53</v>
      </c>
      <c r="G620" t="s">
        <v>2129</v>
      </c>
      <c r="H620" t="s">
        <v>1372</v>
      </c>
      <c r="I620" t="s">
        <v>77</v>
      </c>
      <c r="J620" t="s">
        <v>30</v>
      </c>
      <c r="K620">
        <v>4</v>
      </c>
      <c r="L620">
        <v>78459</v>
      </c>
      <c r="M620">
        <v>15</v>
      </c>
      <c r="N620" t="s">
        <v>45</v>
      </c>
      <c r="O620" t="s">
        <v>133</v>
      </c>
      <c r="P620" t="s">
        <v>33</v>
      </c>
      <c r="Q620" t="s">
        <v>862</v>
      </c>
      <c r="R620" t="s">
        <v>2130</v>
      </c>
      <c r="S620">
        <v>1</v>
      </c>
      <c r="T620" t="s">
        <v>36</v>
      </c>
      <c r="U620">
        <v>352</v>
      </c>
      <c r="V620" t="s">
        <v>37</v>
      </c>
    </row>
    <row r="621" spans="1:22" x14ac:dyDescent="0.3">
      <c r="A621" t="s">
        <v>2131</v>
      </c>
      <c r="B621" t="s">
        <v>2132</v>
      </c>
      <c r="C621">
        <v>25</v>
      </c>
      <c r="D621" t="s">
        <v>24</v>
      </c>
      <c r="E621" t="s">
        <v>52</v>
      </c>
      <c r="F621" t="s">
        <v>82</v>
      </c>
      <c r="G621" t="s">
        <v>2133</v>
      </c>
      <c r="H621" t="s">
        <v>810</v>
      </c>
      <c r="I621" t="s">
        <v>93</v>
      </c>
      <c r="J621" t="s">
        <v>30</v>
      </c>
      <c r="K621">
        <v>5</v>
      </c>
      <c r="L621">
        <v>52722</v>
      </c>
      <c r="M621">
        <v>15</v>
      </c>
      <c r="N621" t="s">
        <v>166</v>
      </c>
      <c r="O621" t="s">
        <v>173</v>
      </c>
      <c r="P621" t="s">
        <v>69</v>
      </c>
      <c r="Q621" t="s">
        <v>785</v>
      </c>
      <c r="R621" t="s">
        <v>2134</v>
      </c>
      <c r="S621">
        <v>5</v>
      </c>
      <c r="T621" t="s">
        <v>96</v>
      </c>
      <c r="U621">
        <v>462</v>
      </c>
      <c r="V621" t="s">
        <v>62</v>
      </c>
    </row>
    <row r="622" spans="1:22" x14ac:dyDescent="0.3">
      <c r="A622" t="s">
        <v>2135</v>
      </c>
      <c r="B622" t="s">
        <v>204</v>
      </c>
      <c r="C622">
        <v>32</v>
      </c>
      <c r="D622" t="s">
        <v>24</v>
      </c>
      <c r="E622" t="s">
        <v>25</v>
      </c>
      <c r="F622" t="s">
        <v>82</v>
      </c>
      <c r="G622" t="s">
        <v>1862</v>
      </c>
      <c r="H622" t="s">
        <v>970</v>
      </c>
      <c r="I622" t="s">
        <v>108</v>
      </c>
      <c r="J622" t="s">
        <v>44</v>
      </c>
      <c r="K622">
        <v>1</v>
      </c>
      <c r="L622">
        <v>26716</v>
      </c>
      <c r="M622">
        <v>5</v>
      </c>
      <c r="N622" t="s">
        <v>31</v>
      </c>
      <c r="O622" t="s">
        <v>57</v>
      </c>
      <c r="P622" t="s">
        <v>174</v>
      </c>
      <c r="Q622" t="s">
        <v>207</v>
      </c>
      <c r="R622" t="s">
        <v>2136</v>
      </c>
      <c r="S622">
        <v>4</v>
      </c>
      <c r="T622" t="s">
        <v>96</v>
      </c>
      <c r="U622">
        <v>409</v>
      </c>
      <c r="V622" t="s">
        <v>62</v>
      </c>
    </row>
    <row r="623" spans="1:22" x14ac:dyDescent="0.3">
      <c r="A623" t="s">
        <v>2137</v>
      </c>
      <c r="B623" t="s">
        <v>601</v>
      </c>
      <c r="C623">
        <v>31</v>
      </c>
      <c r="D623" t="s">
        <v>24</v>
      </c>
      <c r="E623" t="s">
        <v>40</v>
      </c>
      <c r="F623" t="s">
        <v>82</v>
      </c>
      <c r="G623" t="s">
        <v>2099</v>
      </c>
      <c r="H623" t="s">
        <v>1047</v>
      </c>
      <c r="I623" t="s">
        <v>108</v>
      </c>
      <c r="J623" t="s">
        <v>30</v>
      </c>
      <c r="K623">
        <v>2</v>
      </c>
      <c r="L623">
        <v>24930</v>
      </c>
      <c r="M623">
        <v>5</v>
      </c>
      <c r="N623" t="s">
        <v>45</v>
      </c>
      <c r="O623" t="s">
        <v>32</v>
      </c>
      <c r="P623" t="s">
        <v>69</v>
      </c>
      <c r="Q623" t="s">
        <v>603</v>
      </c>
      <c r="R623" t="s">
        <v>2138</v>
      </c>
      <c r="S623">
        <v>1</v>
      </c>
      <c r="T623" t="s">
        <v>36</v>
      </c>
      <c r="U623">
        <v>91</v>
      </c>
      <c r="V623" t="s">
        <v>62</v>
      </c>
    </row>
    <row r="624" spans="1:22" x14ac:dyDescent="0.3">
      <c r="A624" t="s">
        <v>2139</v>
      </c>
      <c r="B624" t="s">
        <v>150</v>
      </c>
      <c r="C624">
        <v>50</v>
      </c>
      <c r="D624" t="s">
        <v>24</v>
      </c>
      <c r="E624" t="s">
        <v>26</v>
      </c>
      <c r="F624" t="s">
        <v>82</v>
      </c>
      <c r="G624" t="s">
        <v>2140</v>
      </c>
      <c r="H624" t="s">
        <v>613</v>
      </c>
      <c r="I624" t="s">
        <v>43</v>
      </c>
      <c r="J624" t="s">
        <v>44</v>
      </c>
      <c r="L624">
        <v>79638</v>
      </c>
      <c r="M624">
        <v>10</v>
      </c>
      <c r="N624" t="s">
        <v>166</v>
      </c>
      <c r="O624" t="s">
        <v>86</v>
      </c>
      <c r="P624" t="s">
        <v>58</v>
      </c>
      <c r="Q624" t="s">
        <v>153</v>
      </c>
      <c r="R624" t="s">
        <v>2141</v>
      </c>
      <c r="S624">
        <v>3</v>
      </c>
      <c r="T624" t="s">
        <v>36</v>
      </c>
      <c r="U624">
        <v>334</v>
      </c>
      <c r="V624" t="s">
        <v>79</v>
      </c>
    </row>
    <row r="625" spans="1:22" x14ac:dyDescent="0.3">
      <c r="A625" t="s">
        <v>2142</v>
      </c>
      <c r="B625" t="s">
        <v>235</v>
      </c>
      <c r="C625">
        <v>54</v>
      </c>
      <c r="D625" t="s">
        <v>163</v>
      </c>
      <c r="E625" t="s">
        <v>142</v>
      </c>
      <c r="F625" t="s">
        <v>82</v>
      </c>
      <c r="G625" t="s">
        <v>910</v>
      </c>
      <c r="H625" t="s">
        <v>1410</v>
      </c>
      <c r="I625" t="s">
        <v>43</v>
      </c>
      <c r="J625" t="s">
        <v>30</v>
      </c>
      <c r="K625">
        <v>1</v>
      </c>
      <c r="L625">
        <v>37598</v>
      </c>
      <c r="M625">
        <v>0</v>
      </c>
      <c r="N625" t="s">
        <v>166</v>
      </c>
      <c r="O625" t="s">
        <v>46</v>
      </c>
      <c r="P625" t="s">
        <v>33</v>
      </c>
      <c r="Q625" t="s">
        <v>871</v>
      </c>
      <c r="R625" t="s">
        <v>2143</v>
      </c>
      <c r="S625">
        <v>3</v>
      </c>
      <c r="T625" t="s">
        <v>96</v>
      </c>
      <c r="U625">
        <v>403</v>
      </c>
      <c r="V625" t="s">
        <v>62</v>
      </c>
    </row>
    <row r="626" spans="1:22" x14ac:dyDescent="0.3">
      <c r="A626" t="s">
        <v>2144</v>
      </c>
      <c r="B626" t="s">
        <v>840</v>
      </c>
      <c r="C626">
        <v>25</v>
      </c>
      <c r="D626" t="s">
        <v>183</v>
      </c>
      <c r="E626" t="s">
        <v>142</v>
      </c>
      <c r="F626" t="s">
        <v>53</v>
      </c>
      <c r="G626" t="s">
        <v>2129</v>
      </c>
      <c r="H626" t="s">
        <v>878</v>
      </c>
      <c r="I626" t="s">
        <v>77</v>
      </c>
      <c r="J626" t="s">
        <v>30</v>
      </c>
      <c r="K626">
        <v>1</v>
      </c>
      <c r="L626">
        <v>47343</v>
      </c>
      <c r="M626">
        <v>10</v>
      </c>
      <c r="N626" t="s">
        <v>45</v>
      </c>
      <c r="O626" t="s">
        <v>281</v>
      </c>
      <c r="P626" t="s">
        <v>58</v>
      </c>
      <c r="R626" t="s">
        <v>2145</v>
      </c>
      <c r="S626">
        <v>4</v>
      </c>
      <c r="T626" t="s">
        <v>96</v>
      </c>
      <c r="U626">
        <v>461</v>
      </c>
      <c r="V626" t="s">
        <v>79</v>
      </c>
    </row>
    <row r="627" spans="1:22" x14ac:dyDescent="0.3">
      <c r="A627" t="s">
        <v>2146</v>
      </c>
      <c r="B627" t="s">
        <v>570</v>
      </c>
      <c r="C627">
        <v>59</v>
      </c>
      <c r="D627" t="s">
        <v>24</v>
      </c>
      <c r="E627" t="s">
        <v>131</v>
      </c>
      <c r="F627" t="s">
        <v>91</v>
      </c>
      <c r="G627" t="s">
        <v>1862</v>
      </c>
      <c r="H627" t="s">
        <v>788</v>
      </c>
      <c r="I627" t="s">
        <v>77</v>
      </c>
      <c r="J627" t="s">
        <v>44</v>
      </c>
      <c r="K627">
        <v>1</v>
      </c>
      <c r="L627">
        <v>20853</v>
      </c>
      <c r="M627">
        <v>0</v>
      </c>
      <c r="N627" t="s">
        <v>56</v>
      </c>
      <c r="O627" t="s">
        <v>32</v>
      </c>
      <c r="P627" t="s">
        <v>69</v>
      </c>
      <c r="Q627" t="s">
        <v>573</v>
      </c>
      <c r="R627" t="s">
        <v>2147</v>
      </c>
      <c r="S627">
        <v>5</v>
      </c>
      <c r="T627" t="s">
        <v>72</v>
      </c>
      <c r="U627">
        <v>415</v>
      </c>
      <c r="V627" t="s">
        <v>62</v>
      </c>
    </row>
    <row r="628" spans="1:22" x14ac:dyDescent="0.3">
      <c r="A628" t="s">
        <v>2148</v>
      </c>
      <c r="B628" t="s">
        <v>1690</v>
      </c>
      <c r="C628">
        <v>59</v>
      </c>
      <c r="D628" t="s">
        <v>51</v>
      </c>
      <c r="E628" t="s">
        <v>52</v>
      </c>
      <c r="F628" t="s">
        <v>53</v>
      </c>
      <c r="G628" t="s">
        <v>1062</v>
      </c>
      <c r="H628" t="s">
        <v>768</v>
      </c>
      <c r="I628" t="s">
        <v>77</v>
      </c>
      <c r="J628" t="s">
        <v>44</v>
      </c>
      <c r="K628">
        <v>3</v>
      </c>
      <c r="L628">
        <v>51207</v>
      </c>
      <c r="M628">
        <v>0</v>
      </c>
      <c r="N628" t="s">
        <v>166</v>
      </c>
      <c r="O628" t="s">
        <v>86</v>
      </c>
      <c r="P628" t="s">
        <v>69</v>
      </c>
      <c r="Q628" t="s">
        <v>87</v>
      </c>
      <c r="R628" t="s">
        <v>2149</v>
      </c>
      <c r="S628">
        <v>2</v>
      </c>
      <c r="T628" t="s">
        <v>61</v>
      </c>
      <c r="U628">
        <v>289</v>
      </c>
      <c r="V628" t="s">
        <v>79</v>
      </c>
    </row>
    <row r="629" spans="1:22" x14ac:dyDescent="0.3">
      <c r="A629" t="s">
        <v>2150</v>
      </c>
      <c r="B629" t="s">
        <v>484</v>
      </c>
      <c r="C629">
        <v>52</v>
      </c>
      <c r="D629" t="s">
        <v>24</v>
      </c>
      <c r="E629" t="s">
        <v>26</v>
      </c>
      <c r="F629" t="s">
        <v>82</v>
      </c>
      <c r="G629" t="s">
        <v>67</v>
      </c>
      <c r="H629" t="s">
        <v>1241</v>
      </c>
      <c r="I629" t="s">
        <v>29</v>
      </c>
      <c r="J629" t="s">
        <v>44</v>
      </c>
      <c r="K629">
        <v>2</v>
      </c>
      <c r="L629">
        <v>64753</v>
      </c>
      <c r="M629">
        <v>5</v>
      </c>
      <c r="N629" t="s">
        <v>56</v>
      </c>
      <c r="O629" t="s">
        <v>57</v>
      </c>
      <c r="P629" t="s">
        <v>58</v>
      </c>
      <c r="Q629" t="s">
        <v>487</v>
      </c>
      <c r="R629" t="s">
        <v>2151</v>
      </c>
      <c r="S629">
        <v>2</v>
      </c>
      <c r="T629" t="s">
        <v>36</v>
      </c>
      <c r="U629">
        <v>418</v>
      </c>
      <c r="V629" t="s">
        <v>37</v>
      </c>
    </row>
    <row r="630" spans="1:22" x14ac:dyDescent="0.3">
      <c r="A630" t="s">
        <v>2152</v>
      </c>
      <c r="B630" t="s">
        <v>204</v>
      </c>
      <c r="C630">
        <v>59</v>
      </c>
      <c r="D630" t="s">
        <v>51</v>
      </c>
      <c r="E630" t="s">
        <v>26</v>
      </c>
      <c r="F630" t="s">
        <v>53</v>
      </c>
      <c r="G630" t="s">
        <v>642</v>
      </c>
      <c r="H630" t="s">
        <v>2153</v>
      </c>
      <c r="I630" t="s">
        <v>77</v>
      </c>
      <c r="J630" t="s">
        <v>44</v>
      </c>
      <c r="K630">
        <v>4</v>
      </c>
      <c r="L630">
        <v>19784</v>
      </c>
      <c r="M630">
        <v>10</v>
      </c>
      <c r="N630" t="s">
        <v>56</v>
      </c>
      <c r="O630" t="s">
        <v>46</v>
      </c>
      <c r="P630" t="s">
        <v>58</v>
      </c>
      <c r="Q630" t="s">
        <v>207</v>
      </c>
      <c r="S630">
        <v>5</v>
      </c>
      <c r="T630" t="s">
        <v>96</v>
      </c>
      <c r="U630">
        <v>460</v>
      </c>
      <c r="V630" t="s">
        <v>79</v>
      </c>
    </row>
    <row r="631" spans="1:22" x14ac:dyDescent="0.3">
      <c r="A631" t="s">
        <v>2154</v>
      </c>
      <c r="B631" t="s">
        <v>850</v>
      </c>
      <c r="C631">
        <v>44</v>
      </c>
      <c r="D631" t="s">
        <v>24</v>
      </c>
      <c r="E631" t="s">
        <v>40</v>
      </c>
      <c r="F631" t="s">
        <v>91</v>
      </c>
      <c r="G631" t="s">
        <v>1034</v>
      </c>
      <c r="H631" t="s">
        <v>295</v>
      </c>
      <c r="I631" t="s">
        <v>85</v>
      </c>
      <c r="J631" t="s">
        <v>30</v>
      </c>
      <c r="K631">
        <v>5</v>
      </c>
      <c r="L631">
        <v>51796</v>
      </c>
      <c r="M631">
        <v>5</v>
      </c>
      <c r="N631" t="s">
        <v>45</v>
      </c>
      <c r="O631" t="s">
        <v>68</v>
      </c>
      <c r="P631" t="s">
        <v>33</v>
      </c>
      <c r="Q631" t="s">
        <v>258</v>
      </c>
      <c r="R631" t="s">
        <v>2155</v>
      </c>
      <c r="S631">
        <v>5</v>
      </c>
      <c r="T631" t="s">
        <v>96</v>
      </c>
      <c r="U631">
        <v>69</v>
      </c>
      <c r="V631" t="s">
        <v>79</v>
      </c>
    </row>
    <row r="632" spans="1:22" x14ac:dyDescent="0.3">
      <c r="A632" t="s">
        <v>2156</v>
      </c>
      <c r="B632" t="s">
        <v>933</v>
      </c>
      <c r="C632">
        <v>57</v>
      </c>
      <c r="D632" t="s">
        <v>24</v>
      </c>
      <c r="E632" t="s">
        <v>40</v>
      </c>
      <c r="F632" t="s">
        <v>26</v>
      </c>
      <c r="G632" t="s">
        <v>1417</v>
      </c>
      <c r="H632" t="s">
        <v>1292</v>
      </c>
      <c r="I632" t="s">
        <v>93</v>
      </c>
      <c r="J632" t="s">
        <v>44</v>
      </c>
      <c r="K632">
        <v>1</v>
      </c>
      <c r="L632">
        <v>17854</v>
      </c>
      <c r="M632">
        <v>0</v>
      </c>
      <c r="N632" t="s">
        <v>45</v>
      </c>
      <c r="O632" t="s">
        <v>109</v>
      </c>
      <c r="P632" t="s">
        <v>69</v>
      </c>
      <c r="Q632" t="s">
        <v>935</v>
      </c>
      <c r="R632" t="s">
        <v>2157</v>
      </c>
      <c r="S632">
        <v>2</v>
      </c>
      <c r="T632" t="s">
        <v>61</v>
      </c>
      <c r="U632">
        <v>339</v>
      </c>
      <c r="V632" t="s">
        <v>79</v>
      </c>
    </row>
    <row r="633" spans="1:22" x14ac:dyDescent="0.3">
      <c r="A633" t="s">
        <v>2158</v>
      </c>
      <c r="B633" t="s">
        <v>2159</v>
      </c>
      <c r="C633">
        <v>36</v>
      </c>
      <c r="D633" t="s">
        <v>24</v>
      </c>
      <c r="E633" t="s">
        <v>40</v>
      </c>
      <c r="F633" t="s">
        <v>53</v>
      </c>
      <c r="G633" t="s">
        <v>784</v>
      </c>
      <c r="H633" t="s">
        <v>652</v>
      </c>
      <c r="I633" t="s">
        <v>108</v>
      </c>
      <c r="J633" t="s">
        <v>44</v>
      </c>
      <c r="K633">
        <v>3</v>
      </c>
      <c r="M633">
        <v>10</v>
      </c>
      <c r="N633" t="s">
        <v>45</v>
      </c>
      <c r="O633" t="s">
        <v>68</v>
      </c>
      <c r="P633" t="s">
        <v>33</v>
      </c>
      <c r="Q633" t="s">
        <v>341</v>
      </c>
      <c r="R633" t="s">
        <v>2160</v>
      </c>
      <c r="S633">
        <v>3</v>
      </c>
      <c r="T633" t="s">
        <v>36</v>
      </c>
      <c r="U633">
        <v>425</v>
      </c>
      <c r="V633" t="s">
        <v>79</v>
      </c>
    </row>
    <row r="634" spans="1:22" x14ac:dyDescent="0.3">
      <c r="A634" t="s">
        <v>2161</v>
      </c>
      <c r="B634" t="s">
        <v>1861</v>
      </c>
      <c r="C634">
        <v>34</v>
      </c>
      <c r="D634" t="s">
        <v>24</v>
      </c>
      <c r="E634" t="s">
        <v>26</v>
      </c>
      <c r="F634" t="s">
        <v>26</v>
      </c>
      <c r="G634" t="s">
        <v>1607</v>
      </c>
      <c r="H634" t="s">
        <v>1760</v>
      </c>
      <c r="I634" t="s">
        <v>85</v>
      </c>
      <c r="J634" t="s">
        <v>44</v>
      </c>
      <c r="K634">
        <v>3</v>
      </c>
      <c r="L634">
        <v>67078</v>
      </c>
      <c r="M634">
        <v>10</v>
      </c>
      <c r="N634" t="s">
        <v>166</v>
      </c>
      <c r="O634" t="s">
        <v>281</v>
      </c>
      <c r="P634" t="s">
        <v>58</v>
      </c>
      <c r="Q634" t="s">
        <v>364</v>
      </c>
      <c r="S634">
        <v>5</v>
      </c>
      <c r="T634" t="s">
        <v>72</v>
      </c>
      <c r="U634">
        <v>60</v>
      </c>
      <c r="V634" t="s">
        <v>62</v>
      </c>
    </row>
    <row r="635" spans="1:22" x14ac:dyDescent="0.3">
      <c r="A635" t="s">
        <v>2162</v>
      </c>
      <c r="B635" t="s">
        <v>509</v>
      </c>
      <c r="C635">
        <v>28</v>
      </c>
      <c r="D635" t="s">
        <v>24</v>
      </c>
      <c r="E635" t="s">
        <v>229</v>
      </c>
      <c r="F635" t="s">
        <v>91</v>
      </c>
      <c r="G635" t="s">
        <v>2163</v>
      </c>
      <c r="H635" t="s">
        <v>114</v>
      </c>
      <c r="I635" t="s">
        <v>77</v>
      </c>
      <c r="J635" t="s">
        <v>30</v>
      </c>
      <c r="K635">
        <v>5</v>
      </c>
      <c r="L635">
        <v>41325</v>
      </c>
      <c r="M635">
        <v>5</v>
      </c>
      <c r="N635" t="s">
        <v>45</v>
      </c>
      <c r="O635" t="s">
        <v>133</v>
      </c>
      <c r="P635" t="s">
        <v>174</v>
      </c>
      <c r="Q635" t="s">
        <v>512</v>
      </c>
      <c r="R635" t="s">
        <v>2164</v>
      </c>
      <c r="S635">
        <v>2</v>
      </c>
      <c r="T635" t="s">
        <v>72</v>
      </c>
      <c r="U635">
        <v>186</v>
      </c>
      <c r="V635" t="s">
        <v>37</v>
      </c>
    </row>
    <row r="636" spans="1:22" x14ac:dyDescent="0.3">
      <c r="A636" t="s">
        <v>2165</v>
      </c>
      <c r="B636" t="s">
        <v>209</v>
      </c>
      <c r="C636">
        <v>53</v>
      </c>
      <c r="D636" t="s">
        <v>183</v>
      </c>
      <c r="E636" t="s">
        <v>26</v>
      </c>
      <c r="F636" t="s">
        <v>53</v>
      </c>
      <c r="G636" t="s">
        <v>2080</v>
      </c>
      <c r="H636" t="s">
        <v>2166</v>
      </c>
      <c r="I636" t="s">
        <v>77</v>
      </c>
      <c r="J636" t="s">
        <v>30</v>
      </c>
      <c r="L636">
        <v>28770</v>
      </c>
      <c r="M636">
        <v>0</v>
      </c>
      <c r="N636" t="s">
        <v>166</v>
      </c>
      <c r="O636" t="s">
        <v>46</v>
      </c>
      <c r="P636" t="s">
        <v>58</v>
      </c>
      <c r="Q636" t="s">
        <v>1001</v>
      </c>
      <c r="R636" t="s">
        <v>2167</v>
      </c>
      <c r="S636">
        <v>1</v>
      </c>
      <c r="T636" t="s">
        <v>61</v>
      </c>
      <c r="U636">
        <v>113</v>
      </c>
      <c r="V636" t="s">
        <v>37</v>
      </c>
    </row>
    <row r="637" spans="1:22" x14ac:dyDescent="0.3">
      <c r="A637" t="s">
        <v>2168</v>
      </c>
      <c r="B637" t="s">
        <v>285</v>
      </c>
      <c r="C637">
        <v>19</v>
      </c>
      <c r="D637" t="s">
        <v>51</v>
      </c>
      <c r="E637" t="s">
        <v>142</v>
      </c>
      <c r="F637" t="s">
        <v>91</v>
      </c>
      <c r="G637" t="s">
        <v>1799</v>
      </c>
      <c r="H637" t="s">
        <v>1447</v>
      </c>
      <c r="I637" t="s">
        <v>85</v>
      </c>
      <c r="J637" t="s">
        <v>44</v>
      </c>
      <c r="K637">
        <v>3</v>
      </c>
      <c r="L637">
        <v>72407</v>
      </c>
      <c r="M637">
        <v>5</v>
      </c>
      <c r="N637" t="s">
        <v>31</v>
      </c>
      <c r="O637" t="s">
        <v>46</v>
      </c>
      <c r="P637" t="s">
        <v>174</v>
      </c>
      <c r="Q637" t="s">
        <v>300</v>
      </c>
      <c r="R637" t="s">
        <v>2169</v>
      </c>
      <c r="S637">
        <v>5</v>
      </c>
      <c r="T637" t="s">
        <v>61</v>
      </c>
      <c r="U637">
        <v>92</v>
      </c>
      <c r="V637" t="s">
        <v>37</v>
      </c>
    </row>
    <row r="638" spans="1:22" x14ac:dyDescent="0.3">
      <c r="A638" t="s">
        <v>2170</v>
      </c>
      <c r="B638" t="s">
        <v>285</v>
      </c>
      <c r="C638">
        <v>19</v>
      </c>
      <c r="D638" t="s">
        <v>24</v>
      </c>
      <c r="E638" t="s">
        <v>131</v>
      </c>
      <c r="F638" t="s">
        <v>26</v>
      </c>
      <c r="G638" t="s">
        <v>2047</v>
      </c>
      <c r="H638" t="s">
        <v>1100</v>
      </c>
      <c r="I638" t="s">
        <v>85</v>
      </c>
      <c r="J638" t="s">
        <v>30</v>
      </c>
      <c r="K638">
        <v>3</v>
      </c>
      <c r="L638">
        <v>27640</v>
      </c>
      <c r="M638">
        <v>15</v>
      </c>
      <c r="N638" t="s">
        <v>56</v>
      </c>
      <c r="O638" t="s">
        <v>173</v>
      </c>
      <c r="P638" t="s">
        <v>69</v>
      </c>
      <c r="Q638" t="s">
        <v>300</v>
      </c>
      <c r="R638" t="s">
        <v>2171</v>
      </c>
      <c r="S638">
        <v>2</v>
      </c>
      <c r="T638" t="s">
        <v>96</v>
      </c>
      <c r="U638">
        <v>282</v>
      </c>
      <c r="V638" t="s">
        <v>62</v>
      </c>
    </row>
    <row r="639" spans="1:22" x14ac:dyDescent="0.3">
      <c r="A639" t="s">
        <v>2172</v>
      </c>
      <c r="B639" t="s">
        <v>570</v>
      </c>
      <c r="C639">
        <v>60</v>
      </c>
      <c r="D639" t="s">
        <v>24</v>
      </c>
      <c r="E639" t="s">
        <v>26</v>
      </c>
      <c r="F639" t="s">
        <v>65</v>
      </c>
      <c r="G639" t="s">
        <v>1519</v>
      </c>
      <c r="H639" t="s">
        <v>328</v>
      </c>
      <c r="I639" t="s">
        <v>85</v>
      </c>
      <c r="J639" t="s">
        <v>44</v>
      </c>
      <c r="K639">
        <v>1</v>
      </c>
      <c r="L639">
        <v>48382</v>
      </c>
      <c r="M639">
        <v>15</v>
      </c>
      <c r="N639" t="s">
        <v>45</v>
      </c>
      <c r="O639" t="s">
        <v>173</v>
      </c>
      <c r="P639" t="s">
        <v>69</v>
      </c>
      <c r="Q639" t="s">
        <v>573</v>
      </c>
      <c r="R639" t="s">
        <v>2173</v>
      </c>
      <c r="S639">
        <v>5</v>
      </c>
      <c r="T639" t="s">
        <v>72</v>
      </c>
      <c r="U639">
        <v>288</v>
      </c>
      <c r="V639" t="s">
        <v>62</v>
      </c>
    </row>
    <row r="640" spans="1:22" x14ac:dyDescent="0.3">
      <c r="A640" t="s">
        <v>2174</v>
      </c>
      <c r="B640" t="s">
        <v>645</v>
      </c>
      <c r="C640">
        <v>27</v>
      </c>
      <c r="D640" t="s">
        <v>51</v>
      </c>
      <c r="E640" t="s">
        <v>131</v>
      </c>
      <c r="F640" t="s">
        <v>26</v>
      </c>
      <c r="G640" t="s">
        <v>2175</v>
      </c>
      <c r="H640" t="s">
        <v>2176</v>
      </c>
      <c r="I640" t="s">
        <v>43</v>
      </c>
      <c r="J640" t="s">
        <v>44</v>
      </c>
      <c r="K640">
        <v>1</v>
      </c>
      <c r="L640">
        <v>64454</v>
      </c>
      <c r="M640">
        <v>10</v>
      </c>
      <c r="N640" t="s">
        <v>166</v>
      </c>
      <c r="O640" t="s">
        <v>68</v>
      </c>
      <c r="P640" t="s">
        <v>58</v>
      </c>
      <c r="Q640" t="s">
        <v>647</v>
      </c>
      <c r="R640" t="s">
        <v>2177</v>
      </c>
      <c r="S640">
        <v>4</v>
      </c>
      <c r="T640" t="s">
        <v>96</v>
      </c>
      <c r="U640">
        <v>420</v>
      </c>
      <c r="V640" t="s">
        <v>37</v>
      </c>
    </row>
    <row r="641" spans="1:22" x14ac:dyDescent="0.3">
      <c r="A641" t="s">
        <v>2178</v>
      </c>
      <c r="B641" t="s">
        <v>527</v>
      </c>
      <c r="C641">
        <v>20</v>
      </c>
      <c r="D641" t="s">
        <v>24</v>
      </c>
      <c r="E641" t="s">
        <v>99</v>
      </c>
      <c r="F641" t="s">
        <v>53</v>
      </c>
      <c r="G641" t="s">
        <v>2107</v>
      </c>
      <c r="H641" t="s">
        <v>641</v>
      </c>
      <c r="I641" t="s">
        <v>29</v>
      </c>
      <c r="J641" t="s">
        <v>44</v>
      </c>
      <c r="K641">
        <v>4</v>
      </c>
      <c r="L641">
        <v>51342</v>
      </c>
      <c r="M641">
        <v>5</v>
      </c>
      <c r="N641" t="s">
        <v>166</v>
      </c>
      <c r="O641" t="s">
        <v>173</v>
      </c>
      <c r="P641" t="s">
        <v>33</v>
      </c>
      <c r="Q641" t="s">
        <v>530</v>
      </c>
      <c r="S641">
        <v>3</v>
      </c>
      <c r="T641" t="s">
        <v>36</v>
      </c>
      <c r="U641">
        <v>203</v>
      </c>
      <c r="V641" t="s">
        <v>79</v>
      </c>
    </row>
    <row r="642" spans="1:22" x14ac:dyDescent="0.3">
      <c r="A642" t="s">
        <v>2179</v>
      </c>
      <c r="B642" t="s">
        <v>1080</v>
      </c>
      <c r="C642">
        <v>34</v>
      </c>
      <c r="D642" t="s">
        <v>51</v>
      </c>
      <c r="E642" t="s">
        <v>142</v>
      </c>
      <c r="F642" t="s">
        <v>26</v>
      </c>
      <c r="G642" t="s">
        <v>143</v>
      </c>
      <c r="H642" t="s">
        <v>1695</v>
      </c>
      <c r="I642" t="s">
        <v>93</v>
      </c>
      <c r="J642" t="s">
        <v>30</v>
      </c>
      <c r="K642">
        <v>4</v>
      </c>
      <c r="L642">
        <v>47771</v>
      </c>
      <c r="M642">
        <v>0</v>
      </c>
      <c r="N642" t="s">
        <v>56</v>
      </c>
      <c r="O642" t="s">
        <v>173</v>
      </c>
      <c r="P642" t="s">
        <v>58</v>
      </c>
      <c r="Q642" t="s">
        <v>1082</v>
      </c>
      <c r="R642" t="s">
        <v>2180</v>
      </c>
      <c r="S642">
        <v>3</v>
      </c>
      <c r="T642" t="s">
        <v>61</v>
      </c>
      <c r="U642">
        <v>71</v>
      </c>
      <c r="V642" t="s">
        <v>37</v>
      </c>
    </row>
    <row r="643" spans="1:22" x14ac:dyDescent="0.3">
      <c r="A643" t="s">
        <v>2181</v>
      </c>
      <c r="B643" t="s">
        <v>361</v>
      </c>
      <c r="C643">
        <v>36</v>
      </c>
      <c r="D643" t="s">
        <v>24</v>
      </c>
      <c r="E643" t="s">
        <v>131</v>
      </c>
      <c r="F643" t="s">
        <v>65</v>
      </c>
      <c r="G643" t="s">
        <v>114</v>
      </c>
      <c r="H643" t="s">
        <v>567</v>
      </c>
      <c r="I643" t="s">
        <v>85</v>
      </c>
      <c r="J643" t="s">
        <v>30</v>
      </c>
      <c r="K643">
        <v>5</v>
      </c>
      <c r="L643">
        <v>65988</v>
      </c>
      <c r="M643">
        <v>15</v>
      </c>
      <c r="N643" t="s">
        <v>166</v>
      </c>
      <c r="O643" t="s">
        <v>173</v>
      </c>
      <c r="P643" t="s">
        <v>174</v>
      </c>
      <c r="Q643" t="s">
        <v>364</v>
      </c>
      <c r="R643" t="s">
        <v>2182</v>
      </c>
      <c r="S643">
        <v>5</v>
      </c>
      <c r="T643" t="s">
        <v>72</v>
      </c>
      <c r="U643">
        <v>491</v>
      </c>
      <c r="V643" t="s">
        <v>62</v>
      </c>
    </row>
    <row r="644" spans="1:22" x14ac:dyDescent="0.3">
      <c r="A644" t="s">
        <v>2183</v>
      </c>
      <c r="B644" t="s">
        <v>457</v>
      </c>
      <c r="C644">
        <v>56</v>
      </c>
      <c r="D644" t="s">
        <v>51</v>
      </c>
      <c r="E644" t="s">
        <v>40</v>
      </c>
      <c r="F644" t="s">
        <v>82</v>
      </c>
      <c r="G644" t="s">
        <v>2184</v>
      </c>
      <c r="H644" t="s">
        <v>1097</v>
      </c>
      <c r="I644" t="s">
        <v>29</v>
      </c>
      <c r="J644" t="s">
        <v>30</v>
      </c>
      <c r="K644">
        <v>3</v>
      </c>
      <c r="L644">
        <v>76140</v>
      </c>
      <c r="M644">
        <v>15</v>
      </c>
      <c r="N644" t="s">
        <v>31</v>
      </c>
      <c r="O644" t="s">
        <v>32</v>
      </c>
      <c r="P644" t="s">
        <v>33</v>
      </c>
      <c r="Q644" t="s">
        <v>595</v>
      </c>
      <c r="R644" t="s">
        <v>2185</v>
      </c>
      <c r="S644">
        <v>4</v>
      </c>
      <c r="T644" t="s">
        <v>61</v>
      </c>
      <c r="U644">
        <v>321</v>
      </c>
      <c r="V644" t="s">
        <v>37</v>
      </c>
    </row>
    <row r="645" spans="1:22" x14ac:dyDescent="0.3">
      <c r="A645" t="s">
        <v>2186</v>
      </c>
      <c r="B645" t="s">
        <v>1510</v>
      </c>
      <c r="C645">
        <v>42</v>
      </c>
      <c r="D645" t="s">
        <v>24</v>
      </c>
      <c r="E645" t="s">
        <v>99</v>
      </c>
      <c r="F645" t="s">
        <v>82</v>
      </c>
      <c r="G645" t="s">
        <v>2187</v>
      </c>
      <c r="H645" t="s">
        <v>305</v>
      </c>
      <c r="I645" t="s">
        <v>93</v>
      </c>
      <c r="J645" t="s">
        <v>44</v>
      </c>
      <c r="K645">
        <v>4</v>
      </c>
      <c r="L645">
        <v>62350</v>
      </c>
      <c r="M645">
        <v>5</v>
      </c>
      <c r="N645" t="s">
        <v>45</v>
      </c>
      <c r="O645" t="s">
        <v>32</v>
      </c>
      <c r="P645" t="s">
        <v>58</v>
      </c>
      <c r="Q645" t="s">
        <v>144</v>
      </c>
      <c r="R645" t="s">
        <v>2188</v>
      </c>
      <c r="S645">
        <v>5</v>
      </c>
      <c r="T645" t="s">
        <v>61</v>
      </c>
      <c r="U645">
        <v>362</v>
      </c>
      <c r="V645" t="s">
        <v>79</v>
      </c>
    </row>
    <row r="646" spans="1:22" x14ac:dyDescent="0.3">
      <c r="A646" t="s">
        <v>2189</v>
      </c>
      <c r="B646" t="s">
        <v>589</v>
      </c>
      <c r="C646">
        <v>50</v>
      </c>
      <c r="D646" t="s">
        <v>51</v>
      </c>
      <c r="E646" t="s">
        <v>229</v>
      </c>
      <c r="F646" t="s">
        <v>26</v>
      </c>
      <c r="G646" t="s">
        <v>810</v>
      </c>
      <c r="H646" t="s">
        <v>1022</v>
      </c>
      <c r="I646" t="s">
        <v>93</v>
      </c>
      <c r="J646" t="s">
        <v>44</v>
      </c>
      <c r="K646">
        <v>3</v>
      </c>
      <c r="L646">
        <v>65701</v>
      </c>
      <c r="M646">
        <v>15</v>
      </c>
      <c r="N646" t="s">
        <v>45</v>
      </c>
      <c r="O646" t="s">
        <v>133</v>
      </c>
      <c r="P646" t="s">
        <v>174</v>
      </c>
      <c r="Q646" t="s">
        <v>591</v>
      </c>
      <c r="R646" t="s">
        <v>2190</v>
      </c>
      <c r="S646">
        <v>5</v>
      </c>
      <c r="T646" t="s">
        <v>96</v>
      </c>
      <c r="U646">
        <v>448</v>
      </c>
      <c r="V646" t="s">
        <v>79</v>
      </c>
    </row>
    <row r="647" spans="1:22" x14ac:dyDescent="0.3">
      <c r="A647" t="s">
        <v>2191</v>
      </c>
      <c r="B647" t="s">
        <v>589</v>
      </c>
      <c r="C647">
        <v>56</v>
      </c>
      <c r="D647" t="s">
        <v>24</v>
      </c>
      <c r="E647" t="s">
        <v>52</v>
      </c>
      <c r="F647" t="s">
        <v>53</v>
      </c>
      <c r="G647" t="s">
        <v>1337</v>
      </c>
      <c r="H647" t="s">
        <v>1176</v>
      </c>
      <c r="I647" t="s">
        <v>77</v>
      </c>
      <c r="J647" t="s">
        <v>30</v>
      </c>
      <c r="K647">
        <v>3</v>
      </c>
      <c r="L647">
        <v>49587</v>
      </c>
      <c r="M647">
        <v>5</v>
      </c>
      <c r="N647" t="s">
        <v>45</v>
      </c>
      <c r="O647" t="s">
        <v>32</v>
      </c>
      <c r="P647" t="s">
        <v>174</v>
      </c>
      <c r="Q647" t="s">
        <v>591</v>
      </c>
      <c r="R647" t="s">
        <v>2192</v>
      </c>
      <c r="S647">
        <v>3</v>
      </c>
      <c r="T647" t="s">
        <v>96</v>
      </c>
      <c r="U647">
        <v>473</v>
      </c>
      <c r="V647" t="s">
        <v>79</v>
      </c>
    </row>
    <row r="648" spans="1:22" x14ac:dyDescent="0.3">
      <c r="A648" t="s">
        <v>2193</v>
      </c>
      <c r="B648" t="s">
        <v>555</v>
      </c>
      <c r="C648">
        <v>24</v>
      </c>
      <c r="D648" t="s">
        <v>51</v>
      </c>
      <c r="E648" t="s">
        <v>142</v>
      </c>
      <c r="F648" t="s">
        <v>82</v>
      </c>
      <c r="G648" t="s">
        <v>1877</v>
      </c>
      <c r="H648" t="s">
        <v>2194</v>
      </c>
      <c r="I648" t="s">
        <v>108</v>
      </c>
      <c r="J648" t="s">
        <v>44</v>
      </c>
      <c r="K648">
        <v>1</v>
      </c>
      <c r="M648">
        <v>10</v>
      </c>
      <c r="N648" t="s">
        <v>31</v>
      </c>
      <c r="O648" t="s">
        <v>32</v>
      </c>
      <c r="P648" t="s">
        <v>174</v>
      </c>
      <c r="Q648" t="s">
        <v>558</v>
      </c>
      <c r="R648" t="s">
        <v>2195</v>
      </c>
      <c r="S648">
        <v>3</v>
      </c>
      <c r="T648" t="s">
        <v>96</v>
      </c>
      <c r="U648">
        <v>340</v>
      </c>
      <c r="V648" t="s">
        <v>37</v>
      </c>
    </row>
    <row r="649" spans="1:22" x14ac:dyDescent="0.3">
      <c r="A649" t="s">
        <v>2196</v>
      </c>
      <c r="B649" t="s">
        <v>272</v>
      </c>
      <c r="C649">
        <v>48</v>
      </c>
      <c r="D649" t="s">
        <v>24</v>
      </c>
      <c r="E649" t="s">
        <v>99</v>
      </c>
      <c r="F649" t="s">
        <v>53</v>
      </c>
      <c r="G649" t="s">
        <v>799</v>
      </c>
      <c r="H649" t="s">
        <v>524</v>
      </c>
      <c r="I649" t="s">
        <v>29</v>
      </c>
      <c r="J649" t="s">
        <v>30</v>
      </c>
      <c r="K649">
        <v>5</v>
      </c>
      <c r="L649">
        <v>29910</v>
      </c>
      <c r="M649">
        <v>10</v>
      </c>
      <c r="N649" t="s">
        <v>56</v>
      </c>
      <c r="O649" t="s">
        <v>102</v>
      </c>
      <c r="P649" t="s">
        <v>174</v>
      </c>
      <c r="R649" t="s">
        <v>2197</v>
      </c>
      <c r="S649">
        <v>3</v>
      </c>
      <c r="T649" t="s">
        <v>36</v>
      </c>
      <c r="U649">
        <v>68</v>
      </c>
      <c r="V649" t="s">
        <v>37</v>
      </c>
    </row>
    <row r="650" spans="1:22" x14ac:dyDescent="0.3">
      <c r="A650" t="s">
        <v>2198</v>
      </c>
      <c r="B650" t="s">
        <v>707</v>
      </c>
      <c r="C650">
        <v>28</v>
      </c>
      <c r="D650" t="s">
        <v>51</v>
      </c>
      <c r="E650" t="s">
        <v>40</v>
      </c>
      <c r="F650" t="s">
        <v>65</v>
      </c>
      <c r="G650" t="s">
        <v>1187</v>
      </c>
      <c r="H650" t="s">
        <v>2199</v>
      </c>
      <c r="I650" t="s">
        <v>85</v>
      </c>
      <c r="J650" t="s">
        <v>44</v>
      </c>
      <c r="K650">
        <v>4</v>
      </c>
      <c r="L650">
        <v>30965</v>
      </c>
      <c r="M650">
        <v>5</v>
      </c>
      <c r="N650" t="s">
        <v>31</v>
      </c>
      <c r="O650" t="s">
        <v>32</v>
      </c>
      <c r="P650" t="s">
        <v>69</v>
      </c>
      <c r="Q650" t="s">
        <v>709</v>
      </c>
      <c r="R650" t="s">
        <v>2200</v>
      </c>
      <c r="S650">
        <v>1</v>
      </c>
      <c r="T650" t="s">
        <v>96</v>
      </c>
      <c r="U650">
        <v>235</v>
      </c>
      <c r="V650" t="s">
        <v>62</v>
      </c>
    </row>
    <row r="651" spans="1:22" x14ac:dyDescent="0.3">
      <c r="A651" t="s">
        <v>2201</v>
      </c>
      <c r="B651" t="s">
        <v>933</v>
      </c>
      <c r="C651">
        <v>47</v>
      </c>
      <c r="D651" t="s">
        <v>24</v>
      </c>
      <c r="E651" t="s">
        <v>25</v>
      </c>
      <c r="F651" t="s">
        <v>65</v>
      </c>
      <c r="G651" t="s">
        <v>178</v>
      </c>
      <c r="H651" t="s">
        <v>1247</v>
      </c>
      <c r="I651" t="s">
        <v>85</v>
      </c>
      <c r="J651" t="s">
        <v>44</v>
      </c>
      <c r="K651">
        <v>2</v>
      </c>
      <c r="L651">
        <v>41924</v>
      </c>
      <c r="M651">
        <v>0</v>
      </c>
      <c r="N651" t="s">
        <v>31</v>
      </c>
      <c r="O651" t="s">
        <v>102</v>
      </c>
      <c r="P651" t="s">
        <v>33</v>
      </c>
      <c r="Q651" t="s">
        <v>935</v>
      </c>
      <c r="R651" t="s">
        <v>2202</v>
      </c>
      <c r="S651">
        <v>3</v>
      </c>
      <c r="T651" t="s">
        <v>61</v>
      </c>
      <c r="U651">
        <v>422</v>
      </c>
      <c r="V651" t="s">
        <v>79</v>
      </c>
    </row>
    <row r="652" spans="1:22" x14ac:dyDescent="0.3">
      <c r="A652" t="s">
        <v>2203</v>
      </c>
      <c r="B652" t="s">
        <v>105</v>
      </c>
      <c r="C652">
        <v>52</v>
      </c>
      <c r="D652" t="s">
        <v>24</v>
      </c>
      <c r="E652" t="s">
        <v>52</v>
      </c>
      <c r="F652" t="s">
        <v>82</v>
      </c>
      <c r="G652" t="s">
        <v>1400</v>
      </c>
      <c r="H652" t="s">
        <v>490</v>
      </c>
      <c r="I652" t="s">
        <v>43</v>
      </c>
      <c r="J652" t="s">
        <v>44</v>
      </c>
      <c r="K652">
        <v>1</v>
      </c>
      <c r="L652">
        <v>44992</v>
      </c>
      <c r="M652">
        <v>0</v>
      </c>
      <c r="N652" t="s">
        <v>45</v>
      </c>
      <c r="O652" t="s">
        <v>133</v>
      </c>
      <c r="P652" t="s">
        <v>58</v>
      </c>
      <c r="Q652" t="s">
        <v>110</v>
      </c>
      <c r="R652" t="s">
        <v>2204</v>
      </c>
      <c r="S652">
        <v>5</v>
      </c>
      <c r="T652" t="s">
        <v>36</v>
      </c>
      <c r="U652">
        <v>324</v>
      </c>
      <c r="V652" t="s">
        <v>62</v>
      </c>
    </row>
    <row r="653" spans="1:22" x14ac:dyDescent="0.3">
      <c r="A653" t="s">
        <v>2205</v>
      </c>
      <c r="B653" t="s">
        <v>235</v>
      </c>
      <c r="C653">
        <v>39</v>
      </c>
      <c r="D653" t="s">
        <v>51</v>
      </c>
      <c r="E653" t="s">
        <v>26</v>
      </c>
      <c r="F653" t="s">
        <v>26</v>
      </c>
      <c r="G653" t="s">
        <v>1350</v>
      </c>
      <c r="H653" t="s">
        <v>1588</v>
      </c>
      <c r="I653" t="s">
        <v>85</v>
      </c>
      <c r="J653" t="s">
        <v>30</v>
      </c>
      <c r="K653">
        <v>4</v>
      </c>
      <c r="L653">
        <v>60127</v>
      </c>
      <c r="M653">
        <v>0</v>
      </c>
      <c r="N653" t="s">
        <v>166</v>
      </c>
      <c r="O653" t="s">
        <v>46</v>
      </c>
      <c r="P653" t="s">
        <v>58</v>
      </c>
      <c r="Q653" t="s">
        <v>871</v>
      </c>
      <c r="R653" t="s">
        <v>2206</v>
      </c>
      <c r="S653">
        <v>4</v>
      </c>
      <c r="T653" t="s">
        <v>72</v>
      </c>
      <c r="U653">
        <v>57</v>
      </c>
      <c r="V653" t="s">
        <v>62</v>
      </c>
    </row>
    <row r="654" spans="1:22" x14ac:dyDescent="0.3">
      <c r="A654" t="s">
        <v>2207</v>
      </c>
      <c r="B654" t="s">
        <v>471</v>
      </c>
      <c r="C654">
        <v>29</v>
      </c>
      <c r="D654" t="s">
        <v>24</v>
      </c>
      <c r="E654" t="s">
        <v>142</v>
      </c>
      <c r="F654" t="s">
        <v>53</v>
      </c>
      <c r="G654" t="s">
        <v>841</v>
      </c>
      <c r="H654" t="s">
        <v>538</v>
      </c>
      <c r="I654" t="s">
        <v>43</v>
      </c>
      <c r="J654" t="s">
        <v>30</v>
      </c>
      <c r="L654">
        <v>41701</v>
      </c>
      <c r="M654">
        <v>5</v>
      </c>
      <c r="N654" t="s">
        <v>166</v>
      </c>
      <c r="O654" t="s">
        <v>173</v>
      </c>
      <c r="P654" t="s">
        <v>174</v>
      </c>
      <c r="R654" t="s">
        <v>2208</v>
      </c>
      <c r="S654">
        <v>1</v>
      </c>
      <c r="T654" t="s">
        <v>96</v>
      </c>
      <c r="U654">
        <v>333</v>
      </c>
      <c r="V654" t="s">
        <v>62</v>
      </c>
    </row>
    <row r="655" spans="1:22" x14ac:dyDescent="0.3">
      <c r="A655" t="s">
        <v>2209</v>
      </c>
      <c r="B655" t="s">
        <v>466</v>
      </c>
      <c r="C655">
        <v>56</v>
      </c>
      <c r="D655" t="s">
        <v>183</v>
      </c>
      <c r="E655" t="s">
        <v>26</v>
      </c>
      <c r="F655" t="s">
        <v>53</v>
      </c>
      <c r="G655" t="s">
        <v>2153</v>
      </c>
      <c r="H655" t="s">
        <v>930</v>
      </c>
      <c r="I655" t="s">
        <v>77</v>
      </c>
      <c r="J655" t="s">
        <v>30</v>
      </c>
      <c r="K655">
        <v>1</v>
      </c>
      <c r="L655">
        <v>77308</v>
      </c>
      <c r="M655">
        <v>0</v>
      </c>
      <c r="N655" t="s">
        <v>31</v>
      </c>
      <c r="O655" t="s">
        <v>133</v>
      </c>
      <c r="P655" t="s">
        <v>33</v>
      </c>
      <c r="Q655" t="s">
        <v>468</v>
      </c>
      <c r="R655" t="s">
        <v>2210</v>
      </c>
      <c r="S655">
        <v>4</v>
      </c>
      <c r="T655" t="s">
        <v>96</v>
      </c>
      <c r="U655">
        <v>247</v>
      </c>
      <c r="V655" t="s">
        <v>62</v>
      </c>
    </row>
    <row r="656" spans="1:22" x14ac:dyDescent="0.3">
      <c r="A656" t="s">
        <v>2211</v>
      </c>
      <c r="B656" t="s">
        <v>689</v>
      </c>
      <c r="C656">
        <v>24</v>
      </c>
      <c r="D656" t="s">
        <v>24</v>
      </c>
      <c r="E656" t="s">
        <v>25</v>
      </c>
      <c r="F656" t="s">
        <v>82</v>
      </c>
      <c r="G656" t="s">
        <v>552</v>
      </c>
      <c r="H656" t="s">
        <v>1858</v>
      </c>
      <c r="I656" t="s">
        <v>77</v>
      </c>
      <c r="J656" t="s">
        <v>44</v>
      </c>
      <c r="K656">
        <v>3</v>
      </c>
      <c r="L656">
        <v>59053</v>
      </c>
      <c r="M656">
        <v>15</v>
      </c>
      <c r="N656" t="s">
        <v>56</v>
      </c>
      <c r="O656" t="s">
        <v>173</v>
      </c>
      <c r="P656" t="s">
        <v>69</v>
      </c>
      <c r="Q656" t="s">
        <v>1105</v>
      </c>
      <c r="R656" t="s">
        <v>2212</v>
      </c>
      <c r="S656">
        <v>3</v>
      </c>
      <c r="T656" t="s">
        <v>72</v>
      </c>
      <c r="U656">
        <v>429</v>
      </c>
      <c r="V656" t="s">
        <v>79</v>
      </c>
    </row>
    <row r="657" spans="1:22" x14ac:dyDescent="0.3">
      <c r="A657" t="s">
        <v>2213</v>
      </c>
      <c r="B657" t="s">
        <v>209</v>
      </c>
      <c r="C657">
        <v>47</v>
      </c>
      <c r="D657" t="s">
        <v>51</v>
      </c>
      <c r="E657" t="s">
        <v>142</v>
      </c>
      <c r="F657" t="s">
        <v>82</v>
      </c>
      <c r="G657" t="s">
        <v>763</v>
      </c>
      <c r="H657" t="s">
        <v>2070</v>
      </c>
      <c r="I657" t="s">
        <v>85</v>
      </c>
      <c r="J657" t="s">
        <v>44</v>
      </c>
      <c r="K657">
        <v>5</v>
      </c>
      <c r="L657">
        <v>8738</v>
      </c>
      <c r="M657">
        <v>5</v>
      </c>
      <c r="N657" t="s">
        <v>166</v>
      </c>
      <c r="O657" t="s">
        <v>133</v>
      </c>
      <c r="P657" t="s">
        <v>174</v>
      </c>
      <c r="Q657" t="s">
        <v>1001</v>
      </c>
      <c r="S657">
        <v>1</v>
      </c>
      <c r="T657" t="s">
        <v>61</v>
      </c>
      <c r="U657">
        <v>397</v>
      </c>
      <c r="V657" t="s">
        <v>62</v>
      </c>
    </row>
    <row r="658" spans="1:22" x14ac:dyDescent="0.3">
      <c r="A658" t="s">
        <v>2214</v>
      </c>
      <c r="B658" t="s">
        <v>707</v>
      </c>
      <c r="C658">
        <v>39</v>
      </c>
      <c r="D658" t="s">
        <v>24</v>
      </c>
      <c r="E658" t="s">
        <v>25</v>
      </c>
      <c r="F658" t="s">
        <v>65</v>
      </c>
      <c r="G658" t="s">
        <v>1849</v>
      </c>
      <c r="H658" t="s">
        <v>1100</v>
      </c>
      <c r="I658" t="s">
        <v>29</v>
      </c>
      <c r="J658" t="s">
        <v>44</v>
      </c>
      <c r="K658">
        <v>5</v>
      </c>
      <c r="L658">
        <v>18021</v>
      </c>
      <c r="M658">
        <v>0</v>
      </c>
      <c r="N658" t="s">
        <v>166</v>
      </c>
      <c r="O658" t="s">
        <v>32</v>
      </c>
      <c r="P658" t="s">
        <v>33</v>
      </c>
      <c r="Q658" t="s">
        <v>709</v>
      </c>
      <c r="R658" t="s">
        <v>2215</v>
      </c>
      <c r="S658">
        <v>1</v>
      </c>
      <c r="T658" t="s">
        <v>72</v>
      </c>
      <c r="U658">
        <v>417</v>
      </c>
      <c r="V658" t="s">
        <v>37</v>
      </c>
    </row>
    <row r="659" spans="1:22" x14ac:dyDescent="0.3">
      <c r="A659" t="s">
        <v>2216</v>
      </c>
      <c r="B659" t="s">
        <v>933</v>
      </c>
      <c r="C659">
        <v>36</v>
      </c>
      <c r="D659" t="s">
        <v>51</v>
      </c>
      <c r="E659" t="s">
        <v>99</v>
      </c>
      <c r="F659" t="s">
        <v>82</v>
      </c>
      <c r="G659" t="s">
        <v>1997</v>
      </c>
      <c r="H659" t="s">
        <v>730</v>
      </c>
      <c r="I659" t="s">
        <v>29</v>
      </c>
      <c r="J659" t="s">
        <v>44</v>
      </c>
      <c r="K659">
        <v>3</v>
      </c>
      <c r="L659">
        <v>57460</v>
      </c>
      <c r="M659">
        <v>5</v>
      </c>
      <c r="N659" t="s">
        <v>31</v>
      </c>
      <c r="O659" t="s">
        <v>133</v>
      </c>
      <c r="P659" t="s">
        <v>58</v>
      </c>
      <c r="Q659" t="s">
        <v>935</v>
      </c>
      <c r="R659" t="s">
        <v>2217</v>
      </c>
      <c r="S659">
        <v>5</v>
      </c>
      <c r="T659" t="s">
        <v>36</v>
      </c>
      <c r="U659">
        <v>338</v>
      </c>
      <c r="V659" t="s">
        <v>37</v>
      </c>
    </row>
    <row r="660" spans="1:22" x14ac:dyDescent="0.3">
      <c r="A660" t="s">
        <v>2218</v>
      </c>
      <c r="B660" t="s">
        <v>228</v>
      </c>
      <c r="C660">
        <v>56</v>
      </c>
      <c r="D660" t="s">
        <v>24</v>
      </c>
      <c r="E660" t="s">
        <v>99</v>
      </c>
      <c r="F660" t="s">
        <v>65</v>
      </c>
      <c r="G660" t="s">
        <v>901</v>
      </c>
      <c r="H660" t="s">
        <v>731</v>
      </c>
      <c r="I660" t="s">
        <v>93</v>
      </c>
      <c r="J660" t="s">
        <v>30</v>
      </c>
      <c r="K660">
        <v>3</v>
      </c>
      <c r="L660">
        <v>46821</v>
      </c>
      <c r="M660">
        <v>10</v>
      </c>
      <c r="N660" t="s">
        <v>31</v>
      </c>
      <c r="O660" t="s">
        <v>281</v>
      </c>
      <c r="P660" t="s">
        <v>33</v>
      </c>
      <c r="R660" t="s">
        <v>2219</v>
      </c>
      <c r="S660">
        <v>4</v>
      </c>
      <c r="T660" t="s">
        <v>72</v>
      </c>
      <c r="U660">
        <v>446</v>
      </c>
      <c r="V660" t="s">
        <v>37</v>
      </c>
    </row>
    <row r="661" spans="1:22" x14ac:dyDescent="0.3">
      <c r="A661" t="s">
        <v>2220</v>
      </c>
      <c r="B661" t="s">
        <v>222</v>
      </c>
      <c r="C661">
        <v>23</v>
      </c>
      <c r="D661" t="s">
        <v>51</v>
      </c>
      <c r="E661" t="s">
        <v>99</v>
      </c>
      <c r="F661" t="s">
        <v>26</v>
      </c>
      <c r="G661" t="s">
        <v>2163</v>
      </c>
      <c r="H661" t="s">
        <v>2013</v>
      </c>
      <c r="I661" t="s">
        <v>29</v>
      </c>
      <c r="J661" t="s">
        <v>30</v>
      </c>
      <c r="K661">
        <v>3</v>
      </c>
      <c r="L661">
        <v>9413</v>
      </c>
      <c r="M661">
        <v>15</v>
      </c>
      <c r="N661" t="s">
        <v>31</v>
      </c>
      <c r="O661" t="s">
        <v>133</v>
      </c>
      <c r="P661" t="s">
        <v>58</v>
      </c>
      <c r="Q661" t="s">
        <v>225</v>
      </c>
      <c r="R661" t="s">
        <v>2221</v>
      </c>
      <c r="S661">
        <v>4</v>
      </c>
      <c r="T661" t="s">
        <v>72</v>
      </c>
      <c r="U661">
        <v>203</v>
      </c>
      <c r="V661" t="s">
        <v>79</v>
      </c>
    </row>
    <row r="662" spans="1:22" x14ac:dyDescent="0.3">
      <c r="A662" t="s">
        <v>2222</v>
      </c>
      <c r="B662" t="s">
        <v>850</v>
      </c>
      <c r="C662">
        <v>50</v>
      </c>
      <c r="D662" t="s">
        <v>51</v>
      </c>
      <c r="E662" t="s">
        <v>229</v>
      </c>
      <c r="F662" t="s">
        <v>26</v>
      </c>
      <c r="G662" t="s">
        <v>2223</v>
      </c>
      <c r="H662" t="s">
        <v>2099</v>
      </c>
      <c r="I662" t="s">
        <v>85</v>
      </c>
      <c r="J662" t="s">
        <v>30</v>
      </c>
      <c r="K662">
        <v>3</v>
      </c>
      <c r="L662">
        <v>11791</v>
      </c>
      <c r="M662">
        <v>5</v>
      </c>
      <c r="N662" t="s">
        <v>56</v>
      </c>
      <c r="O662" t="s">
        <v>46</v>
      </c>
      <c r="P662" t="s">
        <v>33</v>
      </c>
      <c r="Q662" t="s">
        <v>258</v>
      </c>
      <c r="R662" t="s">
        <v>2224</v>
      </c>
      <c r="S662">
        <v>4</v>
      </c>
      <c r="T662" t="s">
        <v>61</v>
      </c>
      <c r="U662">
        <v>59</v>
      </c>
      <c r="V662" t="s">
        <v>37</v>
      </c>
    </row>
    <row r="663" spans="1:22" x14ac:dyDescent="0.3">
      <c r="A663" t="s">
        <v>2225</v>
      </c>
      <c r="B663" t="s">
        <v>1045</v>
      </c>
      <c r="C663">
        <v>55</v>
      </c>
      <c r="D663" t="s">
        <v>51</v>
      </c>
      <c r="E663" t="s">
        <v>25</v>
      </c>
      <c r="F663" t="s">
        <v>26</v>
      </c>
      <c r="G663" t="s">
        <v>335</v>
      </c>
      <c r="H663" t="s">
        <v>245</v>
      </c>
      <c r="I663" t="s">
        <v>43</v>
      </c>
      <c r="J663" t="s">
        <v>44</v>
      </c>
      <c r="L663">
        <v>37780</v>
      </c>
      <c r="M663">
        <v>0</v>
      </c>
      <c r="N663" t="s">
        <v>31</v>
      </c>
      <c r="O663" t="s">
        <v>102</v>
      </c>
      <c r="P663" t="s">
        <v>69</v>
      </c>
      <c r="Q663" t="s">
        <v>1048</v>
      </c>
      <c r="R663" t="s">
        <v>2226</v>
      </c>
      <c r="S663">
        <v>5</v>
      </c>
      <c r="T663" t="s">
        <v>61</v>
      </c>
      <c r="U663">
        <v>351</v>
      </c>
      <c r="V663" t="s">
        <v>62</v>
      </c>
    </row>
    <row r="664" spans="1:22" x14ac:dyDescent="0.3">
      <c r="A664" t="s">
        <v>2227</v>
      </c>
      <c r="B664" t="s">
        <v>1425</v>
      </c>
      <c r="C664">
        <v>36</v>
      </c>
      <c r="D664" t="s">
        <v>51</v>
      </c>
      <c r="E664" t="s">
        <v>142</v>
      </c>
      <c r="F664" t="s">
        <v>26</v>
      </c>
      <c r="G664" t="s">
        <v>2228</v>
      </c>
      <c r="H664" t="s">
        <v>295</v>
      </c>
      <c r="I664" t="s">
        <v>85</v>
      </c>
      <c r="J664" t="s">
        <v>44</v>
      </c>
      <c r="K664">
        <v>1</v>
      </c>
      <c r="L664">
        <v>13078</v>
      </c>
      <c r="M664">
        <v>10</v>
      </c>
      <c r="N664" t="s">
        <v>45</v>
      </c>
      <c r="O664" t="s">
        <v>281</v>
      </c>
      <c r="P664" t="s">
        <v>58</v>
      </c>
      <c r="Q664" t="s">
        <v>1427</v>
      </c>
      <c r="R664" t="s">
        <v>2229</v>
      </c>
      <c r="S664">
        <v>4</v>
      </c>
      <c r="T664" t="s">
        <v>61</v>
      </c>
      <c r="U664">
        <v>329</v>
      </c>
      <c r="V664" t="s">
        <v>37</v>
      </c>
    </row>
    <row r="665" spans="1:22" x14ac:dyDescent="0.3">
      <c r="A665" t="s">
        <v>2230</v>
      </c>
      <c r="B665" t="s">
        <v>803</v>
      </c>
      <c r="C665">
        <v>37</v>
      </c>
      <c r="D665" t="s">
        <v>24</v>
      </c>
      <c r="E665" t="s">
        <v>142</v>
      </c>
      <c r="F665" t="s">
        <v>65</v>
      </c>
      <c r="G665" t="s">
        <v>661</v>
      </c>
      <c r="H665" t="s">
        <v>1942</v>
      </c>
      <c r="I665" t="s">
        <v>29</v>
      </c>
      <c r="J665" t="s">
        <v>44</v>
      </c>
      <c r="K665">
        <v>4</v>
      </c>
      <c r="L665">
        <v>37537</v>
      </c>
      <c r="M665">
        <v>0</v>
      </c>
      <c r="N665" t="s">
        <v>31</v>
      </c>
      <c r="O665" t="s">
        <v>68</v>
      </c>
      <c r="P665" t="s">
        <v>174</v>
      </c>
      <c r="R665" t="s">
        <v>2231</v>
      </c>
      <c r="S665">
        <v>4</v>
      </c>
      <c r="T665" t="s">
        <v>72</v>
      </c>
      <c r="U665">
        <v>90</v>
      </c>
      <c r="V665" t="s">
        <v>62</v>
      </c>
    </row>
    <row r="666" spans="1:22" x14ac:dyDescent="0.3">
      <c r="A666" t="s">
        <v>2232</v>
      </c>
      <c r="B666" t="s">
        <v>840</v>
      </c>
      <c r="C666">
        <v>51</v>
      </c>
      <c r="D666" t="s">
        <v>24</v>
      </c>
      <c r="E666" t="s">
        <v>25</v>
      </c>
      <c r="F666" t="s">
        <v>82</v>
      </c>
      <c r="G666" t="s">
        <v>2233</v>
      </c>
      <c r="H666" t="s">
        <v>2234</v>
      </c>
      <c r="I666" t="s">
        <v>43</v>
      </c>
      <c r="J666" t="s">
        <v>30</v>
      </c>
      <c r="K666">
        <v>3</v>
      </c>
      <c r="L666">
        <v>12452</v>
      </c>
      <c r="M666">
        <v>0</v>
      </c>
      <c r="N666" t="s">
        <v>45</v>
      </c>
      <c r="O666" t="s">
        <v>68</v>
      </c>
      <c r="P666" t="s">
        <v>174</v>
      </c>
      <c r="Q666" t="s">
        <v>1147</v>
      </c>
      <c r="S666">
        <v>1</v>
      </c>
      <c r="T666" t="s">
        <v>61</v>
      </c>
      <c r="U666">
        <v>274</v>
      </c>
      <c r="V666" t="s">
        <v>79</v>
      </c>
    </row>
    <row r="667" spans="1:22" x14ac:dyDescent="0.3">
      <c r="A667" t="s">
        <v>2235</v>
      </c>
      <c r="B667" t="s">
        <v>119</v>
      </c>
      <c r="C667">
        <v>59</v>
      </c>
      <c r="D667" t="s">
        <v>24</v>
      </c>
      <c r="E667" t="s">
        <v>25</v>
      </c>
      <c r="F667" t="s">
        <v>82</v>
      </c>
      <c r="G667" t="s">
        <v>132</v>
      </c>
      <c r="H667" t="s">
        <v>2236</v>
      </c>
      <c r="I667" t="s">
        <v>85</v>
      </c>
      <c r="J667" t="s">
        <v>30</v>
      </c>
      <c r="K667">
        <v>5</v>
      </c>
      <c r="L667">
        <v>60647</v>
      </c>
      <c r="M667">
        <v>15</v>
      </c>
      <c r="N667" t="s">
        <v>166</v>
      </c>
      <c r="O667" t="s">
        <v>102</v>
      </c>
      <c r="P667" t="s">
        <v>58</v>
      </c>
      <c r="Q667" t="s">
        <v>122</v>
      </c>
      <c r="R667" t="s">
        <v>2237</v>
      </c>
      <c r="S667">
        <v>2</v>
      </c>
      <c r="T667" t="s">
        <v>72</v>
      </c>
      <c r="U667">
        <v>326</v>
      </c>
      <c r="V667" t="s">
        <v>79</v>
      </c>
    </row>
    <row r="668" spans="1:22" x14ac:dyDescent="0.3">
      <c r="A668" t="s">
        <v>2238</v>
      </c>
      <c r="B668" t="s">
        <v>1008</v>
      </c>
      <c r="C668">
        <v>59</v>
      </c>
      <c r="D668" t="s">
        <v>51</v>
      </c>
      <c r="E668" t="s">
        <v>99</v>
      </c>
      <c r="F668" t="s">
        <v>91</v>
      </c>
      <c r="G668" t="s">
        <v>2239</v>
      </c>
      <c r="H668" t="s">
        <v>1563</v>
      </c>
      <c r="I668" t="s">
        <v>93</v>
      </c>
      <c r="J668" t="s">
        <v>44</v>
      </c>
      <c r="K668">
        <v>4</v>
      </c>
      <c r="M668">
        <v>10</v>
      </c>
      <c r="N668" t="s">
        <v>31</v>
      </c>
      <c r="O668" t="s">
        <v>102</v>
      </c>
      <c r="P668" t="s">
        <v>33</v>
      </c>
      <c r="Q668" t="s">
        <v>1011</v>
      </c>
      <c r="R668" t="s">
        <v>2240</v>
      </c>
      <c r="S668">
        <v>4</v>
      </c>
      <c r="T668" t="s">
        <v>61</v>
      </c>
      <c r="U668">
        <v>93</v>
      </c>
      <c r="V668" t="s">
        <v>79</v>
      </c>
    </row>
    <row r="669" spans="1:22" x14ac:dyDescent="0.3">
      <c r="A669" t="s">
        <v>2241</v>
      </c>
      <c r="B669" t="s">
        <v>650</v>
      </c>
      <c r="C669">
        <v>53</v>
      </c>
      <c r="D669" t="s">
        <v>51</v>
      </c>
      <c r="E669" t="s">
        <v>25</v>
      </c>
      <c r="F669" t="s">
        <v>65</v>
      </c>
      <c r="G669" t="s">
        <v>2242</v>
      </c>
      <c r="H669" t="s">
        <v>101</v>
      </c>
      <c r="I669" t="s">
        <v>29</v>
      </c>
      <c r="J669" t="s">
        <v>30</v>
      </c>
      <c r="K669">
        <v>1</v>
      </c>
      <c r="L669">
        <v>11160</v>
      </c>
      <c r="M669">
        <v>10</v>
      </c>
      <c r="N669" t="s">
        <v>166</v>
      </c>
      <c r="O669" t="s">
        <v>102</v>
      </c>
      <c r="P669" t="s">
        <v>58</v>
      </c>
      <c r="Q669" t="s">
        <v>653</v>
      </c>
      <c r="R669" t="s">
        <v>2243</v>
      </c>
      <c r="S669">
        <v>1</v>
      </c>
      <c r="T669" t="s">
        <v>72</v>
      </c>
      <c r="U669">
        <v>429</v>
      </c>
      <c r="V669" t="s">
        <v>79</v>
      </c>
    </row>
    <row r="670" spans="1:22" x14ac:dyDescent="0.3">
      <c r="A670" t="s">
        <v>2244</v>
      </c>
      <c r="B670" t="s">
        <v>689</v>
      </c>
      <c r="C670">
        <v>42</v>
      </c>
      <c r="D670" t="s">
        <v>51</v>
      </c>
      <c r="E670" t="s">
        <v>52</v>
      </c>
      <c r="F670" t="s">
        <v>65</v>
      </c>
      <c r="G670" t="s">
        <v>2245</v>
      </c>
      <c r="H670" t="s">
        <v>744</v>
      </c>
      <c r="I670" t="s">
        <v>77</v>
      </c>
      <c r="J670" t="s">
        <v>30</v>
      </c>
      <c r="L670">
        <v>39890</v>
      </c>
      <c r="M670">
        <v>10</v>
      </c>
      <c r="N670" t="s">
        <v>166</v>
      </c>
      <c r="O670" t="s">
        <v>32</v>
      </c>
      <c r="P670" t="s">
        <v>69</v>
      </c>
      <c r="Q670" t="s">
        <v>1105</v>
      </c>
      <c r="R670" t="s">
        <v>2246</v>
      </c>
      <c r="S670">
        <v>2</v>
      </c>
      <c r="T670" t="s">
        <v>61</v>
      </c>
      <c r="U670">
        <v>287</v>
      </c>
      <c r="V670" t="s">
        <v>62</v>
      </c>
    </row>
    <row r="671" spans="1:22" x14ac:dyDescent="0.3">
      <c r="A671" t="s">
        <v>2247</v>
      </c>
      <c r="B671" t="s">
        <v>637</v>
      </c>
      <c r="C671">
        <v>43</v>
      </c>
      <c r="D671" t="s">
        <v>24</v>
      </c>
      <c r="E671" t="s">
        <v>52</v>
      </c>
      <c r="F671" t="s">
        <v>91</v>
      </c>
      <c r="G671" t="s">
        <v>426</v>
      </c>
      <c r="H671" t="s">
        <v>310</v>
      </c>
      <c r="I671" t="s">
        <v>93</v>
      </c>
      <c r="J671" t="s">
        <v>30</v>
      </c>
      <c r="K671">
        <v>3</v>
      </c>
      <c r="L671">
        <v>55797</v>
      </c>
      <c r="M671">
        <v>15</v>
      </c>
      <c r="N671" t="s">
        <v>56</v>
      </c>
      <c r="O671" t="s">
        <v>133</v>
      </c>
      <c r="P671" t="s">
        <v>174</v>
      </c>
      <c r="Q671" t="s">
        <v>2248</v>
      </c>
      <c r="R671" t="s">
        <v>2249</v>
      </c>
      <c r="S671">
        <v>2</v>
      </c>
      <c r="T671" t="s">
        <v>96</v>
      </c>
      <c r="U671">
        <v>164</v>
      </c>
      <c r="V671" t="s">
        <v>62</v>
      </c>
    </row>
    <row r="672" spans="1:22" x14ac:dyDescent="0.3">
      <c r="A672" t="s">
        <v>2250</v>
      </c>
      <c r="B672" t="s">
        <v>216</v>
      </c>
      <c r="C672">
        <v>44</v>
      </c>
      <c r="D672" t="s">
        <v>51</v>
      </c>
      <c r="E672" t="s">
        <v>25</v>
      </c>
      <c r="F672" t="s">
        <v>65</v>
      </c>
      <c r="G672" t="s">
        <v>346</v>
      </c>
      <c r="H672" t="s">
        <v>367</v>
      </c>
      <c r="I672" t="s">
        <v>93</v>
      </c>
      <c r="J672" t="s">
        <v>44</v>
      </c>
      <c r="K672">
        <v>2</v>
      </c>
      <c r="L672">
        <v>21697</v>
      </c>
      <c r="M672">
        <v>15</v>
      </c>
      <c r="N672" t="s">
        <v>31</v>
      </c>
      <c r="O672" t="s">
        <v>281</v>
      </c>
      <c r="P672" t="s">
        <v>58</v>
      </c>
      <c r="Q672" t="s">
        <v>219</v>
      </c>
      <c r="R672" t="s">
        <v>2251</v>
      </c>
      <c r="S672">
        <v>5</v>
      </c>
      <c r="T672" t="s">
        <v>72</v>
      </c>
      <c r="U672">
        <v>364</v>
      </c>
      <c r="V672" t="s">
        <v>79</v>
      </c>
    </row>
    <row r="673" spans="1:22" x14ac:dyDescent="0.3">
      <c r="A673" t="s">
        <v>2252</v>
      </c>
      <c r="B673" t="s">
        <v>344</v>
      </c>
      <c r="C673">
        <v>40</v>
      </c>
      <c r="D673" t="s">
        <v>24</v>
      </c>
      <c r="E673" t="s">
        <v>131</v>
      </c>
      <c r="F673" t="s">
        <v>65</v>
      </c>
      <c r="G673" t="s">
        <v>861</v>
      </c>
      <c r="H673" t="s">
        <v>1368</v>
      </c>
      <c r="I673" t="s">
        <v>29</v>
      </c>
      <c r="J673" t="s">
        <v>30</v>
      </c>
      <c r="K673">
        <v>4</v>
      </c>
      <c r="L673">
        <v>47420</v>
      </c>
      <c r="M673">
        <v>0</v>
      </c>
      <c r="N673" t="s">
        <v>31</v>
      </c>
      <c r="O673" t="s">
        <v>102</v>
      </c>
      <c r="P673" t="s">
        <v>69</v>
      </c>
      <c r="R673" t="s">
        <v>2253</v>
      </c>
      <c r="S673">
        <v>5</v>
      </c>
      <c r="T673" t="s">
        <v>72</v>
      </c>
      <c r="U673">
        <v>479</v>
      </c>
      <c r="V673" t="s">
        <v>62</v>
      </c>
    </row>
    <row r="674" spans="1:22" x14ac:dyDescent="0.3">
      <c r="A674" t="s">
        <v>2254</v>
      </c>
      <c r="B674" t="s">
        <v>637</v>
      </c>
      <c r="C674">
        <v>25</v>
      </c>
      <c r="D674" t="s">
        <v>163</v>
      </c>
      <c r="E674" t="s">
        <v>229</v>
      </c>
      <c r="F674" t="s">
        <v>53</v>
      </c>
      <c r="G674" t="s">
        <v>493</v>
      </c>
      <c r="H674" t="s">
        <v>1217</v>
      </c>
      <c r="I674" t="s">
        <v>43</v>
      </c>
      <c r="J674" t="s">
        <v>44</v>
      </c>
      <c r="K674">
        <v>3</v>
      </c>
      <c r="L674">
        <v>70579</v>
      </c>
      <c r="M674">
        <v>15</v>
      </c>
      <c r="N674" t="s">
        <v>31</v>
      </c>
      <c r="O674" t="s">
        <v>32</v>
      </c>
      <c r="P674" t="s">
        <v>174</v>
      </c>
      <c r="Q674" t="s">
        <v>2248</v>
      </c>
      <c r="R674" t="s">
        <v>2255</v>
      </c>
      <c r="S674">
        <v>2</v>
      </c>
      <c r="T674" t="s">
        <v>36</v>
      </c>
      <c r="U674">
        <v>349</v>
      </c>
      <c r="V674" t="s">
        <v>37</v>
      </c>
    </row>
    <row r="675" spans="1:22" x14ac:dyDescent="0.3">
      <c r="A675" t="s">
        <v>2256</v>
      </c>
      <c r="B675" t="s">
        <v>660</v>
      </c>
      <c r="C675">
        <v>39</v>
      </c>
      <c r="D675" t="s">
        <v>24</v>
      </c>
      <c r="E675" t="s">
        <v>142</v>
      </c>
      <c r="F675" t="s">
        <v>53</v>
      </c>
      <c r="G675" t="s">
        <v>2257</v>
      </c>
      <c r="H675" t="s">
        <v>2258</v>
      </c>
      <c r="I675" t="s">
        <v>77</v>
      </c>
      <c r="J675" t="s">
        <v>44</v>
      </c>
      <c r="L675">
        <v>22960</v>
      </c>
      <c r="M675">
        <v>10</v>
      </c>
      <c r="N675" t="s">
        <v>45</v>
      </c>
      <c r="O675" t="s">
        <v>281</v>
      </c>
      <c r="P675" t="s">
        <v>33</v>
      </c>
      <c r="R675" t="s">
        <v>2259</v>
      </c>
      <c r="S675">
        <v>3</v>
      </c>
      <c r="T675" t="s">
        <v>61</v>
      </c>
      <c r="U675">
        <v>292</v>
      </c>
      <c r="V675" t="s">
        <v>79</v>
      </c>
    </row>
    <row r="676" spans="1:22" x14ac:dyDescent="0.3">
      <c r="A676" t="s">
        <v>2260</v>
      </c>
      <c r="B676" t="s">
        <v>555</v>
      </c>
      <c r="C676">
        <v>36</v>
      </c>
      <c r="D676" t="s">
        <v>51</v>
      </c>
      <c r="E676" t="s">
        <v>99</v>
      </c>
      <c r="F676" t="s">
        <v>65</v>
      </c>
      <c r="G676" t="s">
        <v>1535</v>
      </c>
      <c r="H676" t="s">
        <v>1166</v>
      </c>
      <c r="I676" t="s">
        <v>108</v>
      </c>
      <c r="J676" t="s">
        <v>44</v>
      </c>
      <c r="K676">
        <v>2</v>
      </c>
      <c r="L676">
        <v>6851</v>
      </c>
      <c r="M676">
        <v>5</v>
      </c>
      <c r="N676" t="s">
        <v>45</v>
      </c>
      <c r="O676" t="s">
        <v>46</v>
      </c>
      <c r="P676" t="s">
        <v>174</v>
      </c>
      <c r="Q676" t="s">
        <v>558</v>
      </c>
      <c r="R676" t="s">
        <v>2261</v>
      </c>
      <c r="S676">
        <v>4</v>
      </c>
      <c r="T676" t="s">
        <v>96</v>
      </c>
      <c r="U676">
        <v>332</v>
      </c>
      <c r="V676" t="s">
        <v>62</v>
      </c>
    </row>
    <row r="677" spans="1:22" x14ac:dyDescent="0.3">
      <c r="A677" t="s">
        <v>2262</v>
      </c>
      <c r="B677" t="s">
        <v>1690</v>
      </c>
      <c r="C677">
        <v>59</v>
      </c>
      <c r="D677" t="s">
        <v>51</v>
      </c>
      <c r="E677" t="s">
        <v>25</v>
      </c>
      <c r="F677" t="s">
        <v>65</v>
      </c>
      <c r="G677" t="s">
        <v>1932</v>
      </c>
      <c r="H677" t="s">
        <v>1030</v>
      </c>
      <c r="I677" t="s">
        <v>85</v>
      </c>
      <c r="J677" t="s">
        <v>44</v>
      </c>
      <c r="K677">
        <v>4</v>
      </c>
      <c r="L677">
        <v>27801</v>
      </c>
      <c r="M677">
        <v>10</v>
      </c>
      <c r="N677" t="s">
        <v>45</v>
      </c>
      <c r="O677" t="s">
        <v>68</v>
      </c>
      <c r="P677" t="s">
        <v>33</v>
      </c>
      <c r="R677" t="s">
        <v>2263</v>
      </c>
      <c r="S677">
        <v>2</v>
      </c>
      <c r="T677" t="s">
        <v>96</v>
      </c>
      <c r="U677">
        <v>156</v>
      </c>
      <c r="V677" t="s">
        <v>79</v>
      </c>
    </row>
    <row r="678" spans="1:22" x14ac:dyDescent="0.3">
      <c r="A678" t="s">
        <v>2264</v>
      </c>
      <c r="B678" t="s">
        <v>684</v>
      </c>
      <c r="C678">
        <v>41</v>
      </c>
      <c r="D678" t="s">
        <v>51</v>
      </c>
      <c r="E678" t="s">
        <v>131</v>
      </c>
      <c r="F678" t="s">
        <v>53</v>
      </c>
      <c r="G678" t="s">
        <v>224</v>
      </c>
      <c r="H678" t="s">
        <v>1134</v>
      </c>
      <c r="I678" t="s">
        <v>93</v>
      </c>
      <c r="J678" t="s">
        <v>44</v>
      </c>
      <c r="K678">
        <v>3</v>
      </c>
      <c r="L678">
        <v>66282</v>
      </c>
      <c r="M678">
        <v>0</v>
      </c>
      <c r="N678" t="s">
        <v>166</v>
      </c>
      <c r="O678" t="s">
        <v>68</v>
      </c>
      <c r="P678" t="s">
        <v>58</v>
      </c>
      <c r="R678" t="s">
        <v>2265</v>
      </c>
      <c r="S678">
        <v>1</v>
      </c>
      <c r="T678" t="s">
        <v>96</v>
      </c>
      <c r="U678">
        <v>330</v>
      </c>
      <c r="V678" t="s">
        <v>79</v>
      </c>
    </row>
    <row r="679" spans="1:22" x14ac:dyDescent="0.3">
      <c r="A679" t="s">
        <v>2266</v>
      </c>
      <c r="B679" t="s">
        <v>606</v>
      </c>
      <c r="C679">
        <v>31</v>
      </c>
      <c r="D679" t="s">
        <v>51</v>
      </c>
      <c r="E679" t="s">
        <v>25</v>
      </c>
      <c r="F679" t="s">
        <v>53</v>
      </c>
      <c r="G679" t="s">
        <v>2267</v>
      </c>
      <c r="H679" t="s">
        <v>268</v>
      </c>
      <c r="I679" t="s">
        <v>29</v>
      </c>
      <c r="J679" t="s">
        <v>30</v>
      </c>
      <c r="K679">
        <v>3</v>
      </c>
      <c r="L679">
        <v>28326</v>
      </c>
      <c r="M679">
        <v>10</v>
      </c>
      <c r="N679" t="s">
        <v>45</v>
      </c>
      <c r="O679" t="s">
        <v>57</v>
      </c>
      <c r="P679" t="s">
        <v>33</v>
      </c>
      <c r="Q679" t="s">
        <v>608</v>
      </c>
      <c r="S679">
        <v>2</v>
      </c>
      <c r="T679" t="s">
        <v>61</v>
      </c>
      <c r="U679">
        <v>240</v>
      </c>
      <c r="V679" t="s">
        <v>37</v>
      </c>
    </row>
    <row r="680" spans="1:22" x14ac:dyDescent="0.3">
      <c r="A680" t="s">
        <v>2268</v>
      </c>
      <c r="B680" t="s">
        <v>1008</v>
      </c>
      <c r="C680">
        <v>52</v>
      </c>
      <c r="D680" t="s">
        <v>183</v>
      </c>
      <c r="E680" t="s">
        <v>229</v>
      </c>
      <c r="F680" t="s">
        <v>53</v>
      </c>
      <c r="G680" t="s">
        <v>2008</v>
      </c>
      <c r="H680" t="s">
        <v>1139</v>
      </c>
      <c r="I680" t="s">
        <v>29</v>
      </c>
      <c r="J680" t="s">
        <v>44</v>
      </c>
      <c r="K680">
        <v>2</v>
      </c>
      <c r="L680">
        <v>46549</v>
      </c>
      <c r="M680">
        <v>5</v>
      </c>
      <c r="N680" t="s">
        <v>166</v>
      </c>
      <c r="O680" t="s">
        <v>46</v>
      </c>
      <c r="P680" t="s">
        <v>58</v>
      </c>
      <c r="Q680" t="s">
        <v>1011</v>
      </c>
      <c r="R680" t="s">
        <v>2269</v>
      </c>
      <c r="S680">
        <v>4</v>
      </c>
      <c r="T680" t="s">
        <v>61</v>
      </c>
      <c r="U680">
        <v>427</v>
      </c>
      <c r="V680" t="s">
        <v>37</v>
      </c>
    </row>
    <row r="681" spans="1:22" x14ac:dyDescent="0.3">
      <c r="A681" t="s">
        <v>2270</v>
      </c>
      <c r="B681" t="s">
        <v>2271</v>
      </c>
      <c r="C681">
        <v>22</v>
      </c>
      <c r="D681" t="s">
        <v>51</v>
      </c>
      <c r="E681" t="s">
        <v>142</v>
      </c>
      <c r="F681" t="s">
        <v>91</v>
      </c>
      <c r="G681" t="s">
        <v>2029</v>
      </c>
      <c r="H681" t="s">
        <v>656</v>
      </c>
      <c r="I681" t="s">
        <v>93</v>
      </c>
      <c r="J681" t="s">
        <v>30</v>
      </c>
      <c r="K681">
        <v>2</v>
      </c>
      <c r="L681">
        <v>63325</v>
      </c>
      <c r="M681">
        <v>15</v>
      </c>
      <c r="N681" t="s">
        <v>45</v>
      </c>
      <c r="O681" t="s">
        <v>68</v>
      </c>
      <c r="P681" t="s">
        <v>69</v>
      </c>
      <c r="Q681" t="s">
        <v>468</v>
      </c>
      <c r="R681" t="s">
        <v>2272</v>
      </c>
      <c r="S681">
        <v>5</v>
      </c>
      <c r="T681" t="s">
        <v>96</v>
      </c>
      <c r="U681">
        <v>385</v>
      </c>
      <c r="V681" t="s">
        <v>37</v>
      </c>
    </row>
    <row r="682" spans="1:22" x14ac:dyDescent="0.3">
      <c r="A682" t="s">
        <v>2273</v>
      </c>
      <c r="B682" t="s">
        <v>606</v>
      </c>
      <c r="C682">
        <v>55</v>
      </c>
      <c r="D682" t="s">
        <v>51</v>
      </c>
      <c r="E682" t="s">
        <v>99</v>
      </c>
      <c r="F682" t="s">
        <v>91</v>
      </c>
      <c r="G682" t="s">
        <v>2274</v>
      </c>
      <c r="H682" t="s">
        <v>2275</v>
      </c>
      <c r="I682" t="s">
        <v>108</v>
      </c>
      <c r="J682" t="s">
        <v>30</v>
      </c>
      <c r="K682">
        <v>1</v>
      </c>
      <c r="L682">
        <v>67801</v>
      </c>
      <c r="M682">
        <v>5</v>
      </c>
      <c r="N682" t="s">
        <v>166</v>
      </c>
      <c r="O682" t="s">
        <v>102</v>
      </c>
      <c r="P682" t="s">
        <v>69</v>
      </c>
      <c r="Q682" t="s">
        <v>608</v>
      </c>
      <c r="R682" t="s">
        <v>2276</v>
      </c>
      <c r="S682">
        <v>1</v>
      </c>
      <c r="T682" t="s">
        <v>96</v>
      </c>
      <c r="U682">
        <v>461</v>
      </c>
      <c r="V682" t="s">
        <v>79</v>
      </c>
    </row>
    <row r="683" spans="1:22" x14ac:dyDescent="0.3">
      <c r="A683" t="s">
        <v>2277</v>
      </c>
      <c r="B683" t="s">
        <v>623</v>
      </c>
      <c r="C683">
        <v>43</v>
      </c>
      <c r="D683" t="s">
        <v>24</v>
      </c>
      <c r="E683" t="s">
        <v>99</v>
      </c>
      <c r="F683" t="s">
        <v>82</v>
      </c>
      <c r="G683" t="s">
        <v>279</v>
      </c>
      <c r="H683" t="s">
        <v>1782</v>
      </c>
      <c r="I683" t="s">
        <v>29</v>
      </c>
      <c r="J683" t="s">
        <v>44</v>
      </c>
      <c r="K683">
        <v>5</v>
      </c>
      <c r="L683">
        <v>77370</v>
      </c>
      <c r="M683">
        <v>0</v>
      </c>
      <c r="N683" t="s">
        <v>31</v>
      </c>
      <c r="O683" t="s">
        <v>133</v>
      </c>
      <c r="P683" t="s">
        <v>69</v>
      </c>
      <c r="Q683" t="s">
        <v>626</v>
      </c>
      <c r="R683" t="s">
        <v>2278</v>
      </c>
      <c r="S683">
        <v>5</v>
      </c>
      <c r="T683" t="s">
        <v>36</v>
      </c>
      <c r="U683">
        <v>286</v>
      </c>
      <c r="V683" t="s">
        <v>79</v>
      </c>
    </row>
    <row r="684" spans="1:22" x14ac:dyDescent="0.3">
      <c r="A684" t="s">
        <v>2279</v>
      </c>
      <c r="B684" t="s">
        <v>278</v>
      </c>
      <c r="C684">
        <v>26</v>
      </c>
      <c r="D684" t="s">
        <v>24</v>
      </c>
      <c r="E684" t="s">
        <v>99</v>
      </c>
      <c r="F684" t="s">
        <v>82</v>
      </c>
      <c r="G684" t="s">
        <v>775</v>
      </c>
      <c r="H684" t="s">
        <v>1488</v>
      </c>
      <c r="I684" t="s">
        <v>29</v>
      </c>
      <c r="J684" t="s">
        <v>30</v>
      </c>
      <c r="K684">
        <v>3</v>
      </c>
      <c r="L684">
        <v>15493</v>
      </c>
      <c r="M684">
        <v>15</v>
      </c>
      <c r="N684" t="s">
        <v>31</v>
      </c>
      <c r="O684" t="s">
        <v>32</v>
      </c>
      <c r="P684" t="s">
        <v>33</v>
      </c>
      <c r="Q684" t="s">
        <v>282</v>
      </c>
      <c r="R684" t="s">
        <v>2280</v>
      </c>
      <c r="S684">
        <v>3</v>
      </c>
      <c r="T684" t="s">
        <v>36</v>
      </c>
      <c r="U684">
        <v>422</v>
      </c>
      <c r="V684" t="s">
        <v>62</v>
      </c>
    </row>
    <row r="685" spans="1:22" x14ac:dyDescent="0.3">
      <c r="A685" t="s">
        <v>2281</v>
      </c>
      <c r="B685" t="s">
        <v>1503</v>
      </c>
      <c r="C685">
        <v>48</v>
      </c>
      <c r="D685" t="s">
        <v>24</v>
      </c>
      <c r="E685" t="s">
        <v>40</v>
      </c>
      <c r="F685" t="s">
        <v>65</v>
      </c>
      <c r="G685" t="s">
        <v>334</v>
      </c>
      <c r="H685" t="s">
        <v>715</v>
      </c>
      <c r="I685" t="s">
        <v>29</v>
      </c>
      <c r="J685" t="s">
        <v>44</v>
      </c>
      <c r="K685">
        <v>2</v>
      </c>
      <c r="L685">
        <v>38515</v>
      </c>
      <c r="M685">
        <v>0</v>
      </c>
      <c r="N685" t="s">
        <v>166</v>
      </c>
      <c r="O685" t="s">
        <v>46</v>
      </c>
      <c r="P685" t="s">
        <v>69</v>
      </c>
      <c r="S685">
        <v>5</v>
      </c>
      <c r="T685" t="s">
        <v>96</v>
      </c>
      <c r="U685">
        <v>77</v>
      </c>
      <c r="V685" t="s">
        <v>37</v>
      </c>
    </row>
    <row r="686" spans="1:22" x14ac:dyDescent="0.3">
      <c r="A686" t="s">
        <v>2282</v>
      </c>
      <c r="B686" t="s">
        <v>1396</v>
      </c>
      <c r="C686">
        <v>57</v>
      </c>
      <c r="D686" t="s">
        <v>51</v>
      </c>
      <c r="E686" t="s">
        <v>229</v>
      </c>
      <c r="F686" t="s">
        <v>26</v>
      </c>
      <c r="G686" t="s">
        <v>1182</v>
      </c>
      <c r="H686" t="s">
        <v>245</v>
      </c>
      <c r="I686" t="s">
        <v>29</v>
      </c>
      <c r="J686" t="s">
        <v>44</v>
      </c>
      <c r="K686">
        <v>5</v>
      </c>
      <c r="L686">
        <v>70318</v>
      </c>
      <c r="M686">
        <v>5</v>
      </c>
      <c r="N686" t="s">
        <v>56</v>
      </c>
      <c r="O686" t="s">
        <v>68</v>
      </c>
      <c r="P686" t="s">
        <v>33</v>
      </c>
      <c r="R686" t="s">
        <v>2283</v>
      </c>
      <c r="S686">
        <v>1</v>
      </c>
      <c r="T686" t="s">
        <v>61</v>
      </c>
      <c r="U686">
        <v>330</v>
      </c>
      <c r="V686" t="s">
        <v>79</v>
      </c>
    </row>
    <row r="687" spans="1:22" x14ac:dyDescent="0.3">
      <c r="A687" t="s">
        <v>2284</v>
      </c>
      <c r="B687" t="s">
        <v>2285</v>
      </c>
      <c r="C687">
        <v>23</v>
      </c>
      <c r="D687" t="s">
        <v>24</v>
      </c>
      <c r="E687" t="s">
        <v>26</v>
      </c>
      <c r="F687" t="s">
        <v>53</v>
      </c>
      <c r="G687" t="s">
        <v>691</v>
      </c>
      <c r="H687" t="s">
        <v>1477</v>
      </c>
      <c r="I687" t="s">
        <v>29</v>
      </c>
      <c r="J687" t="s">
        <v>44</v>
      </c>
      <c r="L687">
        <v>76584</v>
      </c>
      <c r="M687">
        <v>15</v>
      </c>
      <c r="N687" t="s">
        <v>56</v>
      </c>
      <c r="O687" t="s">
        <v>133</v>
      </c>
      <c r="P687" t="s">
        <v>58</v>
      </c>
      <c r="R687" t="s">
        <v>2286</v>
      </c>
      <c r="S687">
        <v>4</v>
      </c>
      <c r="T687" t="s">
        <v>96</v>
      </c>
      <c r="U687">
        <v>185</v>
      </c>
      <c r="V687" t="s">
        <v>62</v>
      </c>
    </row>
    <row r="688" spans="1:22" x14ac:dyDescent="0.3">
      <c r="A688" t="s">
        <v>2287</v>
      </c>
      <c r="B688" t="s">
        <v>327</v>
      </c>
      <c r="C688">
        <v>46</v>
      </c>
      <c r="D688" t="s">
        <v>24</v>
      </c>
      <c r="E688" t="s">
        <v>99</v>
      </c>
      <c r="F688" t="s">
        <v>65</v>
      </c>
      <c r="G688" t="s">
        <v>398</v>
      </c>
      <c r="H688" t="s">
        <v>335</v>
      </c>
      <c r="I688" t="s">
        <v>85</v>
      </c>
      <c r="J688" t="s">
        <v>30</v>
      </c>
      <c r="K688">
        <v>1</v>
      </c>
      <c r="L688">
        <v>79804</v>
      </c>
      <c r="M688">
        <v>15</v>
      </c>
      <c r="N688" t="s">
        <v>31</v>
      </c>
      <c r="O688" t="s">
        <v>102</v>
      </c>
      <c r="P688" t="s">
        <v>174</v>
      </c>
      <c r="Q688" t="s">
        <v>330</v>
      </c>
      <c r="R688" t="s">
        <v>2288</v>
      </c>
      <c r="S688">
        <v>4</v>
      </c>
      <c r="T688" t="s">
        <v>36</v>
      </c>
      <c r="U688">
        <v>416</v>
      </c>
      <c r="V688" t="s">
        <v>37</v>
      </c>
    </row>
    <row r="689" spans="1:22" x14ac:dyDescent="0.3">
      <c r="A689" t="s">
        <v>2289</v>
      </c>
      <c r="B689" t="s">
        <v>933</v>
      </c>
      <c r="C689">
        <v>29</v>
      </c>
      <c r="D689" t="s">
        <v>51</v>
      </c>
      <c r="E689" t="s">
        <v>26</v>
      </c>
      <c r="F689" t="s">
        <v>26</v>
      </c>
      <c r="G689" t="s">
        <v>1489</v>
      </c>
      <c r="H689" t="s">
        <v>676</v>
      </c>
      <c r="I689" t="s">
        <v>43</v>
      </c>
      <c r="J689" t="s">
        <v>44</v>
      </c>
      <c r="K689">
        <v>5</v>
      </c>
      <c r="L689">
        <v>24450</v>
      </c>
      <c r="M689">
        <v>10</v>
      </c>
      <c r="N689" t="s">
        <v>56</v>
      </c>
      <c r="O689" t="s">
        <v>68</v>
      </c>
      <c r="P689" t="s">
        <v>69</v>
      </c>
      <c r="R689" t="s">
        <v>2290</v>
      </c>
      <c r="S689">
        <v>3</v>
      </c>
      <c r="T689" t="s">
        <v>61</v>
      </c>
      <c r="U689">
        <v>201</v>
      </c>
      <c r="V689" t="s">
        <v>37</v>
      </c>
    </row>
    <row r="690" spans="1:22" x14ac:dyDescent="0.3">
      <c r="A690" t="s">
        <v>2291</v>
      </c>
      <c r="B690" t="s">
        <v>1309</v>
      </c>
      <c r="C690">
        <v>48</v>
      </c>
      <c r="D690" t="s">
        <v>24</v>
      </c>
      <c r="E690" t="s">
        <v>131</v>
      </c>
      <c r="F690" t="s">
        <v>53</v>
      </c>
      <c r="G690" t="s">
        <v>2274</v>
      </c>
      <c r="H690" t="s">
        <v>1635</v>
      </c>
      <c r="I690" t="s">
        <v>43</v>
      </c>
      <c r="J690" t="s">
        <v>30</v>
      </c>
      <c r="K690">
        <v>2</v>
      </c>
      <c r="L690">
        <v>67080</v>
      </c>
      <c r="M690">
        <v>15</v>
      </c>
      <c r="N690" t="s">
        <v>56</v>
      </c>
      <c r="O690" t="s">
        <v>57</v>
      </c>
      <c r="P690" t="s">
        <v>58</v>
      </c>
      <c r="Q690" t="s">
        <v>1311</v>
      </c>
      <c r="S690">
        <v>1</v>
      </c>
      <c r="T690" t="s">
        <v>61</v>
      </c>
      <c r="U690">
        <v>119</v>
      </c>
      <c r="V690" t="s">
        <v>62</v>
      </c>
    </row>
    <row r="691" spans="1:22" x14ac:dyDescent="0.3">
      <c r="A691" t="s">
        <v>2292</v>
      </c>
      <c r="B691" t="s">
        <v>272</v>
      </c>
      <c r="C691">
        <v>22</v>
      </c>
      <c r="D691" t="s">
        <v>24</v>
      </c>
      <c r="E691" t="s">
        <v>99</v>
      </c>
      <c r="F691" t="s">
        <v>82</v>
      </c>
      <c r="G691" t="s">
        <v>582</v>
      </c>
      <c r="H691" t="s">
        <v>731</v>
      </c>
      <c r="I691" t="s">
        <v>29</v>
      </c>
      <c r="J691" t="s">
        <v>30</v>
      </c>
      <c r="K691">
        <v>1</v>
      </c>
      <c r="L691">
        <v>34162</v>
      </c>
      <c r="M691">
        <v>15</v>
      </c>
      <c r="N691" t="s">
        <v>56</v>
      </c>
      <c r="O691" t="s">
        <v>102</v>
      </c>
      <c r="P691" t="s">
        <v>58</v>
      </c>
      <c r="Q691" t="s">
        <v>275</v>
      </c>
      <c r="R691" t="s">
        <v>2293</v>
      </c>
      <c r="S691">
        <v>2</v>
      </c>
      <c r="T691" t="s">
        <v>36</v>
      </c>
      <c r="U691">
        <v>450</v>
      </c>
      <c r="V691" t="s">
        <v>62</v>
      </c>
    </row>
    <row r="692" spans="1:22" x14ac:dyDescent="0.3">
      <c r="A692" t="s">
        <v>2294</v>
      </c>
      <c r="B692" t="s">
        <v>808</v>
      </c>
      <c r="C692">
        <v>29</v>
      </c>
      <c r="D692" t="s">
        <v>51</v>
      </c>
      <c r="E692" t="s">
        <v>52</v>
      </c>
      <c r="F692" t="s">
        <v>82</v>
      </c>
      <c r="G692" t="s">
        <v>784</v>
      </c>
      <c r="H692" t="s">
        <v>184</v>
      </c>
      <c r="I692" t="s">
        <v>93</v>
      </c>
      <c r="J692" t="s">
        <v>44</v>
      </c>
      <c r="K692">
        <v>5</v>
      </c>
      <c r="L692">
        <v>40914</v>
      </c>
      <c r="M692">
        <v>15</v>
      </c>
      <c r="N692" t="s">
        <v>166</v>
      </c>
      <c r="O692" t="s">
        <v>173</v>
      </c>
      <c r="P692" t="s">
        <v>174</v>
      </c>
      <c r="Q692" t="s">
        <v>191</v>
      </c>
      <c r="S692">
        <v>5</v>
      </c>
      <c r="T692" t="s">
        <v>36</v>
      </c>
      <c r="U692">
        <v>246</v>
      </c>
      <c r="V692" t="s">
        <v>62</v>
      </c>
    </row>
    <row r="693" spans="1:22" x14ac:dyDescent="0.3">
      <c r="A693" t="s">
        <v>2295</v>
      </c>
      <c r="B693" t="s">
        <v>1080</v>
      </c>
      <c r="C693">
        <v>53</v>
      </c>
      <c r="D693" t="s">
        <v>24</v>
      </c>
      <c r="E693" t="s">
        <v>40</v>
      </c>
      <c r="F693" t="s">
        <v>53</v>
      </c>
      <c r="G693" t="s">
        <v>2296</v>
      </c>
      <c r="H693" t="s">
        <v>510</v>
      </c>
      <c r="I693" t="s">
        <v>29</v>
      </c>
      <c r="J693" t="s">
        <v>44</v>
      </c>
      <c r="K693">
        <v>3</v>
      </c>
      <c r="L693">
        <v>34207</v>
      </c>
      <c r="M693">
        <v>5</v>
      </c>
      <c r="N693" t="s">
        <v>56</v>
      </c>
      <c r="O693" t="s">
        <v>109</v>
      </c>
      <c r="P693" t="s">
        <v>174</v>
      </c>
      <c r="Q693" t="s">
        <v>1082</v>
      </c>
      <c r="R693" t="s">
        <v>2297</v>
      </c>
      <c r="S693">
        <v>3</v>
      </c>
      <c r="T693" t="s">
        <v>61</v>
      </c>
      <c r="U693">
        <v>206</v>
      </c>
      <c r="V693" t="s">
        <v>62</v>
      </c>
    </row>
    <row r="694" spans="1:22" x14ac:dyDescent="0.3">
      <c r="A694" t="s">
        <v>2298</v>
      </c>
      <c r="B694" t="s">
        <v>156</v>
      </c>
      <c r="C694">
        <v>45</v>
      </c>
      <c r="D694" t="s">
        <v>24</v>
      </c>
      <c r="E694" t="s">
        <v>25</v>
      </c>
      <c r="F694" t="s">
        <v>53</v>
      </c>
      <c r="G694" t="s">
        <v>2299</v>
      </c>
      <c r="H694" t="s">
        <v>2070</v>
      </c>
      <c r="I694" t="s">
        <v>77</v>
      </c>
      <c r="J694" t="s">
        <v>44</v>
      </c>
      <c r="K694">
        <v>1</v>
      </c>
      <c r="L694">
        <v>35287</v>
      </c>
      <c r="M694">
        <v>15</v>
      </c>
      <c r="N694" t="s">
        <v>45</v>
      </c>
      <c r="O694" t="s">
        <v>281</v>
      </c>
      <c r="P694" t="s">
        <v>33</v>
      </c>
      <c r="Q694" t="s">
        <v>159</v>
      </c>
      <c r="R694" t="s">
        <v>2300</v>
      </c>
      <c r="S694">
        <v>5</v>
      </c>
      <c r="T694" t="s">
        <v>61</v>
      </c>
      <c r="U694">
        <v>485</v>
      </c>
      <c r="V694" t="s">
        <v>62</v>
      </c>
    </row>
    <row r="695" spans="1:22" x14ac:dyDescent="0.3">
      <c r="A695" t="s">
        <v>2301</v>
      </c>
      <c r="B695" t="s">
        <v>606</v>
      </c>
      <c r="C695">
        <v>53</v>
      </c>
      <c r="D695" t="s">
        <v>51</v>
      </c>
      <c r="E695" t="s">
        <v>142</v>
      </c>
      <c r="F695" t="s">
        <v>65</v>
      </c>
      <c r="G695" t="s">
        <v>1302</v>
      </c>
      <c r="H695" t="s">
        <v>499</v>
      </c>
      <c r="I695" t="s">
        <v>93</v>
      </c>
      <c r="J695" t="s">
        <v>30</v>
      </c>
      <c r="K695">
        <v>1</v>
      </c>
      <c r="L695">
        <v>6722</v>
      </c>
      <c r="M695">
        <v>0</v>
      </c>
      <c r="N695" t="s">
        <v>56</v>
      </c>
      <c r="O695" t="s">
        <v>57</v>
      </c>
      <c r="P695" t="s">
        <v>174</v>
      </c>
      <c r="R695" t="s">
        <v>2302</v>
      </c>
      <c r="S695">
        <v>3</v>
      </c>
      <c r="T695" t="s">
        <v>36</v>
      </c>
      <c r="U695">
        <v>329</v>
      </c>
      <c r="V695" t="s">
        <v>62</v>
      </c>
    </row>
    <row r="696" spans="1:22" x14ac:dyDescent="0.3">
      <c r="A696" t="s">
        <v>2303</v>
      </c>
      <c r="B696" t="s">
        <v>293</v>
      </c>
      <c r="C696">
        <v>26</v>
      </c>
      <c r="D696" t="s">
        <v>163</v>
      </c>
      <c r="E696" t="s">
        <v>229</v>
      </c>
      <c r="F696" t="s">
        <v>65</v>
      </c>
      <c r="G696" t="s">
        <v>2304</v>
      </c>
      <c r="H696" t="s">
        <v>250</v>
      </c>
      <c r="I696" t="s">
        <v>85</v>
      </c>
      <c r="J696" t="s">
        <v>44</v>
      </c>
      <c r="K696">
        <v>5</v>
      </c>
      <c r="L696">
        <v>25542</v>
      </c>
      <c r="M696">
        <v>10</v>
      </c>
      <c r="N696" t="s">
        <v>31</v>
      </c>
      <c r="O696" t="s">
        <v>86</v>
      </c>
      <c r="P696" t="s">
        <v>174</v>
      </c>
      <c r="R696" t="s">
        <v>2305</v>
      </c>
      <c r="S696">
        <v>1</v>
      </c>
      <c r="T696" t="s">
        <v>61</v>
      </c>
      <c r="U696">
        <v>95</v>
      </c>
      <c r="V696" t="s">
        <v>79</v>
      </c>
    </row>
    <row r="697" spans="1:22" x14ac:dyDescent="0.3">
      <c r="A697" t="s">
        <v>2306</v>
      </c>
      <c r="B697" t="s">
        <v>98</v>
      </c>
      <c r="C697">
        <v>22</v>
      </c>
      <c r="D697" t="s">
        <v>24</v>
      </c>
      <c r="E697" t="s">
        <v>25</v>
      </c>
      <c r="F697" t="s">
        <v>53</v>
      </c>
      <c r="G697" t="s">
        <v>2307</v>
      </c>
      <c r="H697" t="s">
        <v>206</v>
      </c>
      <c r="I697" t="s">
        <v>77</v>
      </c>
      <c r="J697" t="s">
        <v>30</v>
      </c>
      <c r="K697">
        <v>4</v>
      </c>
      <c r="M697">
        <v>15</v>
      </c>
      <c r="N697" t="s">
        <v>166</v>
      </c>
      <c r="O697" t="s">
        <v>102</v>
      </c>
      <c r="P697" t="s">
        <v>33</v>
      </c>
      <c r="Q697" t="s">
        <v>103</v>
      </c>
      <c r="R697" t="s">
        <v>2308</v>
      </c>
      <c r="S697">
        <v>3</v>
      </c>
      <c r="T697" t="s">
        <v>96</v>
      </c>
      <c r="U697">
        <v>76</v>
      </c>
      <c r="V697" t="s">
        <v>62</v>
      </c>
    </row>
    <row r="698" spans="1:22" x14ac:dyDescent="0.3">
      <c r="A698" t="s">
        <v>2309</v>
      </c>
      <c r="B698" t="s">
        <v>361</v>
      </c>
      <c r="C698">
        <v>39</v>
      </c>
      <c r="D698" t="s">
        <v>51</v>
      </c>
      <c r="E698" t="s">
        <v>99</v>
      </c>
      <c r="F698" t="s">
        <v>53</v>
      </c>
      <c r="G698" t="s">
        <v>2013</v>
      </c>
      <c r="H698" t="s">
        <v>323</v>
      </c>
      <c r="I698" t="s">
        <v>77</v>
      </c>
      <c r="J698" t="s">
        <v>44</v>
      </c>
      <c r="K698">
        <v>4</v>
      </c>
      <c r="L698">
        <v>43357</v>
      </c>
      <c r="M698">
        <v>5</v>
      </c>
      <c r="N698" t="s">
        <v>166</v>
      </c>
      <c r="O698" t="s">
        <v>32</v>
      </c>
      <c r="P698" t="s">
        <v>33</v>
      </c>
      <c r="Q698" t="s">
        <v>364</v>
      </c>
      <c r="R698" t="s">
        <v>2310</v>
      </c>
      <c r="S698">
        <v>5</v>
      </c>
      <c r="T698" t="s">
        <v>72</v>
      </c>
      <c r="U698">
        <v>99</v>
      </c>
      <c r="V698" t="s">
        <v>79</v>
      </c>
    </row>
    <row r="699" spans="1:22" x14ac:dyDescent="0.3">
      <c r="A699" t="s">
        <v>2311</v>
      </c>
      <c r="B699" t="s">
        <v>1690</v>
      </c>
      <c r="C699">
        <v>60</v>
      </c>
      <c r="D699" t="s">
        <v>24</v>
      </c>
      <c r="E699" t="s">
        <v>40</v>
      </c>
      <c r="F699" t="s">
        <v>82</v>
      </c>
      <c r="G699" t="s">
        <v>885</v>
      </c>
      <c r="H699" t="s">
        <v>1638</v>
      </c>
      <c r="I699" t="s">
        <v>93</v>
      </c>
      <c r="J699" t="s">
        <v>30</v>
      </c>
      <c r="K699">
        <v>2</v>
      </c>
      <c r="L699">
        <v>5196</v>
      </c>
      <c r="M699">
        <v>10</v>
      </c>
      <c r="N699" t="s">
        <v>56</v>
      </c>
      <c r="O699" t="s">
        <v>281</v>
      </c>
      <c r="P699" t="s">
        <v>174</v>
      </c>
      <c r="Q699" t="s">
        <v>87</v>
      </c>
      <c r="R699" t="s">
        <v>2312</v>
      </c>
      <c r="S699">
        <v>1</v>
      </c>
      <c r="T699" t="s">
        <v>96</v>
      </c>
      <c r="U699">
        <v>384</v>
      </c>
      <c r="V699" t="s">
        <v>37</v>
      </c>
    </row>
    <row r="700" spans="1:22" x14ac:dyDescent="0.3">
      <c r="A700" t="s">
        <v>2313</v>
      </c>
      <c r="B700" t="s">
        <v>315</v>
      </c>
      <c r="C700">
        <v>45</v>
      </c>
      <c r="D700" t="s">
        <v>51</v>
      </c>
      <c r="E700" t="s">
        <v>26</v>
      </c>
      <c r="F700" t="s">
        <v>65</v>
      </c>
      <c r="G700" t="s">
        <v>656</v>
      </c>
      <c r="H700" t="s">
        <v>75</v>
      </c>
      <c r="I700" t="s">
        <v>93</v>
      </c>
      <c r="J700" t="s">
        <v>30</v>
      </c>
      <c r="K700">
        <v>5</v>
      </c>
      <c r="L700">
        <v>15757</v>
      </c>
      <c r="M700">
        <v>5</v>
      </c>
      <c r="N700" t="s">
        <v>166</v>
      </c>
      <c r="O700" t="s">
        <v>102</v>
      </c>
      <c r="P700" t="s">
        <v>174</v>
      </c>
      <c r="R700" t="s">
        <v>2314</v>
      </c>
      <c r="S700">
        <v>4</v>
      </c>
      <c r="T700" t="s">
        <v>36</v>
      </c>
      <c r="U700">
        <v>211</v>
      </c>
      <c r="V700" t="s">
        <v>37</v>
      </c>
    </row>
    <row r="701" spans="1:22" x14ac:dyDescent="0.3">
      <c r="A701" t="s">
        <v>2315</v>
      </c>
      <c r="B701" t="s">
        <v>1008</v>
      </c>
      <c r="C701">
        <v>31</v>
      </c>
      <c r="D701" t="s">
        <v>24</v>
      </c>
      <c r="E701" t="s">
        <v>99</v>
      </c>
      <c r="F701" t="s">
        <v>65</v>
      </c>
      <c r="G701" t="s">
        <v>1500</v>
      </c>
      <c r="H701" t="s">
        <v>2058</v>
      </c>
      <c r="I701" t="s">
        <v>108</v>
      </c>
      <c r="J701" t="s">
        <v>44</v>
      </c>
      <c r="K701">
        <v>5</v>
      </c>
      <c r="L701">
        <v>61245</v>
      </c>
      <c r="M701">
        <v>15</v>
      </c>
      <c r="N701" t="s">
        <v>31</v>
      </c>
      <c r="O701" t="s">
        <v>86</v>
      </c>
      <c r="P701" t="s">
        <v>69</v>
      </c>
      <c r="Q701" t="s">
        <v>1011</v>
      </c>
      <c r="R701" t="s">
        <v>2316</v>
      </c>
      <c r="S701">
        <v>4</v>
      </c>
      <c r="T701" t="s">
        <v>36</v>
      </c>
      <c r="U701">
        <v>437</v>
      </c>
      <c r="V701" t="s">
        <v>79</v>
      </c>
    </row>
    <row r="702" spans="1:22" x14ac:dyDescent="0.3">
      <c r="A702" t="s">
        <v>2317</v>
      </c>
      <c r="B702" t="s">
        <v>1309</v>
      </c>
      <c r="C702">
        <v>52</v>
      </c>
      <c r="D702" t="s">
        <v>24</v>
      </c>
      <c r="E702" t="s">
        <v>26</v>
      </c>
      <c r="F702" t="s">
        <v>82</v>
      </c>
      <c r="G702" t="s">
        <v>1066</v>
      </c>
      <c r="H702" t="s">
        <v>2318</v>
      </c>
      <c r="I702" t="s">
        <v>29</v>
      </c>
      <c r="J702" t="s">
        <v>30</v>
      </c>
      <c r="K702">
        <v>4</v>
      </c>
      <c r="L702">
        <v>6202</v>
      </c>
      <c r="M702">
        <v>10</v>
      </c>
      <c r="N702" t="s">
        <v>166</v>
      </c>
      <c r="O702" t="s">
        <v>46</v>
      </c>
      <c r="P702" t="s">
        <v>174</v>
      </c>
      <c r="Q702" t="s">
        <v>1311</v>
      </c>
      <c r="R702" t="s">
        <v>2319</v>
      </c>
      <c r="S702">
        <v>2</v>
      </c>
      <c r="T702" t="s">
        <v>61</v>
      </c>
      <c r="U702">
        <v>424</v>
      </c>
      <c r="V702" t="s">
        <v>62</v>
      </c>
    </row>
    <row r="703" spans="1:22" x14ac:dyDescent="0.3">
      <c r="A703" t="s">
        <v>2320</v>
      </c>
      <c r="B703" t="s">
        <v>293</v>
      </c>
      <c r="C703">
        <v>35</v>
      </c>
      <c r="D703" t="s">
        <v>51</v>
      </c>
      <c r="E703" t="s">
        <v>229</v>
      </c>
      <c r="F703" t="s">
        <v>53</v>
      </c>
      <c r="G703" t="s">
        <v>329</v>
      </c>
      <c r="H703" t="s">
        <v>1731</v>
      </c>
      <c r="I703" t="s">
        <v>85</v>
      </c>
      <c r="J703" t="s">
        <v>30</v>
      </c>
      <c r="K703">
        <v>4</v>
      </c>
      <c r="L703">
        <v>78752</v>
      </c>
      <c r="M703">
        <v>5</v>
      </c>
      <c r="N703" t="s">
        <v>56</v>
      </c>
      <c r="O703" t="s">
        <v>109</v>
      </c>
      <c r="P703" t="s">
        <v>58</v>
      </c>
      <c r="R703" t="s">
        <v>2321</v>
      </c>
      <c r="S703">
        <v>3</v>
      </c>
      <c r="T703" t="s">
        <v>72</v>
      </c>
      <c r="U703">
        <v>485</v>
      </c>
      <c r="V703" t="s">
        <v>37</v>
      </c>
    </row>
    <row r="704" spans="1:22" x14ac:dyDescent="0.3">
      <c r="A704" t="s">
        <v>2322</v>
      </c>
      <c r="B704" t="s">
        <v>285</v>
      </c>
      <c r="C704">
        <v>34</v>
      </c>
      <c r="D704" t="s">
        <v>183</v>
      </c>
      <c r="E704" t="s">
        <v>40</v>
      </c>
      <c r="F704" t="s">
        <v>65</v>
      </c>
      <c r="G704" t="s">
        <v>345</v>
      </c>
      <c r="H704" t="s">
        <v>704</v>
      </c>
      <c r="I704" t="s">
        <v>85</v>
      </c>
      <c r="J704" t="s">
        <v>44</v>
      </c>
      <c r="K704">
        <v>1</v>
      </c>
      <c r="L704">
        <v>74200</v>
      </c>
      <c r="M704">
        <v>15</v>
      </c>
      <c r="N704" t="s">
        <v>166</v>
      </c>
      <c r="O704" t="s">
        <v>102</v>
      </c>
      <c r="P704" t="s">
        <v>174</v>
      </c>
      <c r="Q704" t="s">
        <v>300</v>
      </c>
      <c r="R704" t="s">
        <v>2323</v>
      </c>
      <c r="S704">
        <v>5</v>
      </c>
      <c r="T704" t="s">
        <v>61</v>
      </c>
      <c r="U704">
        <v>170</v>
      </c>
      <c r="V704" t="s">
        <v>79</v>
      </c>
    </row>
    <row r="705" spans="1:22" x14ac:dyDescent="0.3">
      <c r="A705" t="s">
        <v>2324</v>
      </c>
      <c r="B705" t="s">
        <v>290</v>
      </c>
      <c r="C705">
        <v>41</v>
      </c>
      <c r="D705" t="s">
        <v>24</v>
      </c>
      <c r="E705" t="s">
        <v>142</v>
      </c>
      <c r="F705" t="s">
        <v>91</v>
      </c>
      <c r="G705" t="s">
        <v>449</v>
      </c>
      <c r="H705" t="s">
        <v>2325</v>
      </c>
      <c r="I705" t="s">
        <v>108</v>
      </c>
      <c r="J705" t="s">
        <v>30</v>
      </c>
      <c r="K705">
        <v>3</v>
      </c>
      <c r="M705">
        <v>5</v>
      </c>
      <c r="N705" t="s">
        <v>166</v>
      </c>
      <c r="O705" t="s">
        <v>133</v>
      </c>
      <c r="P705" t="s">
        <v>174</v>
      </c>
      <c r="Q705" t="s">
        <v>269</v>
      </c>
      <c r="R705" t="s">
        <v>2326</v>
      </c>
      <c r="S705">
        <v>4</v>
      </c>
      <c r="T705" t="s">
        <v>72</v>
      </c>
      <c r="U705">
        <v>282</v>
      </c>
      <c r="V705" t="s">
        <v>79</v>
      </c>
    </row>
    <row r="706" spans="1:22" x14ac:dyDescent="0.3">
      <c r="A706" t="s">
        <v>2327</v>
      </c>
      <c r="B706" t="s">
        <v>105</v>
      </c>
      <c r="C706">
        <v>29</v>
      </c>
      <c r="D706" t="s">
        <v>24</v>
      </c>
      <c r="E706" t="s">
        <v>229</v>
      </c>
      <c r="F706" t="s">
        <v>53</v>
      </c>
      <c r="G706" t="s">
        <v>870</v>
      </c>
      <c r="H706" t="s">
        <v>2318</v>
      </c>
      <c r="I706" t="s">
        <v>108</v>
      </c>
      <c r="J706" t="s">
        <v>44</v>
      </c>
      <c r="K706">
        <v>5</v>
      </c>
      <c r="L706">
        <v>53462</v>
      </c>
      <c r="M706">
        <v>10</v>
      </c>
      <c r="N706" t="s">
        <v>56</v>
      </c>
      <c r="O706" t="s">
        <v>102</v>
      </c>
      <c r="P706" t="s">
        <v>69</v>
      </c>
      <c r="Q706" t="s">
        <v>110</v>
      </c>
      <c r="R706" t="s">
        <v>2328</v>
      </c>
      <c r="S706">
        <v>1</v>
      </c>
      <c r="T706" t="s">
        <v>96</v>
      </c>
      <c r="U706">
        <v>87</v>
      </c>
      <c r="V706" t="s">
        <v>37</v>
      </c>
    </row>
    <row r="707" spans="1:22" x14ac:dyDescent="0.3">
      <c r="A707" t="s">
        <v>2329</v>
      </c>
      <c r="B707" t="s">
        <v>74</v>
      </c>
      <c r="C707">
        <v>48</v>
      </c>
      <c r="D707" t="s">
        <v>51</v>
      </c>
      <c r="E707" t="s">
        <v>131</v>
      </c>
      <c r="F707" t="s">
        <v>65</v>
      </c>
      <c r="G707" t="s">
        <v>1212</v>
      </c>
      <c r="H707" t="s">
        <v>1163</v>
      </c>
      <c r="I707" t="s">
        <v>77</v>
      </c>
      <c r="J707" t="s">
        <v>44</v>
      </c>
      <c r="K707">
        <v>5</v>
      </c>
      <c r="L707">
        <v>17229</v>
      </c>
      <c r="M707">
        <v>5</v>
      </c>
      <c r="N707" t="s">
        <v>56</v>
      </c>
      <c r="O707" t="s">
        <v>133</v>
      </c>
      <c r="P707" t="s">
        <v>69</v>
      </c>
      <c r="Q707" t="s">
        <v>78</v>
      </c>
      <c r="R707" t="s">
        <v>2330</v>
      </c>
      <c r="S707">
        <v>3</v>
      </c>
      <c r="T707" t="s">
        <v>96</v>
      </c>
      <c r="U707">
        <v>409</v>
      </c>
      <c r="V707" t="s">
        <v>79</v>
      </c>
    </row>
    <row r="708" spans="1:22" x14ac:dyDescent="0.3">
      <c r="A708" t="s">
        <v>2331</v>
      </c>
      <c r="B708" t="s">
        <v>216</v>
      </c>
      <c r="C708">
        <v>40</v>
      </c>
      <c r="D708" t="s">
        <v>24</v>
      </c>
      <c r="E708" t="s">
        <v>229</v>
      </c>
      <c r="F708" t="s">
        <v>82</v>
      </c>
      <c r="G708" t="s">
        <v>2034</v>
      </c>
      <c r="H708" t="s">
        <v>1638</v>
      </c>
      <c r="I708" t="s">
        <v>85</v>
      </c>
      <c r="J708" t="s">
        <v>30</v>
      </c>
      <c r="K708">
        <v>5</v>
      </c>
      <c r="L708">
        <v>25454</v>
      </c>
      <c r="M708">
        <v>10</v>
      </c>
      <c r="N708" t="s">
        <v>45</v>
      </c>
      <c r="O708" t="s">
        <v>32</v>
      </c>
      <c r="P708" t="s">
        <v>33</v>
      </c>
      <c r="Q708" t="s">
        <v>219</v>
      </c>
      <c r="R708" t="s">
        <v>2332</v>
      </c>
      <c r="S708">
        <v>1</v>
      </c>
      <c r="T708" t="s">
        <v>96</v>
      </c>
      <c r="U708">
        <v>143</v>
      </c>
      <c r="V708" t="s">
        <v>62</v>
      </c>
    </row>
    <row r="709" spans="1:22" x14ac:dyDescent="0.3">
      <c r="A709" t="s">
        <v>2333</v>
      </c>
      <c r="B709" t="s">
        <v>2334</v>
      </c>
      <c r="C709">
        <v>31</v>
      </c>
      <c r="D709" t="s">
        <v>51</v>
      </c>
      <c r="E709" t="s">
        <v>229</v>
      </c>
      <c r="F709" t="s">
        <v>65</v>
      </c>
      <c r="G709" t="s">
        <v>100</v>
      </c>
      <c r="H709" t="s">
        <v>534</v>
      </c>
      <c r="I709" t="s">
        <v>93</v>
      </c>
      <c r="J709" t="s">
        <v>30</v>
      </c>
      <c r="K709">
        <v>5</v>
      </c>
      <c r="L709">
        <v>23710</v>
      </c>
      <c r="M709">
        <v>10</v>
      </c>
      <c r="N709" t="s">
        <v>45</v>
      </c>
      <c r="O709" t="s">
        <v>32</v>
      </c>
      <c r="P709" t="s">
        <v>69</v>
      </c>
      <c r="Q709" t="s">
        <v>1231</v>
      </c>
      <c r="S709">
        <v>2</v>
      </c>
      <c r="T709" t="s">
        <v>61</v>
      </c>
      <c r="U709">
        <v>431</v>
      </c>
      <c r="V709" t="s">
        <v>62</v>
      </c>
    </row>
    <row r="710" spans="1:22" x14ac:dyDescent="0.3">
      <c r="A710" t="s">
        <v>2335</v>
      </c>
      <c r="B710" t="s">
        <v>850</v>
      </c>
      <c r="C710">
        <v>53</v>
      </c>
      <c r="D710" t="s">
        <v>51</v>
      </c>
      <c r="E710" t="s">
        <v>142</v>
      </c>
      <c r="F710" t="s">
        <v>91</v>
      </c>
      <c r="G710" t="s">
        <v>557</v>
      </c>
      <c r="H710" t="s">
        <v>843</v>
      </c>
      <c r="I710" t="s">
        <v>77</v>
      </c>
      <c r="J710" t="s">
        <v>44</v>
      </c>
      <c r="K710">
        <v>5</v>
      </c>
      <c r="L710">
        <v>9019</v>
      </c>
      <c r="M710">
        <v>15</v>
      </c>
      <c r="N710" t="s">
        <v>45</v>
      </c>
      <c r="O710" t="s">
        <v>86</v>
      </c>
      <c r="P710" t="s">
        <v>58</v>
      </c>
      <c r="Q710" t="s">
        <v>258</v>
      </c>
      <c r="R710" t="s">
        <v>2336</v>
      </c>
      <c r="S710">
        <v>1</v>
      </c>
      <c r="T710" t="s">
        <v>96</v>
      </c>
      <c r="U710">
        <v>153</v>
      </c>
      <c r="V710" t="s">
        <v>62</v>
      </c>
    </row>
    <row r="711" spans="1:22" x14ac:dyDescent="0.3">
      <c r="A711" t="s">
        <v>2337</v>
      </c>
      <c r="B711" t="s">
        <v>498</v>
      </c>
      <c r="C711">
        <v>53</v>
      </c>
      <c r="D711" t="s">
        <v>24</v>
      </c>
      <c r="E711" t="s">
        <v>25</v>
      </c>
      <c r="F711" t="s">
        <v>53</v>
      </c>
      <c r="G711" t="s">
        <v>1568</v>
      </c>
      <c r="H711" t="s">
        <v>922</v>
      </c>
      <c r="I711" t="s">
        <v>85</v>
      </c>
      <c r="J711" t="s">
        <v>44</v>
      </c>
      <c r="K711">
        <v>5</v>
      </c>
      <c r="L711">
        <v>8547</v>
      </c>
      <c r="M711">
        <v>15</v>
      </c>
      <c r="N711" t="s">
        <v>166</v>
      </c>
      <c r="O711" t="s">
        <v>86</v>
      </c>
      <c r="P711" t="s">
        <v>174</v>
      </c>
      <c r="Q711" t="s">
        <v>500</v>
      </c>
      <c r="R711" t="s">
        <v>2338</v>
      </c>
      <c r="S711">
        <v>1</v>
      </c>
      <c r="T711" t="s">
        <v>61</v>
      </c>
      <c r="U711">
        <v>416</v>
      </c>
      <c r="V711" t="s">
        <v>37</v>
      </c>
    </row>
    <row r="712" spans="1:22" x14ac:dyDescent="0.3">
      <c r="A712" t="s">
        <v>2339</v>
      </c>
      <c r="B712" t="s">
        <v>2340</v>
      </c>
      <c r="C712">
        <v>37</v>
      </c>
      <c r="D712" t="s">
        <v>24</v>
      </c>
      <c r="E712" t="s">
        <v>142</v>
      </c>
      <c r="F712" t="s">
        <v>82</v>
      </c>
      <c r="G712" t="s">
        <v>1804</v>
      </c>
      <c r="H712" t="s">
        <v>1076</v>
      </c>
      <c r="I712" t="s">
        <v>77</v>
      </c>
      <c r="J712" t="s">
        <v>44</v>
      </c>
      <c r="K712">
        <v>3</v>
      </c>
      <c r="L712">
        <v>8014</v>
      </c>
      <c r="M712">
        <v>10</v>
      </c>
      <c r="N712" t="s">
        <v>56</v>
      </c>
      <c r="O712" t="s">
        <v>133</v>
      </c>
      <c r="P712" t="s">
        <v>33</v>
      </c>
      <c r="Q712" t="s">
        <v>732</v>
      </c>
      <c r="R712" t="s">
        <v>2341</v>
      </c>
      <c r="S712">
        <v>2</v>
      </c>
      <c r="T712" t="s">
        <v>96</v>
      </c>
      <c r="U712">
        <v>454</v>
      </c>
      <c r="V712" t="s">
        <v>62</v>
      </c>
    </row>
    <row r="713" spans="1:22" x14ac:dyDescent="0.3">
      <c r="A713" t="s">
        <v>2342</v>
      </c>
      <c r="B713" t="s">
        <v>555</v>
      </c>
      <c r="C713">
        <v>38</v>
      </c>
      <c r="D713" t="s">
        <v>24</v>
      </c>
      <c r="E713" t="s">
        <v>52</v>
      </c>
      <c r="F713" t="s">
        <v>53</v>
      </c>
      <c r="G713" t="s">
        <v>1963</v>
      </c>
      <c r="H713" t="s">
        <v>829</v>
      </c>
      <c r="I713" t="s">
        <v>29</v>
      </c>
      <c r="J713" t="s">
        <v>30</v>
      </c>
      <c r="K713">
        <v>4</v>
      </c>
      <c r="L713">
        <v>24827</v>
      </c>
      <c r="M713">
        <v>5</v>
      </c>
      <c r="N713" t="s">
        <v>31</v>
      </c>
      <c r="O713" t="s">
        <v>46</v>
      </c>
      <c r="P713" t="s">
        <v>174</v>
      </c>
      <c r="Q713" t="s">
        <v>558</v>
      </c>
      <c r="R713" t="s">
        <v>2343</v>
      </c>
      <c r="S713">
        <v>1</v>
      </c>
      <c r="T713" t="s">
        <v>36</v>
      </c>
      <c r="U713">
        <v>366</v>
      </c>
      <c r="V713" t="s">
        <v>79</v>
      </c>
    </row>
    <row r="714" spans="1:22" x14ac:dyDescent="0.3">
      <c r="A714" t="s">
        <v>2344</v>
      </c>
      <c r="B714" t="s">
        <v>113</v>
      </c>
      <c r="C714">
        <v>57</v>
      </c>
      <c r="D714" t="s">
        <v>51</v>
      </c>
      <c r="E714" t="s">
        <v>142</v>
      </c>
      <c r="F714" t="s">
        <v>26</v>
      </c>
      <c r="G714" t="s">
        <v>2345</v>
      </c>
      <c r="H714" t="s">
        <v>2071</v>
      </c>
      <c r="I714" t="s">
        <v>85</v>
      </c>
      <c r="J714" t="s">
        <v>30</v>
      </c>
      <c r="K714">
        <v>3</v>
      </c>
      <c r="L714">
        <v>49002</v>
      </c>
      <c r="M714">
        <v>5</v>
      </c>
      <c r="N714" t="s">
        <v>166</v>
      </c>
      <c r="O714" t="s">
        <v>173</v>
      </c>
      <c r="P714" t="s">
        <v>69</v>
      </c>
      <c r="Q714" t="s">
        <v>116</v>
      </c>
      <c r="R714" t="s">
        <v>2346</v>
      </c>
      <c r="S714">
        <v>5</v>
      </c>
      <c r="T714" t="s">
        <v>61</v>
      </c>
      <c r="U714">
        <v>474</v>
      </c>
      <c r="V714" t="s">
        <v>37</v>
      </c>
    </row>
    <row r="715" spans="1:22" x14ac:dyDescent="0.3">
      <c r="A715" t="s">
        <v>2347</v>
      </c>
      <c r="B715" t="s">
        <v>1581</v>
      </c>
      <c r="C715">
        <v>59</v>
      </c>
      <c r="D715" t="s">
        <v>51</v>
      </c>
      <c r="E715" t="s">
        <v>131</v>
      </c>
      <c r="F715" t="s">
        <v>82</v>
      </c>
      <c r="G715" t="s">
        <v>1350</v>
      </c>
      <c r="H715" t="s">
        <v>1588</v>
      </c>
      <c r="I715" t="s">
        <v>77</v>
      </c>
      <c r="J715" t="s">
        <v>30</v>
      </c>
      <c r="K715">
        <v>5</v>
      </c>
      <c r="L715">
        <v>53087</v>
      </c>
      <c r="M715">
        <v>0</v>
      </c>
      <c r="N715" t="s">
        <v>166</v>
      </c>
      <c r="O715" t="s">
        <v>46</v>
      </c>
      <c r="P715" t="s">
        <v>174</v>
      </c>
      <c r="R715" t="s">
        <v>2348</v>
      </c>
      <c r="S715">
        <v>3</v>
      </c>
      <c r="T715" t="s">
        <v>96</v>
      </c>
      <c r="U715">
        <v>442</v>
      </c>
      <c r="V715" t="s">
        <v>37</v>
      </c>
    </row>
    <row r="716" spans="1:22" x14ac:dyDescent="0.3">
      <c r="A716" t="s">
        <v>2349</v>
      </c>
      <c r="B716" t="s">
        <v>278</v>
      </c>
      <c r="C716">
        <v>58</v>
      </c>
      <c r="D716" t="s">
        <v>24</v>
      </c>
      <c r="E716" t="s">
        <v>52</v>
      </c>
      <c r="F716" t="s">
        <v>91</v>
      </c>
      <c r="G716" t="s">
        <v>1042</v>
      </c>
      <c r="H716" t="s">
        <v>2086</v>
      </c>
      <c r="I716" t="s">
        <v>93</v>
      </c>
      <c r="J716" t="s">
        <v>44</v>
      </c>
      <c r="K716">
        <v>5</v>
      </c>
      <c r="L716">
        <v>68127</v>
      </c>
      <c r="M716">
        <v>15</v>
      </c>
      <c r="N716" t="s">
        <v>166</v>
      </c>
      <c r="O716" t="s">
        <v>173</v>
      </c>
      <c r="P716" t="s">
        <v>33</v>
      </c>
      <c r="Q716" t="s">
        <v>282</v>
      </c>
      <c r="R716" t="s">
        <v>2350</v>
      </c>
      <c r="S716">
        <v>5</v>
      </c>
      <c r="T716" t="s">
        <v>36</v>
      </c>
      <c r="U716">
        <v>375</v>
      </c>
      <c r="V716" t="s">
        <v>79</v>
      </c>
    </row>
    <row r="717" spans="1:22" x14ac:dyDescent="0.3">
      <c r="A717" t="s">
        <v>2351</v>
      </c>
      <c r="B717" t="s">
        <v>808</v>
      </c>
      <c r="C717">
        <v>42</v>
      </c>
      <c r="D717" t="s">
        <v>51</v>
      </c>
      <c r="E717" t="s">
        <v>40</v>
      </c>
      <c r="F717" t="s">
        <v>26</v>
      </c>
      <c r="G717" t="s">
        <v>1437</v>
      </c>
      <c r="H717" t="s">
        <v>286</v>
      </c>
      <c r="I717" t="s">
        <v>93</v>
      </c>
      <c r="J717" t="s">
        <v>44</v>
      </c>
      <c r="K717">
        <v>4</v>
      </c>
      <c r="L717">
        <v>32789</v>
      </c>
      <c r="M717">
        <v>15</v>
      </c>
      <c r="N717" t="s">
        <v>56</v>
      </c>
      <c r="O717" t="s">
        <v>32</v>
      </c>
      <c r="P717" t="s">
        <v>58</v>
      </c>
      <c r="Q717" t="s">
        <v>191</v>
      </c>
      <c r="S717">
        <v>2</v>
      </c>
      <c r="T717" t="s">
        <v>36</v>
      </c>
      <c r="U717">
        <v>358</v>
      </c>
      <c r="V717" t="s">
        <v>62</v>
      </c>
    </row>
    <row r="718" spans="1:22" x14ac:dyDescent="0.3">
      <c r="A718" t="s">
        <v>2352</v>
      </c>
      <c r="B718" t="s">
        <v>860</v>
      </c>
      <c r="C718">
        <v>20</v>
      </c>
      <c r="D718" t="s">
        <v>24</v>
      </c>
      <c r="E718" t="s">
        <v>25</v>
      </c>
      <c r="F718" t="s">
        <v>65</v>
      </c>
      <c r="G718" t="s">
        <v>1541</v>
      </c>
      <c r="H718" t="s">
        <v>2353</v>
      </c>
      <c r="I718" t="s">
        <v>77</v>
      </c>
      <c r="J718" t="s">
        <v>44</v>
      </c>
      <c r="K718">
        <v>1</v>
      </c>
      <c r="L718">
        <v>19477</v>
      </c>
      <c r="M718">
        <v>15</v>
      </c>
      <c r="N718" t="s">
        <v>31</v>
      </c>
      <c r="O718" t="s">
        <v>68</v>
      </c>
      <c r="P718" t="s">
        <v>33</v>
      </c>
      <c r="Q718" t="s">
        <v>862</v>
      </c>
      <c r="R718" t="s">
        <v>2354</v>
      </c>
      <c r="S718">
        <v>1</v>
      </c>
      <c r="T718" t="s">
        <v>72</v>
      </c>
      <c r="U718">
        <v>349</v>
      </c>
      <c r="V718" t="s">
        <v>62</v>
      </c>
    </row>
    <row r="719" spans="1:22" x14ac:dyDescent="0.3">
      <c r="A719" t="s">
        <v>2355</v>
      </c>
      <c r="B719" t="s">
        <v>222</v>
      </c>
      <c r="C719">
        <v>53</v>
      </c>
      <c r="D719" t="s">
        <v>51</v>
      </c>
      <c r="E719" t="s">
        <v>229</v>
      </c>
      <c r="F719" t="s">
        <v>91</v>
      </c>
      <c r="G719" t="s">
        <v>990</v>
      </c>
      <c r="H719" t="s">
        <v>399</v>
      </c>
      <c r="I719" t="s">
        <v>93</v>
      </c>
      <c r="J719" t="s">
        <v>30</v>
      </c>
      <c r="K719">
        <v>5</v>
      </c>
      <c r="L719">
        <v>76786</v>
      </c>
      <c r="M719">
        <v>0</v>
      </c>
      <c r="N719" t="s">
        <v>31</v>
      </c>
      <c r="O719" t="s">
        <v>57</v>
      </c>
      <c r="P719" t="s">
        <v>58</v>
      </c>
      <c r="Q719" t="s">
        <v>225</v>
      </c>
      <c r="R719" t="s">
        <v>2356</v>
      </c>
      <c r="S719">
        <v>2</v>
      </c>
      <c r="T719" t="s">
        <v>61</v>
      </c>
      <c r="U719">
        <v>214</v>
      </c>
      <c r="V719" t="s">
        <v>79</v>
      </c>
    </row>
    <row r="720" spans="1:22" x14ac:dyDescent="0.3">
      <c r="A720" t="s">
        <v>2357</v>
      </c>
      <c r="B720" t="s">
        <v>39</v>
      </c>
      <c r="C720">
        <v>18</v>
      </c>
      <c r="D720" t="s">
        <v>24</v>
      </c>
      <c r="E720" t="s">
        <v>25</v>
      </c>
      <c r="F720" t="s">
        <v>82</v>
      </c>
      <c r="G720" t="s">
        <v>2358</v>
      </c>
      <c r="H720" t="s">
        <v>147</v>
      </c>
      <c r="I720" t="s">
        <v>77</v>
      </c>
      <c r="J720" t="s">
        <v>44</v>
      </c>
      <c r="K720">
        <v>2</v>
      </c>
      <c r="L720">
        <v>39409</v>
      </c>
      <c r="M720">
        <v>10</v>
      </c>
      <c r="N720" t="s">
        <v>56</v>
      </c>
      <c r="O720" t="s">
        <v>46</v>
      </c>
      <c r="P720" t="s">
        <v>69</v>
      </c>
      <c r="Q720" t="s">
        <v>47</v>
      </c>
      <c r="R720" t="s">
        <v>2359</v>
      </c>
      <c r="S720">
        <v>3</v>
      </c>
      <c r="T720" t="s">
        <v>72</v>
      </c>
      <c r="U720">
        <v>51</v>
      </c>
      <c r="V720" t="s">
        <v>37</v>
      </c>
    </row>
    <row r="721" spans="1:22" x14ac:dyDescent="0.3">
      <c r="A721" t="s">
        <v>2360</v>
      </c>
      <c r="B721" t="s">
        <v>209</v>
      </c>
      <c r="C721">
        <v>38</v>
      </c>
      <c r="D721" t="s">
        <v>51</v>
      </c>
      <c r="E721" t="s">
        <v>52</v>
      </c>
      <c r="F721" t="s">
        <v>65</v>
      </c>
      <c r="G721" t="s">
        <v>511</v>
      </c>
      <c r="H721" t="s">
        <v>561</v>
      </c>
      <c r="I721" t="s">
        <v>108</v>
      </c>
      <c r="J721" t="s">
        <v>44</v>
      </c>
      <c r="K721">
        <v>1</v>
      </c>
      <c r="M721">
        <v>10</v>
      </c>
      <c r="N721" t="s">
        <v>56</v>
      </c>
      <c r="O721" t="s">
        <v>102</v>
      </c>
      <c r="P721" t="s">
        <v>58</v>
      </c>
      <c r="Q721" t="s">
        <v>1001</v>
      </c>
      <c r="R721" t="s">
        <v>2361</v>
      </c>
      <c r="S721">
        <v>2</v>
      </c>
      <c r="T721" t="s">
        <v>36</v>
      </c>
      <c r="U721">
        <v>303</v>
      </c>
      <c r="V721" t="s">
        <v>62</v>
      </c>
    </row>
    <row r="722" spans="1:22" x14ac:dyDescent="0.3">
      <c r="A722" t="s">
        <v>2362</v>
      </c>
      <c r="B722" t="s">
        <v>509</v>
      </c>
      <c r="C722">
        <v>26</v>
      </c>
      <c r="D722" t="s">
        <v>51</v>
      </c>
      <c r="E722" t="s">
        <v>229</v>
      </c>
      <c r="F722" t="s">
        <v>82</v>
      </c>
      <c r="G722" t="s">
        <v>2107</v>
      </c>
      <c r="H722" t="s">
        <v>641</v>
      </c>
      <c r="I722" t="s">
        <v>29</v>
      </c>
      <c r="J722" t="s">
        <v>30</v>
      </c>
      <c r="L722">
        <v>54247</v>
      </c>
      <c r="M722">
        <v>0</v>
      </c>
      <c r="N722" t="s">
        <v>31</v>
      </c>
      <c r="O722" t="s">
        <v>86</v>
      </c>
      <c r="P722" t="s">
        <v>33</v>
      </c>
      <c r="Q722" t="s">
        <v>512</v>
      </c>
      <c r="R722" t="s">
        <v>2363</v>
      </c>
      <c r="S722">
        <v>4</v>
      </c>
      <c r="T722" t="s">
        <v>61</v>
      </c>
      <c r="U722">
        <v>67</v>
      </c>
      <c r="V722" t="s">
        <v>37</v>
      </c>
    </row>
    <row r="723" spans="1:22" x14ac:dyDescent="0.3">
      <c r="A723" t="s">
        <v>2364</v>
      </c>
      <c r="B723" t="s">
        <v>617</v>
      </c>
      <c r="C723">
        <v>37</v>
      </c>
      <c r="D723" t="s">
        <v>24</v>
      </c>
      <c r="E723" t="s">
        <v>26</v>
      </c>
      <c r="F723" t="s">
        <v>91</v>
      </c>
      <c r="G723" t="s">
        <v>1167</v>
      </c>
      <c r="H723" t="s">
        <v>1307</v>
      </c>
      <c r="I723" t="s">
        <v>93</v>
      </c>
      <c r="J723" t="s">
        <v>30</v>
      </c>
      <c r="K723">
        <v>2</v>
      </c>
      <c r="M723">
        <v>15</v>
      </c>
      <c r="N723" t="s">
        <v>56</v>
      </c>
      <c r="O723" t="s">
        <v>32</v>
      </c>
      <c r="P723" t="s">
        <v>58</v>
      </c>
      <c r="Q723" t="s">
        <v>620</v>
      </c>
      <c r="R723" t="s">
        <v>2365</v>
      </c>
      <c r="S723">
        <v>5</v>
      </c>
      <c r="T723" t="s">
        <v>61</v>
      </c>
      <c r="U723">
        <v>117</v>
      </c>
      <c r="V723" t="s">
        <v>79</v>
      </c>
    </row>
    <row r="724" spans="1:22" x14ac:dyDescent="0.3">
      <c r="A724" t="s">
        <v>2366</v>
      </c>
      <c r="B724" t="s">
        <v>729</v>
      </c>
      <c r="C724">
        <v>55</v>
      </c>
      <c r="D724" t="s">
        <v>24</v>
      </c>
      <c r="E724" t="s">
        <v>142</v>
      </c>
      <c r="F724" t="s">
        <v>91</v>
      </c>
      <c r="G724" t="s">
        <v>1217</v>
      </c>
      <c r="H724" t="s">
        <v>1127</v>
      </c>
      <c r="I724" t="s">
        <v>108</v>
      </c>
      <c r="J724" t="s">
        <v>44</v>
      </c>
      <c r="K724">
        <v>4</v>
      </c>
      <c r="L724">
        <v>35004</v>
      </c>
      <c r="M724">
        <v>5</v>
      </c>
      <c r="N724" t="s">
        <v>56</v>
      </c>
      <c r="O724" t="s">
        <v>86</v>
      </c>
      <c r="P724" t="s">
        <v>33</v>
      </c>
      <c r="Q724" t="s">
        <v>732</v>
      </c>
      <c r="R724" t="s">
        <v>2367</v>
      </c>
      <c r="S724">
        <v>3</v>
      </c>
      <c r="T724" t="s">
        <v>61</v>
      </c>
      <c r="U724">
        <v>485</v>
      </c>
      <c r="V724" t="s">
        <v>62</v>
      </c>
    </row>
    <row r="725" spans="1:22" x14ac:dyDescent="0.3">
      <c r="A725" t="s">
        <v>2368</v>
      </c>
      <c r="B725" t="s">
        <v>2369</v>
      </c>
      <c r="C725">
        <v>47</v>
      </c>
      <c r="D725" t="s">
        <v>51</v>
      </c>
      <c r="E725" t="s">
        <v>229</v>
      </c>
      <c r="F725" t="s">
        <v>82</v>
      </c>
      <c r="G725" t="s">
        <v>2370</v>
      </c>
      <c r="H725" t="s">
        <v>383</v>
      </c>
      <c r="I725" t="s">
        <v>77</v>
      </c>
      <c r="J725" t="s">
        <v>44</v>
      </c>
      <c r="L725">
        <v>33055</v>
      </c>
      <c r="M725">
        <v>15</v>
      </c>
      <c r="N725" t="s">
        <v>166</v>
      </c>
      <c r="O725" t="s">
        <v>281</v>
      </c>
      <c r="P725" t="s">
        <v>174</v>
      </c>
      <c r="Q725" t="s">
        <v>324</v>
      </c>
      <c r="R725" t="s">
        <v>2371</v>
      </c>
      <c r="S725">
        <v>5</v>
      </c>
      <c r="T725" t="s">
        <v>36</v>
      </c>
      <c r="U725">
        <v>469</v>
      </c>
      <c r="V725" t="s">
        <v>62</v>
      </c>
    </row>
    <row r="726" spans="1:22" x14ac:dyDescent="0.3">
      <c r="A726" t="s">
        <v>2372</v>
      </c>
      <c r="B726" t="s">
        <v>170</v>
      </c>
      <c r="C726">
        <v>51</v>
      </c>
      <c r="D726" t="s">
        <v>24</v>
      </c>
      <c r="E726" t="s">
        <v>25</v>
      </c>
      <c r="F726" t="s">
        <v>91</v>
      </c>
      <c r="G726" t="s">
        <v>1722</v>
      </c>
      <c r="H726" t="s">
        <v>2373</v>
      </c>
      <c r="I726" t="s">
        <v>29</v>
      </c>
      <c r="J726" t="s">
        <v>44</v>
      </c>
      <c r="K726">
        <v>5</v>
      </c>
      <c r="L726">
        <v>15673</v>
      </c>
      <c r="M726">
        <v>5</v>
      </c>
      <c r="N726" t="s">
        <v>56</v>
      </c>
      <c r="O726" t="s">
        <v>57</v>
      </c>
      <c r="P726" t="s">
        <v>69</v>
      </c>
      <c r="Q726" t="s">
        <v>175</v>
      </c>
      <c r="R726" t="s">
        <v>2374</v>
      </c>
      <c r="S726">
        <v>1</v>
      </c>
      <c r="T726" t="s">
        <v>36</v>
      </c>
      <c r="U726">
        <v>335</v>
      </c>
      <c r="V726" t="s">
        <v>62</v>
      </c>
    </row>
    <row r="727" spans="1:22" x14ac:dyDescent="0.3">
      <c r="A727" t="s">
        <v>2375</v>
      </c>
      <c r="B727" t="s">
        <v>466</v>
      </c>
      <c r="C727">
        <v>38</v>
      </c>
      <c r="D727" t="s">
        <v>51</v>
      </c>
      <c r="E727" t="s">
        <v>52</v>
      </c>
      <c r="F727" t="s">
        <v>65</v>
      </c>
      <c r="G727" t="s">
        <v>2376</v>
      </c>
      <c r="H727" t="s">
        <v>1288</v>
      </c>
      <c r="I727" t="s">
        <v>43</v>
      </c>
      <c r="J727" t="s">
        <v>30</v>
      </c>
      <c r="K727">
        <v>4</v>
      </c>
      <c r="L727">
        <v>20433</v>
      </c>
      <c r="M727">
        <v>0</v>
      </c>
      <c r="N727" t="s">
        <v>31</v>
      </c>
      <c r="O727" t="s">
        <v>281</v>
      </c>
      <c r="P727" t="s">
        <v>58</v>
      </c>
      <c r="Q727" t="s">
        <v>468</v>
      </c>
      <c r="R727" t="s">
        <v>2377</v>
      </c>
      <c r="S727">
        <v>1</v>
      </c>
      <c r="T727" t="s">
        <v>61</v>
      </c>
      <c r="U727">
        <v>421</v>
      </c>
      <c r="V727" t="s">
        <v>62</v>
      </c>
    </row>
    <row r="728" spans="1:22" x14ac:dyDescent="0.3">
      <c r="A728" t="s">
        <v>2378</v>
      </c>
      <c r="B728" t="s">
        <v>589</v>
      </c>
      <c r="C728">
        <v>36</v>
      </c>
      <c r="D728" t="s">
        <v>51</v>
      </c>
      <c r="E728" t="s">
        <v>52</v>
      </c>
      <c r="F728" t="s">
        <v>82</v>
      </c>
      <c r="G728" t="s">
        <v>625</v>
      </c>
      <c r="H728" t="s">
        <v>467</v>
      </c>
      <c r="I728" t="s">
        <v>29</v>
      </c>
      <c r="J728" t="s">
        <v>30</v>
      </c>
      <c r="K728">
        <v>4</v>
      </c>
      <c r="L728">
        <v>54540</v>
      </c>
      <c r="M728">
        <v>10</v>
      </c>
      <c r="N728" t="s">
        <v>166</v>
      </c>
      <c r="O728" t="s">
        <v>133</v>
      </c>
      <c r="P728" t="s">
        <v>33</v>
      </c>
      <c r="Q728" t="s">
        <v>591</v>
      </c>
      <c r="R728" t="s">
        <v>2379</v>
      </c>
      <c r="S728">
        <v>1</v>
      </c>
      <c r="T728" t="s">
        <v>36</v>
      </c>
      <c r="U728">
        <v>332</v>
      </c>
      <c r="V728" t="s">
        <v>37</v>
      </c>
    </row>
    <row r="729" spans="1:22" x14ac:dyDescent="0.3">
      <c r="A729" t="s">
        <v>2380</v>
      </c>
      <c r="B729" t="s">
        <v>228</v>
      </c>
      <c r="C729">
        <v>48</v>
      </c>
      <c r="D729" t="s">
        <v>24</v>
      </c>
      <c r="E729" t="s">
        <v>99</v>
      </c>
      <c r="F729" t="s">
        <v>91</v>
      </c>
      <c r="G729" t="s">
        <v>368</v>
      </c>
      <c r="H729" t="s">
        <v>2153</v>
      </c>
      <c r="I729" t="s">
        <v>77</v>
      </c>
      <c r="J729" t="s">
        <v>30</v>
      </c>
      <c r="K729">
        <v>3</v>
      </c>
      <c r="L729">
        <v>72148</v>
      </c>
      <c r="M729">
        <v>15</v>
      </c>
      <c r="N729" t="s">
        <v>31</v>
      </c>
      <c r="O729" t="s">
        <v>133</v>
      </c>
      <c r="P729" t="s">
        <v>58</v>
      </c>
      <c r="Q729" t="s">
        <v>232</v>
      </c>
      <c r="S729">
        <v>2</v>
      </c>
      <c r="T729" t="s">
        <v>36</v>
      </c>
      <c r="U729">
        <v>321</v>
      </c>
      <c r="V729" t="s">
        <v>79</v>
      </c>
    </row>
    <row r="730" spans="1:22" x14ac:dyDescent="0.3">
      <c r="A730" t="s">
        <v>2381</v>
      </c>
      <c r="B730" t="s">
        <v>509</v>
      </c>
      <c r="C730">
        <v>60</v>
      </c>
      <c r="D730" t="s">
        <v>24</v>
      </c>
      <c r="E730" t="s">
        <v>52</v>
      </c>
      <c r="F730" t="s">
        <v>26</v>
      </c>
      <c r="G730" t="s">
        <v>1791</v>
      </c>
      <c r="H730" t="s">
        <v>1150</v>
      </c>
      <c r="I730" t="s">
        <v>77</v>
      </c>
      <c r="J730" t="s">
        <v>30</v>
      </c>
      <c r="K730">
        <v>5</v>
      </c>
      <c r="M730">
        <v>10</v>
      </c>
      <c r="N730" t="s">
        <v>56</v>
      </c>
      <c r="O730" t="s">
        <v>281</v>
      </c>
      <c r="P730" t="s">
        <v>69</v>
      </c>
      <c r="R730" t="s">
        <v>2382</v>
      </c>
      <c r="S730">
        <v>5</v>
      </c>
      <c r="T730" t="s">
        <v>72</v>
      </c>
      <c r="U730">
        <v>431</v>
      </c>
      <c r="V730" t="s">
        <v>79</v>
      </c>
    </row>
    <row r="731" spans="1:22" x14ac:dyDescent="0.3">
      <c r="A731" t="s">
        <v>2383</v>
      </c>
      <c r="B731" t="s">
        <v>141</v>
      </c>
      <c r="C731">
        <v>42</v>
      </c>
      <c r="D731" t="s">
        <v>24</v>
      </c>
      <c r="E731" t="s">
        <v>131</v>
      </c>
      <c r="F731" t="s">
        <v>91</v>
      </c>
      <c r="G731" t="s">
        <v>2384</v>
      </c>
      <c r="H731" t="s">
        <v>613</v>
      </c>
      <c r="I731" t="s">
        <v>108</v>
      </c>
      <c r="J731" t="s">
        <v>44</v>
      </c>
      <c r="K731">
        <v>2</v>
      </c>
      <c r="L731">
        <v>25155</v>
      </c>
      <c r="M731">
        <v>0</v>
      </c>
      <c r="N731" t="s">
        <v>31</v>
      </c>
      <c r="O731" t="s">
        <v>68</v>
      </c>
      <c r="P731" t="s">
        <v>33</v>
      </c>
      <c r="Q731" t="s">
        <v>144</v>
      </c>
      <c r="R731" t="s">
        <v>2385</v>
      </c>
      <c r="S731">
        <v>5</v>
      </c>
      <c r="T731" t="s">
        <v>61</v>
      </c>
      <c r="U731">
        <v>230</v>
      </c>
      <c r="V731" t="s">
        <v>62</v>
      </c>
    </row>
    <row r="732" spans="1:22" x14ac:dyDescent="0.3">
      <c r="A732" t="s">
        <v>2386</v>
      </c>
      <c r="B732" t="s">
        <v>309</v>
      </c>
      <c r="C732">
        <v>49</v>
      </c>
      <c r="D732" t="s">
        <v>51</v>
      </c>
      <c r="E732" t="s">
        <v>142</v>
      </c>
      <c r="F732" t="s">
        <v>82</v>
      </c>
      <c r="G732" t="s">
        <v>2387</v>
      </c>
      <c r="H732" t="s">
        <v>1260</v>
      </c>
      <c r="I732" t="s">
        <v>43</v>
      </c>
      <c r="J732" t="s">
        <v>30</v>
      </c>
      <c r="K732">
        <v>5</v>
      </c>
      <c r="L732">
        <v>69524</v>
      </c>
      <c r="M732">
        <v>10</v>
      </c>
      <c r="N732" t="s">
        <v>56</v>
      </c>
      <c r="O732" t="s">
        <v>68</v>
      </c>
      <c r="P732" t="s">
        <v>58</v>
      </c>
      <c r="R732" t="s">
        <v>2388</v>
      </c>
      <c r="S732">
        <v>5</v>
      </c>
      <c r="T732" t="s">
        <v>61</v>
      </c>
      <c r="U732">
        <v>442</v>
      </c>
      <c r="V732" t="s">
        <v>62</v>
      </c>
    </row>
    <row r="733" spans="1:22" x14ac:dyDescent="0.3">
      <c r="A733" t="s">
        <v>2389</v>
      </c>
      <c r="B733" t="s">
        <v>39</v>
      </c>
      <c r="C733">
        <v>38</v>
      </c>
      <c r="D733" t="s">
        <v>24</v>
      </c>
      <c r="E733" t="s">
        <v>142</v>
      </c>
      <c r="F733" t="s">
        <v>65</v>
      </c>
      <c r="G733" t="s">
        <v>1250</v>
      </c>
      <c r="H733" t="s">
        <v>799</v>
      </c>
      <c r="I733" t="s">
        <v>77</v>
      </c>
      <c r="J733" t="s">
        <v>30</v>
      </c>
      <c r="K733">
        <v>1</v>
      </c>
      <c r="L733">
        <v>22215</v>
      </c>
      <c r="M733">
        <v>0</v>
      </c>
      <c r="N733" t="s">
        <v>31</v>
      </c>
      <c r="O733" t="s">
        <v>133</v>
      </c>
      <c r="P733" t="s">
        <v>33</v>
      </c>
      <c r="Q733" t="s">
        <v>47</v>
      </c>
      <c r="R733" t="s">
        <v>2390</v>
      </c>
      <c r="S733">
        <v>4</v>
      </c>
      <c r="T733" t="s">
        <v>96</v>
      </c>
      <c r="U733">
        <v>142</v>
      </c>
      <c r="V733" t="s">
        <v>62</v>
      </c>
    </row>
    <row r="734" spans="1:22" x14ac:dyDescent="0.3">
      <c r="A734" t="s">
        <v>2391</v>
      </c>
      <c r="B734" t="s">
        <v>361</v>
      </c>
      <c r="C734">
        <v>19</v>
      </c>
      <c r="D734" t="s">
        <v>24</v>
      </c>
      <c r="E734" t="s">
        <v>142</v>
      </c>
      <c r="F734" t="s">
        <v>82</v>
      </c>
      <c r="G734" t="s">
        <v>1486</v>
      </c>
      <c r="H734" t="s">
        <v>27</v>
      </c>
      <c r="I734" t="s">
        <v>85</v>
      </c>
      <c r="J734" t="s">
        <v>30</v>
      </c>
      <c r="K734">
        <v>5</v>
      </c>
      <c r="L734">
        <v>14505</v>
      </c>
      <c r="M734">
        <v>10</v>
      </c>
      <c r="N734" t="s">
        <v>45</v>
      </c>
      <c r="O734" t="s">
        <v>57</v>
      </c>
      <c r="P734" t="s">
        <v>174</v>
      </c>
      <c r="Q734" t="s">
        <v>364</v>
      </c>
      <c r="R734" t="s">
        <v>2392</v>
      </c>
      <c r="S734">
        <v>2</v>
      </c>
      <c r="T734" t="s">
        <v>96</v>
      </c>
      <c r="U734">
        <v>477</v>
      </c>
      <c r="V734" t="s">
        <v>37</v>
      </c>
    </row>
    <row r="735" spans="1:22" x14ac:dyDescent="0.3">
      <c r="A735" t="s">
        <v>2393</v>
      </c>
      <c r="B735" t="s">
        <v>808</v>
      </c>
      <c r="C735">
        <v>48</v>
      </c>
      <c r="D735" t="s">
        <v>51</v>
      </c>
      <c r="E735" t="s">
        <v>40</v>
      </c>
      <c r="F735" t="s">
        <v>82</v>
      </c>
      <c r="G735" t="s">
        <v>1760</v>
      </c>
      <c r="H735" t="s">
        <v>700</v>
      </c>
      <c r="I735" t="s">
        <v>93</v>
      </c>
      <c r="J735" t="s">
        <v>44</v>
      </c>
      <c r="K735">
        <v>2</v>
      </c>
      <c r="L735">
        <v>47998</v>
      </c>
      <c r="M735">
        <v>0</v>
      </c>
      <c r="N735" t="s">
        <v>166</v>
      </c>
      <c r="O735" t="s">
        <v>46</v>
      </c>
      <c r="P735" t="s">
        <v>69</v>
      </c>
      <c r="R735" t="s">
        <v>2394</v>
      </c>
      <c r="S735">
        <v>4</v>
      </c>
      <c r="T735" t="s">
        <v>96</v>
      </c>
      <c r="U735">
        <v>238</v>
      </c>
      <c r="V735" t="s">
        <v>79</v>
      </c>
    </row>
    <row r="736" spans="1:22" x14ac:dyDescent="0.3">
      <c r="A736" t="s">
        <v>2395</v>
      </c>
      <c r="B736" t="s">
        <v>527</v>
      </c>
      <c r="C736">
        <v>30</v>
      </c>
      <c r="D736" t="s">
        <v>51</v>
      </c>
      <c r="E736" t="s">
        <v>131</v>
      </c>
      <c r="F736" t="s">
        <v>91</v>
      </c>
      <c r="G736" t="s">
        <v>224</v>
      </c>
      <c r="H736" t="s">
        <v>2396</v>
      </c>
      <c r="I736" t="s">
        <v>93</v>
      </c>
      <c r="J736" t="s">
        <v>30</v>
      </c>
      <c r="K736">
        <v>4</v>
      </c>
      <c r="L736">
        <v>11681</v>
      </c>
      <c r="M736">
        <v>10</v>
      </c>
      <c r="N736" t="s">
        <v>166</v>
      </c>
      <c r="O736" t="s">
        <v>86</v>
      </c>
      <c r="P736" t="s">
        <v>33</v>
      </c>
      <c r="Q736" t="s">
        <v>530</v>
      </c>
      <c r="R736" t="s">
        <v>2397</v>
      </c>
      <c r="S736">
        <v>2</v>
      </c>
      <c r="T736" t="s">
        <v>96</v>
      </c>
      <c r="U736">
        <v>491</v>
      </c>
      <c r="V736" t="s">
        <v>79</v>
      </c>
    </row>
    <row r="737" spans="1:22" x14ac:dyDescent="0.3">
      <c r="A737" t="s">
        <v>2398</v>
      </c>
      <c r="B737" t="s">
        <v>803</v>
      </c>
      <c r="C737">
        <v>32</v>
      </c>
      <c r="D737" t="s">
        <v>24</v>
      </c>
      <c r="E737" t="s">
        <v>229</v>
      </c>
      <c r="F737" t="s">
        <v>26</v>
      </c>
      <c r="G737" t="s">
        <v>1447</v>
      </c>
      <c r="H737" t="s">
        <v>115</v>
      </c>
      <c r="I737" t="s">
        <v>85</v>
      </c>
      <c r="J737" t="s">
        <v>30</v>
      </c>
      <c r="K737">
        <v>5</v>
      </c>
      <c r="L737">
        <v>70337</v>
      </c>
      <c r="M737">
        <v>0</v>
      </c>
      <c r="N737" t="s">
        <v>31</v>
      </c>
      <c r="O737" t="s">
        <v>86</v>
      </c>
      <c r="P737" t="s">
        <v>33</v>
      </c>
      <c r="Q737" t="s">
        <v>805</v>
      </c>
      <c r="R737" t="s">
        <v>2399</v>
      </c>
      <c r="S737">
        <v>5</v>
      </c>
      <c r="T737" t="s">
        <v>61</v>
      </c>
      <c r="U737">
        <v>64</v>
      </c>
      <c r="V737" t="s">
        <v>37</v>
      </c>
    </row>
    <row r="738" spans="1:22" x14ac:dyDescent="0.3">
      <c r="A738" t="s">
        <v>2400</v>
      </c>
      <c r="B738" t="s">
        <v>645</v>
      </c>
      <c r="C738">
        <v>34</v>
      </c>
      <c r="D738" t="s">
        <v>51</v>
      </c>
      <c r="E738" t="s">
        <v>131</v>
      </c>
      <c r="F738" t="s">
        <v>82</v>
      </c>
      <c r="G738" t="s">
        <v>1097</v>
      </c>
      <c r="H738" t="s">
        <v>685</v>
      </c>
      <c r="I738" t="s">
        <v>85</v>
      </c>
      <c r="J738" t="s">
        <v>44</v>
      </c>
      <c r="K738">
        <v>5</v>
      </c>
      <c r="L738">
        <v>12645</v>
      </c>
      <c r="M738">
        <v>10</v>
      </c>
      <c r="N738" t="s">
        <v>56</v>
      </c>
      <c r="O738" t="s">
        <v>133</v>
      </c>
      <c r="P738" t="s">
        <v>33</v>
      </c>
      <c r="Q738" t="s">
        <v>647</v>
      </c>
      <c r="R738" t="s">
        <v>2401</v>
      </c>
      <c r="S738">
        <v>1</v>
      </c>
      <c r="T738" t="s">
        <v>96</v>
      </c>
      <c r="U738">
        <v>335</v>
      </c>
      <c r="V738" t="s">
        <v>79</v>
      </c>
    </row>
    <row r="739" spans="1:22" x14ac:dyDescent="0.3">
      <c r="A739" t="s">
        <v>2402</v>
      </c>
      <c r="B739" t="s">
        <v>293</v>
      </c>
      <c r="C739">
        <v>30</v>
      </c>
      <c r="D739" t="s">
        <v>24</v>
      </c>
      <c r="E739" t="s">
        <v>142</v>
      </c>
      <c r="F739" t="s">
        <v>65</v>
      </c>
      <c r="G739" t="s">
        <v>250</v>
      </c>
      <c r="H739" t="s">
        <v>2403</v>
      </c>
      <c r="I739" t="s">
        <v>108</v>
      </c>
      <c r="J739" t="s">
        <v>30</v>
      </c>
      <c r="K739">
        <v>2</v>
      </c>
      <c r="L739">
        <v>13142</v>
      </c>
      <c r="M739">
        <v>5</v>
      </c>
      <c r="N739" t="s">
        <v>31</v>
      </c>
      <c r="O739" t="s">
        <v>173</v>
      </c>
      <c r="P739" t="s">
        <v>174</v>
      </c>
      <c r="Q739" t="s">
        <v>1231</v>
      </c>
      <c r="R739" t="s">
        <v>2404</v>
      </c>
      <c r="S739">
        <v>2</v>
      </c>
      <c r="T739" t="s">
        <v>36</v>
      </c>
      <c r="U739">
        <v>395</v>
      </c>
      <c r="V739" t="s">
        <v>79</v>
      </c>
    </row>
    <row r="740" spans="1:22" x14ac:dyDescent="0.3">
      <c r="A740" t="s">
        <v>2405</v>
      </c>
      <c r="B740" t="s">
        <v>1443</v>
      </c>
      <c r="C740">
        <v>19</v>
      </c>
      <c r="D740" t="s">
        <v>24</v>
      </c>
      <c r="E740" t="s">
        <v>99</v>
      </c>
      <c r="F740" t="s">
        <v>91</v>
      </c>
      <c r="G740" t="s">
        <v>114</v>
      </c>
      <c r="H740" t="s">
        <v>1429</v>
      </c>
      <c r="I740" t="s">
        <v>29</v>
      </c>
      <c r="J740" t="s">
        <v>30</v>
      </c>
      <c r="K740">
        <v>3</v>
      </c>
      <c r="L740">
        <v>23864</v>
      </c>
      <c r="M740">
        <v>5</v>
      </c>
      <c r="N740" t="s">
        <v>31</v>
      </c>
      <c r="O740" t="s">
        <v>86</v>
      </c>
      <c r="P740" t="s">
        <v>58</v>
      </c>
      <c r="Q740" t="s">
        <v>1444</v>
      </c>
      <c r="R740" t="s">
        <v>2406</v>
      </c>
      <c r="S740">
        <v>5</v>
      </c>
      <c r="T740" t="s">
        <v>72</v>
      </c>
      <c r="U740">
        <v>401</v>
      </c>
      <c r="V740" t="s">
        <v>79</v>
      </c>
    </row>
    <row r="741" spans="1:22" x14ac:dyDescent="0.3">
      <c r="A741" t="s">
        <v>2407</v>
      </c>
      <c r="B741" t="s">
        <v>382</v>
      </c>
      <c r="C741">
        <v>26</v>
      </c>
      <c r="D741" t="s">
        <v>51</v>
      </c>
      <c r="E741" t="s">
        <v>142</v>
      </c>
      <c r="F741" t="s">
        <v>65</v>
      </c>
      <c r="G741" t="s">
        <v>384</v>
      </c>
      <c r="H741" t="s">
        <v>1010</v>
      </c>
      <c r="I741" t="s">
        <v>77</v>
      </c>
      <c r="J741" t="s">
        <v>30</v>
      </c>
      <c r="K741">
        <v>1</v>
      </c>
      <c r="L741">
        <v>9720</v>
      </c>
      <c r="M741">
        <v>10</v>
      </c>
      <c r="N741" t="s">
        <v>56</v>
      </c>
      <c r="O741" t="s">
        <v>68</v>
      </c>
      <c r="P741" t="s">
        <v>58</v>
      </c>
      <c r="S741">
        <v>2</v>
      </c>
      <c r="T741" t="s">
        <v>61</v>
      </c>
      <c r="U741">
        <v>261</v>
      </c>
      <c r="V741" t="s">
        <v>62</v>
      </c>
    </row>
    <row r="742" spans="1:22" x14ac:dyDescent="0.3">
      <c r="A742" t="s">
        <v>2408</v>
      </c>
      <c r="B742" t="s">
        <v>1080</v>
      </c>
      <c r="C742">
        <v>35</v>
      </c>
      <c r="D742" t="s">
        <v>163</v>
      </c>
      <c r="E742" t="s">
        <v>131</v>
      </c>
      <c r="F742" t="s">
        <v>91</v>
      </c>
      <c r="G742" t="s">
        <v>184</v>
      </c>
      <c r="H742" t="s">
        <v>1867</v>
      </c>
      <c r="I742" t="s">
        <v>29</v>
      </c>
      <c r="J742" t="s">
        <v>30</v>
      </c>
      <c r="K742">
        <v>1</v>
      </c>
      <c r="L742">
        <v>65621</v>
      </c>
      <c r="M742">
        <v>5</v>
      </c>
      <c r="N742" t="s">
        <v>31</v>
      </c>
      <c r="O742" t="s">
        <v>32</v>
      </c>
      <c r="P742" t="s">
        <v>174</v>
      </c>
      <c r="Q742" t="s">
        <v>1082</v>
      </c>
      <c r="R742" t="s">
        <v>2409</v>
      </c>
      <c r="S742">
        <v>4</v>
      </c>
      <c r="T742" t="s">
        <v>61</v>
      </c>
      <c r="U742">
        <v>431</v>
      </c>
      <c r="V742" t="s">
        <v>79</v>
      </c>
    </row>
    <row r="743" spans="1:22" x14ac:dyDescent="0.3">
      <c r="A743" t="s">
        <v>2410</v>
      </c>
      <c r="B743" t="s">
        <v>90</v>
      </c>
      <c r="C743">
        <v>36</v>
      </c>
      <c r="D743" t="s">
        <v>51</v>
      </c>
      <c r="E743" t="s">
        <v>40</v>
      </c>
      <c r="F743" t="s">
        <v>91</v>
      </c>
      <c r="G743" t="s">
        <v>240</v>
      </c>
      <c r="H743" t="s">
        <v>224</v>
      </c>
      <c r="I743" t="s">
        <v>29</v>
      </c>
      <c r="J743" t="s">
        <v>44</v>
      </c>
      <c r="K743">
        <v>1</v>
      </c>
      <c r="L743">
        <v>35353</v>
      </c>
      <c r="M743">
        <v>10</v>
      </c>
      <c r="N743" t="s">
        <v>45</v>
      </c>
      <c r="O743" t="s">
        <v>281</v>
      </c>
      <c r="P743" t="s">
        <v>174</v>
      </c>
      <c r="Q743" t="s">
        <v>94</v>
      </c>
      <c r="R743" t="s">
        <v>2411</v>
      </c>
      <c r="S743">
        <v>4</v>
      </c>
      <c r="T743" t="s">
        <v>72</v>
      </c>
      <c r="U743">
        <v>217</v>
      </c>
      <c r="V743" t="s">
        <v>62</v>
      </c>
    </row>
    <row r="744" spans="1:22" x14ac:dyDescent="0.3">
      <c r="A744" t="s">
        <v>2412</v>
      </c>
      <c r="B744" t="s">
        <v>606</v>
      </c>
      <c r="C744">
        <v>27</v>
      </c>
      <c r="D744" t="s">
        <v>24</v>
      </c>
      <c r="E744" t="s">
        <v>25</v>
      </c>
      <c r="F744" t="s">
        <v>53</v>
      </c>
      <c r="G744" t="s">
        <v>960</v>
      </c>
      <c r="H744" t="s">
        <v>218</v>
      </c>
      <c r="I744" t="s">
        <v>43</v>
      </c>
      <c r="J744" t="s">
        <v>30</v>
      </c>
      <c r="K744">
        <v>4</v>
      </c>
      <c r="L744">
        <v>58056</v>
      </c>
      <c r="M744">
        <v>5</v>
      </c>
      <c r="N744" t="s">
        <v>56</v>
      </c>
      <c r="O744" t="s">
        <v>102</v>
      </c>
      <c r="P744" t="s">
        <v>69</v>
      </c>
      <c r="Q744" t="s">
        <v>608</v>
      </c>
      <c r="R744" t="s">
        <v>2413</v>
      </c>
      <c r="S744">
        <v>1</v>
      </c>
      <c r="T744" t="s">
        <v>36</v>
      </c>
      <c r="U744">
        <v>390</v>
      </c>
      <c r="V744" t="s">
        <v>79</v>
      </c>
    </row>
    <row r="745" spans="1:22" x14ac:dyDescent="0.3">
      <c r="A745" t="s">
        <v>2414</v>
      </c>
      <c r="B745" t="s">
        <v>193</v>
      </c>
      <c r="C745">
        <v>52</v>
      </c>
      <c r="D745" t="s">
        <v>24</v>
      </c>
      <c r="E745" t="s">
        <v>229</v>
      </c>
      <c r="F745" t="s">
        <v>82</v>
      </c>
      <c r="G745" t="s">
        <v>2415</v>
      </c>
      <c r="H745" t="s">
        <v>1929</v>
      </c>
      <c r="I745" t="s">
        <v>108</v>
      </c>
      <c r="J745" t="s">
        <v>44</v>
      </c>
      <c r="K745">
        <v>1</v>
      </c>
      <c r="L745">
        <v>21483</v>
      </c>
      <c r="M745">
        <v>0</v>
      </c>
      <c r="N745" t="s">
        <v>166</v>
      </c>
      <c r="O745" t="s">
        <v>173</v>
      </c>
      <c r="P745" t="s">
        <v>58</v>
      </c>
      <c r="Q745" t="s">
        <v>195</v>
      </c>
      <c r="R745" t="s">
        <v>2416</v>
      </c>
      <c r="S745">
        <v>4</v>
      </c>
      <c r="T745" t="s">
        <v>72</v>
      </c>
      <c r="U745">
        <v>408</v>
      </c>
      <c r="V745" t="s">
        <v>79</v>
      </c>
    </row>
    <row r="746" spans="1:22" x14ac:dyDescent="0.3">
      <c r="A746" t="s">
        <v>2417</v>
      </c>
      <c r="B746" t="s">
        <v>170</v>
      </c>
      <c r="C746">
        <v>19</v>
      </c>
      <c r="D746" t="s">
        <v>51</v>
      </c>
      <c r="E746" t="s">
        <v>52</v>
      </c>
      <c r="F746" t="s">
        <v>82</v>
      </c>
      <c r="G746" t="s">
        <v>299</v>
      </c>
      <c r="H746" t="s">
        <v>257</v>
      </c>
      <c r="I746" t="s">
        <v>43</v>
      </c>
      <c r="J746" t="s">
        <v>30</v>
      </c>
      <c r="K746">
        <v>1</v>
      </c>
      <c r="L746">
        <v>8454</v>
      </c>
      <c r="M746">
        <v>10</v>
      </c>
      <c r="N746" t="s">
        <v>31</v>
      </c>
      <c r="O746" t="s">
        <v>86</v>
      </c>
      <c r="P746" t="s">
        <v>69</v>
      </c>
      <c r="Q746" t="s">
        <v>175</v>
      </c>
      <c r="R746" t="s">
        <v>2418</v>
      </c>
      <c r="S746">
        <v>4</v>
      </c>
      <c r="T746" t="s">
        <v>61</v>
      </c>
      <c r="U746">
        <v>332</v>
      </c>
      <c r="V746" t="s">
        <v>37</v>
      </c>
    </row>
    <row r="747" spans="1:22" x14ac:dyDescent="0.3">
      <c r="A747" t="s">
        <v>2419</v>
      </c>
      <c r="B747" t="s">
        <v>702</v>
      </c>
      <c r="C747">
        <v>46</v>
      </c>
      <c r="D747" t="s">
        <v>24</v>
      </c>
      <c r="E747" t="s">
        <v>52</v>
      </c>
      <c r="F747" t="s">
        <v>26</v>
      </c>
      <c r="G747" t="s">
        <v>2420</v>
      </c>
      <c r="H747" t="s">
        <v>1421</v>
      </c>
      <c r="I747" t="s">
        <v>93</v>
      </c>
      <c r="J747" t="s">
        <v>30</v>
      </c>
      <c r="K747">
        <v>1</v>
      </c>
      <c r="L747">
        <v>5589</v>
      </c>
      <c r="M747">
        <v>15</v>
      </c>
      <c r="N747" t="s">
        <v>45</v>
      </c>
      <c r="O747" t="s">
        <v>281</v>
      </c>
      <c r="P747" t="s">
        <v>33</v>
      </c>
      <c r="Q747" t="s">
        <v>916</v>
      </c>
      <c r="R747" t="s">
        <v>2421</v>
      </c>
      <c r="S747">
        <v>2</v>
      </c>
      <c r="T747" t="s">
        <v>36</v>
      </c>
      <c r="U747">
        <v>422</v>
      </c>
      <c r="V747" t="s">
        <v>62</v>
      </c>
    </row>
    <row r="748" spans="1:22" x14ac:dyDescent="0.3">
      <c r="A748" t="s">
        <v>2422</v>
      </c>
      <c r="B748" t="s">
        <v>338</v>
      </c>
      <c r="C748">
        <v>32</v>
      </c>
      <c r="D748" t="s">
        <v>24</v>
      </c>
      <c r="E748" t="s">
        <v>25</v>
      </c>
      <c r="F748" t="s">
        <v>91</v>
      </c>
      <c r="G748" t="s">
        <v>2423</v>
      </c>
      <c r="H748" t="s">
        <v>267</v>
      </c>
      <c r="I748" t="s">
        <v>108</v>
      </c>
      <c r="J748" t="s">
        <v>44</v>
      </c>
      <c r="K748">
        <v>5</v>
      </c>
      <c r="L748">
        <v>47441</v>
      </c>
      <c r="M748">
        <v>10</v>
      </c>
      <c r="N748" t="s">
        <v>166</v>
      </c>
      <c r="O748" t="s">
        <v>46</v>
      </c>
      <c r="P748" t="s">
        <v>33</v>
      </c>
      <c r="Q748" t="s">
        <v>341</v>
      </c>
      <c r="R748" t="s">
        <v>2424</v>
      </c>
      <c r="S748">
        <v>1</v>
      </c>
      <c r="T748" t="s">
        <v>72</v>
      </c>
      <c r="U748">
        <v>124</v>
      </c>
      <c r="V748" t="s">
        <v>79</v>
      </c>
    </row>
    <row r="749" spans="1:22" x14ac:dyDescent="0.3">
      <c r="A749" t="s">
        <v>2425</v>
      </c>
      <c r="B749" t="s">
        <v>113</v>
      </c>
      <c r="C749">
        <v>58</v>
      </c>
      <c r="D749" t="s">
        <v>24</v>
      </c>
      <c r="E749" t="s">
        <v>142</v>
      </c>
      <c r="F749" t="s">
        <v>53</v>
      </c>
      <c r="G749" t="s">
        <v>2199</v>
      </c>
      <c r="H749" t="s">
        <v>2115</v>
      </c>
      <c r="I749" t="s">
        <v>77</v>
      </c>
      <c r="J749" t="s">
        <v>30</v>
      </c>
      <c r="K749">
        <v>5</v>
      </c>
      <c r="L749">
        <v>76592</v>
      </c>
      <c r="M749">
        <v>0</v>
      </c>
      <c r="N749" t="s">
        <v>56</v>
      </c>
      <c r="O749" t="s">
        <v>86</v>
      </c>
      <c r="P749" t="s">
        <v>33</v>
      </c>
      <c r="Q749" t="s">
        <v>116</v>
      </c>
      <c r="R749" t="s">
        <v>2426</v>
      </c>
      <c r="S749">
        <v>4</v>
      </c>
      <c r="T749" t="s">
        <v>36</v>
      </c>
      <c r="U749">
        <v>396</v>
      </c>
      <c r="V749" t="s">
        <v>37</v>
      </c>
    </row>
    <row r="750" spans="1:22" x14ac:dyDescent="0.3">
      <c r="A750" t="s">
        <v>2427</v>
      </c>
      <c r="B750" t="s">
        <v>689</v>
      </c>
      <c r="C750">
        <v>34</v>
      </c>
      <c r="D750" t="s">
        <v>51</v>
      </c>
      <c r="E750" t="s">
        <v>25</v>
      </c>
      <c r="F750" t="s">
        <v>53</v>
      </c>
      <c r="G750" t="s">
        <v>1723</v>
      </c>
      <c r="H750" t="s">
        <v>2024</v>
      </c>
      <c r="I750" t="s">
        <v>108</v>
      </c>
      <c r="J750" t="s">
        <v>30</v>
      </c>
      <c r="K750">
        <v>4</v>
      </c>
      <c r="L750">
        <v>10151</v>
      </c>
      <c r="M750">
        <v>5</v>
      </c>
      <c r="N750" t="s">
        <v>45</v>
      </c>
      <c r="O750" t="s">
        <v>133</v>
      </c>
      <c r="P750" t="s">
        <v>33</v>
      </c>
      <c r="R750" t="s">
        <v>2428</v>
      </c>
      <c r="S750">
        <v>1</v>
      </c>
      <c r="T750" t="s">
        <v>61</v>
      </c>
      <c r="U750">
        <v>487</v>
      </c>
      <c r="V750" t="s">
        <v>79</v>
      </c>
    </row>
    <row r="751" spans="1:22" x14ac:dyDescent="0.3">
      <c r="A751" t="s">
        <v>2429</v>
      </c>
      <c r="B751" t="s">
        <v>216</v>
      </c>
      <c r="C751">
        <v>24</v>
      </c>
      <c r="D751" t="s">
        <v>24</v>
      </c>
      <c r="E751" t="s">
        <v>26</v>
      </c>
      <c r="F751" t="s">
        <v>65</v>
      </c>
      <c r="G751" t="s">
        <v>730</v>
      </c>
      <c r="H751" t="s">
        <v>520</v>
      </c>
      <c r="I751" t="s">
        <v>77</v>
      </c>
      <c r="J751" t="s">
        <v>44</v>
      </c>
      <c r="K751">
        <v>1</v>
      </c>
      <c r="L751">
        <v>9524</v>
      </c>
      <c r="M751">
        <v>5</v>
      </c>
      <c r="N751" t="s">
        <v>166</v>
      </c>
      <c r="O751" t="s">
        <v>281</v>
      </c>
      <c r="P751" t="s">
        <v>174</v>
      </c>
      <c r="R751" t="s">
        <v>2430</v>
      </c>
      <c r="S751">
        <v>1</v>
      </c>
      <c r="T751" t="s">
        <v>96</v>
      </c>
      <c r="U751">
        <v>276</v>
      </c>
      <c r="V751" t="s">
        <v>37</v>
      </c>
    </row>
    <row r="752" spans="1:22" x14ac:dyDescent="0.3">
      <c r="A752" t="s">
        <v>2431</v>
      </c>
      <c r="B752" t="s">
        <v>222</v>
      </c>
      <c r="C752">
        <v>37</v>
      </c>
      <c r="D752" t="s">
        <v>51</v>
      </c>
      <c r="E752" t="s">
        <v>131</v>
      </c>
      <c r="F752" t="s">
        <v>53</v>
      </c>
      <c r="G752" t="s">
        <v>557</v>
      </c>
      <c r="H752" t="s">
        <v>1421</v>
      </c>
      <c r="I752" t="s">
        <v>93</v>
      </c>
      <c r="J752" t="s">
        <v>30</v>
      </c>
      <c r="K752">
        <v>3</v>
      </c>
      <c r="L752">
        <v>31072</v>
      </c>
      <c r="M752">
        <v>0</v>
      </c>
      <c r="N752" t="s">
        <v>45</v>
      </c>
      <c r="O752" t="s">
        <v>102</v>
      </c>
      <c r="P752" t="s">
        <v>33</v>
      </c>
      <c r="Q752" t="s">
        <v>225</v>
      </c>
      <c r="R752" t="s">
        <v>2432</v>
      </c>
      <c r="S752">
        <v>3</v>
      </c>
      <c r="T752" t="s">
        <v>72</v>
      </c>
      <c r="U752">
        <v>452</v>
      </c>
      <c r="V752" t="s">
        <v>79</v>
      </c>
    </row>
    <row r="753" spans="1:22" x14ac:dyDescent="0.3">
      <c r="A753" t="s">
        <v>2433</v>
      </c>
      <c r="B753" t="s">
        <v>850</v>
      </c>
      <c r="C753">
        <v>27</v>
      </c>
      <c r="D753" t="s">
        <v>51</v>
      </c>
      <c r="E753" t="s">
        <v>40</v>
      </c>
      <c r="F753" t="s">
        <v>26</v>
      </c>
      <c r="G753" t="s">
        <v>2199</v>
      </c>
      <c r="H753" t="s">
        <v>2115</v>
      </c>
      <c r="I753" t="s">
        <v>43</v>
      </c>
      <c r="J753" t="s">
        <v>44</v>
      </c>
      <c r="K753">
        <v>2</v>
      </c>
      <c r="L753">
        <v>18296</v>
      </c>
      <c r="M753">
        <v>15</v>
      </c>
      <c r="N753" t="s">
        <v>31</v>
      </c>
      <c r="O753" t="s">
        <v>109</v>
      </c>
      <c r="P753" t="s">
        <v>174</v>
      </c>
      <c r="Q753" t="s">
        <v>258</v>
      </c>
      <c r="R753" t="s">
        <v>2434</v>
      </c>
      <c r="S753">
        <v>5</v>
      </c>
      <c r="T753" t="s">
        <v>72</v>
      </c>
      <c r="U753">
        <v>302</v>
      </c>
      <c r="V753" t="s">
        <v>62</v>
      </c>
    </row>
    <row r="754" spans="1:22" x14ac:dyDescent="0.3">
      <c r="A754" t="s">
        <v>2435</v>
      </c>
      <c r="B754" t="s">
        <v>321</v>
      </c>
      <c r="C754">
        <v>38</v>
      </c>
      <c r="D754" t="s">
        <v>24</v>
      </c>
      <c r="E754" t="s">
        <v>40</v>
      </c>
      <c r="F754" t="s">
        <v>82</v>
      </c>
      <c r="G754" t="s">
        <v>921</v>
      </c>
      <c r="H754" t="s">
        <v>106</v>
      </c>
      <c r="I754" t="s">
        <v>77</v>
      </c>
      <c r="J754" t="s">
        <v>30</v>
      </c>
      <c r="K754">
        <v>5</v>
      </c>
      <c r="L754">
        <v>32142</v>
      </c>
      <c r="M754">
        <v>0</v>
      </c>
      <c r="N754" t="s">
        <v>45</v>
      </c>
      <c r="O754" t="s">
        <v>109</v>
      </c>
      <c r="P754" t="s">
        <v>33</v>
      </c>
      <c r="Q754" t="s">
        <v>324</v>
      </c>
      <c r="R754" t="s">
        <v>2436</v>
      </c>
      <c r="S754">
        <v>2</v>
      </c>
      <c r="T754" t="s">
        <v>72</v>
      </c>
      <c r="U754">
        <v>148</v>
      </c>
      <c r="V754" t="s">
        <v>37</v>
      </c>
    </row>
    <row r="755" spans="1:22" x14ac:dyDescent="0.3">
      <c r="A755" t="s">
        <v>2437</v>
      </c>
      <c r="B755" t="s">
        <v>729</v>
      </c>
      <c r="C755">
        <v>34</v>
      </c>
      <c r="D755" t="s">
        <v>51</v>
      </c>
      <c r="E755" t="s">
        <v>142</v>
      </c>
      <c r="F755" t="s">
        <v>53</v>
      </c>
      <c r="G755" t="s">
        <v>2438</v>
      </c>
      <c r="H755" t="s">
        <v>681</v>
      </c>
      <c r="I755" t="s">
        <v>29</v>
      </c>
      <c r="J755" t="s">
        <v>30</v>
      </c>
      <c r="K755">
        <v>4</v>
      </c>
      <c r="L755">
        <v>41699</v>
      </c>
      <c r="M755">
        <v>10</v>
      </c>
      <c r="N755" t="s">
        <v>56</v>
      </c>
      <c r="O755" t="s">
        <v>46</v>
      </c>
      <c r="P755" t="s">
        <v>58</v>
      </c>
      <c r="Q755" t="s">
        <v>732</v>
      </c>
      <c r="R755" t="s">
        <v>2439</v>
      </c>
      <c r="S755">
        <v>1</v>
      </c>
      <c r="T755" t="s">
        <v>72</v>
      </c>
      <c r="U755">
        <v>324</v>
      </c>
      <c r="V755" t="s">
        <v>37</v>
      </c>
    </row>
    <row r="756" spans="1:22" x14ac:dyDescent="0.3">
      <c r="A756" t="s">
        <v>2440</v>
      </c>
      <c r="B756" t="s">
        <v>209</v>
      </c>
      <c r="C756">
        <v>43</v>
      </c>
      <c r="D756" t="s">
        <v>24</v>
      </c>
      <c r="E756" t="s">
        <v>25</v>
      </c>
      <c r="F756" t="s">
        <v>53</v>
      </c>
      <c r="G756" t="s">
        <v>1820</v>
      </c>
      <c r="H756" t="s">
        <v>1773</v>
      </c>
      <c r="I756" t="s">
        <v>108</v>
      </c>
      <c r="J756" t="s">
        <v>30</v>
      </c>
      <c r="K756">
        <v>4</v>
      </c>
      <c r="L756">
        <v>7942</v>
      </c>
      <c r="M756">
        <v>0</v>
      </c>
      <c r="N756" t="s">
        <v>31</v>
      </c>
      <c r="O756" t="s">
        <v>173</v>
      </c>
      <c r="P756" t="s">
        <v>58</v>
      </c>
      <c r="Q756" t="s">
        <v>1001</v>
      </c>
      <c r="R756" t="s">
        <v>2441</v>
      </c>
      <c r="S756">
        <v>5</v>
      </c>
      <c r="T756" t="s">
        <v>72</v>
      </c>
      <c r="U756">
        <v>101</v>
      </c>
      <c r="V756" t="s">
        <v>37</v>
      </c>
    </row>
    <row r="757" spans="1:22" x14ac:dyDescent="0.3">
      <c r="A757" t="s">
        <v>2442</v>
      </c>
      <c r="B757" t="s">
        <v>606</v>
      </c>
      <c r="C757">
        <v>25</v>
      </c>
      <c r="D757" t="s">
        <v>51</v>
      </c>
      <c r="E757" t="s">
        <v>40</v>
      </c>
      <c r="F757" t="s">
        <v>53</v>
      </c>
      <c r="G757" t="s">
        <v>590</v>
      </c>
      <c r="H757" t="s">
        <v>1440</v>
      </c>
      <c r="I757" t="s">
        <v>85</v>
      </c>
      <c r="J757" t="s">
        <v>44</v>
      </c>
      <c r="L757">
        <v>25021</v>
      </c>
      <c r="M757">
        <v>10</v>
      </c>
      <c r="N757" t="s">
        <v>31</v>
      </c>
      <c r="O757" t="s">
        <v>57</v>
      </c>
      <c r="P757" t="s">
        <v>58</v>
      </c>
      <c r="Q757" t="s">
        <v>608</v>
      </c>
      <c r="R757" t="s">
        <v>2443</v>
      </c>
      <c r="S757">
        <v>1</v>
      </c>
      <c r="T757" t="s">
        <v>96</v>
      </c>
      <c r="U757">
        <v>105</v>
      </c>
      <c r="V757" t="s">
        <v>37</v>
      </c>
    </row>
    <row r="758" spans="1:22" x14ac:dyDescent="0.3">
      <c r="A758" t="s">
        <v>2444</v>
      </c>
      <c r="B758" t="s">
        <v>1396</v>
      </c>
      <c r="C758">
        <v>28</v>
      </c>
      <c r="D758" t="s">
        <v>51</v>
      </c>
      <c r="E758" t="s">
        <v>142</v>
      </c>
      <c r="F758" t="s">
        <v>53</v>
      </c>
      <c r="G758" t="s">
        <v>2445</v>
      </c>
      <c r="H758" t="s">
        <v>1600</v>
      </c>
      <c r="I758" t="s">
        <v>77</v>
      </c>
      <c r="J758" t="s">
        <v>30</v>
      </c>
      <c r="K758">
        <v>5</v>
      </c>
      <c r="L758">
        <v>58258</v>
      </c>
      <c r="M758">
        <v>15</v>
      </c>
      <c r="N758" t="s">
        <v>31</v>
      </c>
      <c r="O758" t="s">
        <v>173</v>
      </c>
      <c r="P758" t="s">
        <v>174</v>
      </c>
      <c r="R758" t="s">
        <v>2446</v>
      </c>
      <c r="S758">
        <v>3</v>
      </c>
      <c r="T758" t="s">
        <v>36</v>
      </c>
      <c r="U758">
        <v>199</v>
      </c>
      <c r="V758" t="s">
        <v>62</v>
      </c>
    </row>
    <row r="759" spans="1:22" x14ac:dyDescent="0.3">
      <c r="A759" t="s">
        <v>2447</v>
      </c>
      <c r="B759" t="s">
        <v>315</v>
      </c>
      <c r="C759">
        <v>46</v>
      </c>
      <c r="D759" t="s">
        <v>51</v>
      </c>
      <c r="E759" t="s">
        <v>52</v>
      </c>
      <c r="F759" t="s">
        <v>65</v>
      </c>
      <c r="G759" t="s">
        <v>943</v>
      </c>
      <c r="H759" t="s">
        <v>874</v>
      </c>
      <c r="I759" t="s">
        <v>43</v>
      </c>
      <c r="J759" t="s">
        <v>30</v>
      </c>
      <c r="K759">
        <v>1</v>
      </c>
      <c r="L759">
        <v>48654</v>
      </c>
      <c r="M759">
        <v>15</v>
      </c>
      <c r="N759" t="s">
        <v>166</v>
      </c>
      <c r="O759" t="s">
        <v>133</v>
      </c>
      <c r="P759" t="s">
        <v>69</v>
      </c>
      <c r="Q759" t="s">
        <v>318</v>
      </c>
      <c r="S759">
        <v>4</v>
      </c>
      <c r="T759" t="s">
        <v>36</v>
      </c>
      <c r="U759">
        <v>121</v>
      </c>
      <c r="V759" t="s">
        <v>37</v>
      </c>
    </row>
    <row r="760" spans="1:22" x14ac:dyDescent="0.3">
      <c r="A760" t="s">
        <v>2448</v>
      </c>
      <c r="B760" t="s">
        <v>803</v>
      </c>
      <c r="C760">
        <v>40</v>
      </c>
      <c r="D760" t="s">
        <v>24</v>
      </c>
      <c r="E760" t="s">
        <v>142</v>
      </c>
      <c r="F760" t="s">
        <v>91</v>
      </c>
      <c r="G760" t="s">
        <v>715</v>
      </c>
      <c r="H760" t="s">
        <v>398</v>
      </c>
      <c r="I760" t="s">
        <v>85</v>
      </c>
      <c r="J760" t="s">
        <v>44</v>
      </c>
      <c r="K760">
        <v>1</v>
      </c>
      <c r="L760">
        <v>54398</v>
      </c>
      <c r="M760">
        <v>5</v>
      </c>
      <c r="N760" t="s">
        <v>31</v>
      </c>
      <c r="O760" t="s">
        <v>57</v>
      </c>
      <c r="P760" t="s">
        <v>69</v>
      </c>
      <c r="Q760" t="s">
        <v>805</v>
      </c>
      <c r="R760" t="s">
        <v>2449</v>
      </c>
      <c r="S760">
        <v>1</v>
      </c>
      <c r="T760" t="s">
        <v>96</v>
      </c>
      <c r="U760">
        <v>244</v>
      </c>
      <c r="V760" t="s">
        <v>62</v>
      </c>
    </row>
    <row r="761" spans="1:22" x14ac:dyDescent="0.3">
      <c r="A761" t="s">
        <v>2450</v>
      </c>
      <c r="B761" t="s">
        <v>228</v>
      </c>
      <c r="C761">
        <v>54</v>
      </c>
      <c r="D761" t="s">
        <v>24</v>
      </c>
      <c r="E761" t="s">
        <v>142</v>
      </c>
      <c r="F761" t="s">
        <v>26</v>
      </c>
      <c r="G761" t="s">
        <v>1090</v>
      </c>
      <c r="H761" t="s">
        <v>2451</v>
      </c>
      <c r="I761" t="s">
        <v>108</v>
      </c>
      <c r="J761" t="s">
        <v>30</v>
      </c>
      <c r="K761">
        <v>3</v>
      </c>
      <c r="L761">
        <v>16266</v>
      </c>
      <c r="M761">
        <v>15</v>
      </c>
      <c r="N761" t="s">
        <v>166</v>
      </c>
      <c r="O761" t="s">
        <v>46</v>
      </c>
      <c r="P761" t="s">
        <v>69</v>
      </c>
      <c r="Q761" t="s">
        <v>232</v>
      </c>
      <c r="R761" t="s">
        <v>2452</v>
      </c>
      <c r="S761">
        <v>2</v>
      </c>
      <c r="T761" t="s">
        <v>36</v>
      </c>
      <c r="U761">
        <v>160</v>
      </c>
      <c r="V761" t="s">
        <v>79</v>
      </c>
    </row>
    <row r="762" spans="1:22" x14ac:dyDescent="0.3">
      <c r="A762" t="s">
        <v>2453</v>
      </c>
      <c r="B762" t="s">
        <v>860</v>
      </c>
      <c r="C762">
        <v>35</v>
      </c>
      <c r="D762" t="s">
        <v>24</v>
      </c>
      <c r="E762" t="s">
        <v>25</v>
      </c>
      <c r="F762" t="s">
        <v>26</v>
      </c>
      <c r="G762" t="s">
        <v>2454</v>
      </c>
      <c r="H762" t="s">
        <v>231</v>
      </c>
      <c r="I762" t="s">
        <v>43</v>
      </c>
      <c r="J762" t="s">
        <v>30</v>
      </c>
      <c r="L762">
        <v>7602</v>
      </c>
      <c r="M762">
        <v>0</v>
      </c>
      <c r="N762" t="s">
        <v>31</v>
      </c>
      <c r="O762" t="s">
        <v>32</v>
      </c>
      <c r="P762" t="s">
        <v>174</v>
      </c>
      <c r="Q762" t="s">
        <v>862</v>
      </c>
      <c r="R762" t="s">
        <v>2455</v>
      </c>
      <c r="S762">
        <v>4</v>
      </c>
      <c r="T762" t="s">
        <v>96</v>
      </c>
      <c r="U762">
        <v>314</v>
      </c>
      <c r="V762" t="s">
        <v>37</v>
      </c>
    </row>
    <row r="763" spans="1:22" x14ac:dyDescent="0.3">
      <c r="A763" t="s">
        <v>2456</v>
      </c>
      <c r="B763" t="s">
        <v>74</v>
      </c>
      <c r="C763">
        <v>47</v>
      </c>
      <c r="D763" t="s">
        <v>24</v>
      </c>
      <c r="E763" t="s">
        <v>142</v>
      </c>
      <c r="F763" t="s">
        <v>65</v>
      </c>
      <c r="G763" t="s">
        <v>982</v>
      </c>
      <c r="H763" t="s">
        <v>132</v>
      </c>
      <c r="I763" t="s">
        <v>77</v>
      </c>
      <c r="J763" t="s">
        <v>30</v>
      </c>
      <c r="K763">
        <v>4</v>
      </c>
      <c r="L763">
        <v>11228</v>
      </c>
      <c r="M763">
        <v>0</v>
      </c>
      <c r="N763" t="s">
        <v>45</v>
      </c>
      <c r="O763" t="s">
        <v>86</v>
      </c>
      <c r="P763" t="s">
        <v>58</v>
      </c>
      <c r="R763" t="s">
        <v>2457</v>
      </c>
      <c r="S763">
        <v>4</v>
      </c>
      <c r="T763" t="s">
        <v>61</v>
      </c>
      <c r="U763">
        <v>234</v>
      </c>
      <c r="V763" t="s">
        <v>37</v>
      </c>
    </row>
    <row r="764" spans="1:22" x14ac:dyDescent="0.3">
      <c r="A764" t="s">
        <v>2458</v>
      </c>
      <c r="B764" t="s">
        <v>1340</v>
      </c>
      <c r="C764">
        <v>48</v>
      </c>
      <c r="D764" t="s">
        <v>24</v>
      </c>
      <c r="E764" t="s">
        <v>26</v>
      </c>
      <c r="F764" t="s">
        <v>65</v>
      </c>
      <c r="G764" t="s">
        <v>1507</v>
      </c>
      <c r="H764" t="s">
        <v>1622</v>
      </c>
      <c r="I764" t="s">
        <v>43</v>
      </c>
      <c r="J764" t="s">
        <v>44</v>
      </c>
      <c r="K764">
        <v>4</v>
      </c>
      <c r="L764">
        <v>57001</v>
      </c>
      <c r="M764">
        <v>0</v>
      </c>
      <c r="N764" t="s">
        <v>31</v>
      </c>
      <c r="O764" t="s">
        <v>109</v>
      </c>
      <c r="P764" t="s">
        <v>69</v>
      </c>
      <c r="Q764" t="s">
        <v>1342</v>
      </c>
      <c r="R764" t="s">
        <v>2459</v>
      </c>
      <c r="S764">
        <v>2</v>
      </c>
      <c r="T764" t="s">
        <v>61</v>
      </c>
      <c r="U764">
        <v>491</v>
      </c>
      <c r="V764" t="s">
        <v>37</v>
      </c>
    </row>
    <row r="765" spans="1:22" x14ac:dyDescent="0.3">
      <c r="A765" t="s">
        <v>2460</v>
      </c>
      <c r="B765" t="s">
        <v>293</v>
      </c>
      <c r="C765">
        <v>60</v>
      </c>
      <c r="D765" t="s">
        <v>51</v>
      </c>
      <c r="E765" t="s">
        <v>131</v>
      </c>
      <c r="F765" t="s">
        <v>53</v>
      </c>
      <c r="G765" t="s">
        <v>179</v>
      </c>
      <c r="H765" t="s">
        <v>450</v>
      </c>
      <c r="I765" t="s">
        <v>108</v>
      </c>
      <c r="J765" t="s">
        <v>30</v>
      </c>
      <c r="K765">
        <v>2</v>
      </c>
      <c r="L765">
        <v>46327</v>
      </c>
      <c r="M765">
        <v>5</v>
      </c>
      <c r="N765" t="s">
        <v>45</v>
      </c>
      <c r="O765" t="s">
        <v>281</v>
      </c>
      <c r="P765" t="s">
        <v>58</v>
      </c>
      <c r="Q765" t="s">
        <v>1231</v>
      </c>
      <c r="R765" t="s">
        <v>2461</v>
      </c>
      <c r="S765">
        <v>3</v>
      </c>
      <c r="T765" t="s">
        <v>36</v>
      </c>
      <c r="U765">
        <v>447</v>
      </c>
      <c r="V765" t="s">
        <v>79</v>
      </c>
    </row>
    <row r="766" spans="1:22" x14ac:dyDescent="0.3">
      <c r="A766" t="s">
        <v>2462</v>
      </c>
      <c r="B766" t="s">
        <v>601</v>
      </c>
      <c r="C766">
        <v>53</v>
      </c>
      <c r="D766" t="s">
        <v>51</v>
      </c>
      <c r="E766" t="s">
        <v>25</v>
      </c>
      <c r="F766" t="s">
        <v>91</v>
      </c>
      <c r="G766" t="s">
        <v>2463</v>
      </c>
      <c r="H766" t="s">
        <v>720</v>
      </c>
      <c r="I766" t="s">
        <v>93</v>
      </c>
      <c r="J766" t="s">
        <v>30</v>
      </c>
      <c r="K766">
        <v>2</v>
      </c>
      <c r="L766">
        <v>70036</v>
      </c>
      <c r="M766">
        <v>5</v>
      </c>
      <c r="N766" t="s">
        <v>56</v>
      </c>
      <c r="O766" t="s">
        <v>173</v>
      </c>
      <c r="P766" t="s">
        <v>69</v>
      </c>
      <c r="Q766" t="s">
        <v>603</v>
      </c>
      <c r="R766" t="s">
        <v>2464</v>
      </c>
      <c r="S766">
        <v>2</v>
      </c>
      <c r="T766" t="s">
        <v>96</v>
      </c>
      <c r="U766">
        <v>372</v>
      </c>
      <c r="V766" t="s">
        <v>79</v>
      </c>
    </row>
    <row r="767" spans="1:22" x14ac:dyDescent="0.3">
      <c r="A767" t="s">
        <v>2465</v>
      </c>
      <c r="B767" t="s">
        <v>382</v>
      </c>
      <c r="C767">
        <v>23</v>
      </c>
      <c r="D767" t="s">
        <v>51</v>
      </c>
      <c r="E767" t="s">
        <v>131</v>
      </c>
      <c r="F767" t="s">
        <v>65</v>
      </c>
      <c r="G767" t="s">
        <v>704</v>
      </c>
      <c r="H767" t="s">
        <v>642</v>
      </c>
      <c r="I767" t="s">
        <v>29</v>
      </c>
      <c r="J767" t="s">
        <v>44</v>
      </c>
      <c r="K767">
        <v>2</v>
      </c>
      <c r="L767">
        <v>73616</v>
      </c>
      <c r="M767">
        <v>5</v>
      </c>
      <c r="N767" t="s">
        <v>56</v>
      </c>
      <c r="O767" t="s">
        <v>46</v>
      </c>
      <c r="P767" t="s">
        <v>69</v>
      </c>
      <c r="Q767" t="s">
        <v>385</v>
      </c>
      <c r="R767" t="s">
        <v>2466</v>
      </c>
      <c r="S767">
        <v>3</v>
      </c>
      <c r="T767" t="s">
        <v>72</v>
      </c>
      <c r="U767">
        <v>77</v>
      </c>
      <c r="V767" t="s">
        <v>37</v>
      </c>
    </row>
    <row r="768" spans="1:22" x14ac:dyDescent="0.3">
      <c r="A768" t="s">
        <v>2467</v>
      </c>
      <c r="B768" t="s">
        <v>424</v>
      </c>
      <c r="C768">
        <v>18</v>
      </c>
      <c r="D768" t="s">
        <v>51</v>
      </c>
      <c r="E768" t="s">
        <v>40</v>
      </c>
      <c r="F768" t="s">
        <v>91</v>
      </c>
      <c r="G768" t="s">
        <v>2468</v>
      </c>
      <c r="H768" t="s">
        <v>1535</v>
      </c>
      <c r="I768" t="s">
        <v>93</v>
      </c>
      <c r="J768" t="s">
        <v>44</v>
      </c>
      <c r="K768">
        <v>3</v>
      </c>
      <c r="L768">
        <v>79096</v>
      </c>
      <c r="M768">
        <v>15</v>
      </c>
      <c r="N768" t="s">
        <v>166</v>
      </c>
      <c r="O768" t="s">
        <v>173</v>
      </c>
      <c r="P768" t="s">
        <v>33</v>
      </c>
      <c r="Q768" t="s">
        <v>427</v>
      </c>
      <c r="R768" t="s">
        <v>2469</v>
      </c>
      <c r="S768">
        <v>5</v>
      </c>
      <c r="T768" t="s">
        <v>61</v>
      </c>
      <c r="U768">
        <v>250</v>
      </c>
      <c r="V768" t="s">
        <v>79</v>
      </c>
    </row>
    <row r="769" spans="1:22" x14ac:dyDescent="0.3">
      <c r="A769" t="s">
        <v>2470</v>
      </c>
      <c r="B769" t="s">
        <v>527</v>
      </c>
      <c r="C769">
        <v>52</v>
      </c>
      <c r="D769" t="s">
        <v>163</v>
      </c>
      <c r="E769" t="s">
        <v>229</v>
      </c>
      <c r="F769" t="s">
        <v>82</v>
      </c>
      <c r="G769" t="s">
        <v>2106</v>
      </c>
      <c r="H769" t="s">
        <v>700</v>
      </c>
      <c r="I769" t="s">
        <v>93</v>
      </c>
      <c r="J769" t="s">
        <v>30</v>
      </c>
      <c r="K769">
        <v>3</v>
      </c>
      <c r="L769">
        <v>71072</v>
      </c>
      <c r="M769">
        <v>15</v>
      </c>
      <c r="N769" t="s">
        <v>56</v>
      </c>
      <c r="O769" t="s">
        <v>173</v>
      </c>
      <c r="P769" t="s">
        <v>58</v>
      </c>
      <c r="Q769" t="s">
        <v>530</v>
      </c>
      <c r="S769">
        <v>4</v>
      </c>
      <c r="T769" t="s">
        <v>61</v>
      </c>
      <c r="U769">
        <v>461</v>
      </c>
      <c r="V769" t="s">
        <v>62</v>
      </c>
    </row>
    <row r="770" spans="1:22" x14ac:dyDescent="0.3">
      <c r="A770" t="s">
        <v>2471</v>
      </c>
      <c r="B770" t="s">
        <v>119</v>
      </c>
      <c r="C770">
        <v>52</v>
      </c>
      <c r="D770" t="s">
        <v>24</v>
      </c>
      <c r="E770" t="s">
        <v>25</v>
      </c>
      <c r="F770" t="s">
        <v>53</v>
      </c>
      <c r="G770" t="s">
        <v>441</v>
      </c>
      <c r="H770" t="s">
        <v>384</v>
      </c>
      <c r="I770" t="s">
        <v>43</v>
      </c>
      <c r="J770" t="s">
        <v>30</v>
      </c>
      <c r="K770">
        <v>5</v>
      </c>
      <c r="L770">
        <v>42594</v>
      </c>
      <c r="M770">
        <v>0</v>
      </c>
      <c r="N770" t="s">
        <v>45</v>
      </c>
      <c r="O770" t="s">
        <v>68</v>
      </c>
      <c r="P770" t="s">
        <v>58</v>
      </c>
      <c r="Q770" t="s">
        <v>122</v>
      </c>
      <c r="R770" t="s">
        <v>2472</v>
      </c>
      <c r="S770">
        <v>4</v>
      </c>
      <c r="T770" t="s">
        <v>96</v>
      </c>
      <c r="U770">
        <v>465</v>
      </c>
      <c r="V770" t="s">
        <v>79</v>
      </c>
    </row>
    <row r="771" spans="1:22" x14ac:dyDescent="0.3">
      <c r="A771" t="s">
        <v>2473</v>
      </c>
      <c r="B771" t="s">
        <v>303</v>
      </c>
      <c r="C771">
        <v>31</v>
      </c>
      <c r="D771" t="s">
        <v>24</v>
      </c>
      <c r="E771" t="s">
        <v>40</v>
      </c>
      <c r="F771" t="s">
        <v>53</v>
      </c>
      <c r="G771" t="s">
        <v>1345</v>
      </c>
      <c r="H771" t="s">
        <v>2057</v>
      </c>
      <c r="I771" t="s">
        <v>77</v>
      </c>
      <c r="J771" t="s">
        <v>30</v>
      </c>
      <c r="K771">
        <v>5</v>
      </c>
      <c r="L771">
        <v>48722</v>
      </c>
      <c r="M771">
        <v>15</v>
      </c>
      <c r="N771" t="s">
        <v>166</v>
      </c>
      <c r="O771" t="s">
        <v>86</v>
      </c>
      <c r="P771" t="s">
        <v>69</v>
      </c>
      <c r="Q771" t="s">
        <v>306</v>
      </c>
      <c r="R771" t="s">
        <v>2474</v>
      </c>
      <c r="S771">
        <v>3</v>
      </c>
      <c r="T771" t="s">
        <v>36</v>
      </c>
      <c r="U771">
        <v>393</v>
      </c>
      <c r="V771" t="s">
        <v>79</v>
      </c>
    </row>
    <row r="772" spans="1:22" x14ac:dyDescent="0.3">
      <c r="A772" t="s">
        <v>2475</v>
      </c>
      <c r="B772" t="s">
        <v>222</v>
      </c>
      <c r="C772">
        <v>48</v>
      </c>
      <c r="D772" t="s">
        <v>51</v>
      </c>
      <c r="E772" t="s">
        <v>229</v>
      </c>
      <c r="F772" t="s">
        <v>65</v>
      </c>
      <c r="G772" t="s">
        <v>368</v>
      </c>
      <c r="H772" t="s">
        <v>1706</v>
      </c>
      <c r="I772" t="s">
        <v>85</v>
      </c>
      <c r="J772" t="s">
        <v>30</v>
      </c>
      <c r="K772">
        <v>4</v>
      </c>
      <c r="L772">
        <v>56875</v>
      </c>
      <c r="M772">
        <v>0</v>
      </c>
      <c r="N772" t="s">
        <v>45</v>
      </c>
      <c r="O772" t="s">
        <v>173</v>
      </c>
      <c r="P772" t="s">
        <v>58</v>
      </c>
      <c r="S772">
        <v>2</v>
      </c>
      <c r="T772" t="s">
        <v>96</v>
      </c>
      <c r="U772">
        <v>279</v>
      </c>
      <c r="V772" t="s">
        <v>37</v>
      </c>
    </row>
    <row r="773" spans="1:22" x14ac:dyDescent="0.3">
      <c r="A773" t="s">
        <v>2476</v>
      </c>
      <c r="B773" t="s">
        <v>105</v>
      </c>
      <c r="C773">
        <v>47</v>
      </c>
      <c r="D773" t="s">
        <v>51</v>
      </c>
      <c r="E773" t="s">
        <v>25</v>
      </c>
      <c r="F773" t="s">
        <v>91</v>
      </c>
      <c r="G773" t="s">
        <v>950</v>
      </c>
      <c r="H773" t="s">
        <v>724</v>
      </c>
      <c r="I773" t="s">
        <v>29</v>
      </c>
      <c r="J773" t="s">
        <v>30</v>
      </c>
      <c r="L773">
        <v>12582</v>
      </c>
      <c r="M773">
        <v>10</v>
      </c>
      <c r="N773" t="s">
        <v>31</v>
      </c>
      <c r="O773" t="s">
        <v>109</v>
      </c>
      <c r="P773" t="s">
        <v>174</v>
      </c>
      <c r="Q773" t="s">
        <v>110</v>
      </c>
      <c r="R773" t="s">
        <v>2477</v>
      </c>
      <c r="S773">
        <v>3</v>
      </c>
      <c r="T773" t="s">
        <v>61</v>
      </c>
      <c r="U773">
        <v>55</v>
      </c>
      <c r="V773" t="s">
        <v>79</v>
      </c>
    </row>
    <row r="774" spans="1:22" x14ac:dyDescent="0.3">
      <c r="A774" t="s">
        <v>2478</v>
      </c>
      <c r="B774" t="s">
        <v>2479</v>
      </c>
      <c r="C774">
        <v>34</v>
      </c>
      <c r="D774" t="s">
        <v>51</v>
      </c>
      <c r="E774" t="s">
        <v>25</v>
      </c>
      <c r="F774" t="s">
        <v>91</v>
      </c>
      <c r="G774" t="s">
        <v>894</v>
      </c>
      <c r="H774" t="s">
        <v>1829</v>
      </c>
      <c r="I774" t="s">
        <v>29</v>
      </c>
      <c r="J774" t="s">
        <v>44</v>
      </c>
      <c r="K774">
        <v>3</v>
      </c>
      <c r="L774">
        <v>6118</v>
      </c>
      <c r="M774">
        <v>10</v>
      </c>
      <c r="N774" t="s">
        <v>56</v>
      </c>
      <c r="O774" t="s">
        <v>173</v>
      </c>
      <c r="P774" t="s">
        <v>69</v>
      </c>
      <c r="Q774" t="s">
        <v>614</v>
      </c>
      <c r="R774" t="s">
        <v>2480</v>
      </c>
      <c r="S774">
        <v>4</v>
      </c>
      <c r="T774" t="s">
        <v>72</v>
      </c>
      <c r="U774">
        <v>117</v>
      </c>
      <c r="V774" t="s">
        <v>37</v>
      </c>
    </row>
    <row r="775" spans="1:22" x14ac:dyDescent="0.3">
      <c r="A775" t="s">
        <v>2481</v>
      </c>
      <c r="B775" t="s">
        <v>156</v>
      </c>
      <c r="C775">
        <v>58</v>
      </c>
      <c r="D775" t="s">
        <v>51</v>
      </c>
      <c r="E775" t="s">
        <v>131</v>
      </c>
      <c r="F775" t="s">
        <v>91</v>
      </c>
      <c r="G775" t="s">
        <v>171</v>
      </c>
      <c r="H775" t="s">
        <v>2482</v>
      </c>
      <c r="I775" t="s">
        <v>108</v>
      </c>
      <c r="J775" t="s">
        <v>30</v>
      </c>
      <c r="K775">
        <v>2</v>
      </c>
      <c r="L775">
        <v>19278</v>
      </c>
      <c r="M775">
        <v>5</v>
      </c>
      <c r="N775" t="s">
        <v>31</v>
      </c>
      <c r="O775" t="s">
        <v>109</v>
      </c>
      <c r="P775" t="s">
        <v>69</v>
      </c>
      <c r="R775" t="s">
        <v>2483</v>
      </c>
      <c r="S775">
        <v>1</v>
      </c>
      <c r="T775" t="s">
        <v>96</v>
      </c>
      <c r="U775">
        <v>163</v>
      </c>
      <c r="V775" t="s">
        <v>37</v>
      </c>
    </row>
    <row r="776" spans="1:22" x14ac:dyDescent="0.3">
      <c r="A776" t="s">
        <v>2484</v>
      </c>
      <c r="B776" t="s">
        <v>1779</v>
      </c>
      <c r="C776">
        <v>38</v>
      </c>
      <c r="D776" t="s">
        <v>24</v>
      </c>
      <c r="E776" t="s">
        <v>25</v>
      </c>
      <c r="F776" t="s">
        <v>53</v>
      </c>
      <c r="G776" t="s">
        <v>2485</v>
      </c>
      <c r="H776" t="s">
        <v>2299</v>
      </c>
      <c r="I776" t="s">
        <v>85</v>
      </c>
      <c r="J776" t="s">
        <v>30</v>
      </c>
      <c r="K776">
        <v>4</v>
      </c>
      <c r="L776">
        <v>36898</v>
      </c>
      <c r="M776">
        <v>15</v>
      </c>
      <c r="N776" t="s">
        <v>31</v>
      </c>
      <c r="O776" t="s">
        <v>133</v>
      </c>
      <c r="P776" t="s">
        <v>69</v>
      </c>
      <c r="Q776" t="s">
        <v>1687</v>
      </c>
      <c r="R776" t="s">
        <v>2486</v>
      </c>
      <c r="S776">
        <v>4</v>
      </c>
      <c r="T776" t="s">
        <v>61</v>
      </c>
      <c r="U776">
        <v>337</v>
      </c>
      <c r="V776" t="s">
        <v>79</v>
      </c>
    </row>
    <row r="777" spans="1:22" x14ac:dyDescent="0.3">
      <c r="A777" t="s">
        <v>2487</v>
      </c>
      <c r="B777" t="s">
        <v>216</v>
      </c>
      <c r="C777">
        <v>28</v>
      </c>
      <c r="D777" t="s">
        <v>51</v>
      </c>
      <c r="E777" t="s">
        <v>131</v>
      </c>
      <c r="F777" t="s">
        <v>65</v>
      </c>
      <c r="G777" t="s">
        <v>629</v>
      </c>
      <c r="H777" t="s">
        <v>2488</v>
      </c>
      <c r="I777" t="s">
        <v>108</v>
      </c>
      <c r="J777" t="s">
        <v>44</v>
      </c>
      <c r="K777">
        <v>5</v>
      </c>
      <c r="L777">
        <v>78775</v>
      </c>
      <c r="M777">
        <v>10</v>
      </c>
      <c r="N777" t="s">
        <v>45</v>
      </c>
      <c r="O777" t="s">
        <v>46</v>
      </c>
      <c r="P777" t="s">
        <v>174</v>
      </c>
      <c r="Q777" t="s">
        <v>219</v>
      </c>
      <c r="R777" t="s">
        <v>2489</v>
      </c>
      <c r="S777">
        <v>3</v>
      </c>
      <c r="T777" t="s">
        <v>36</v>
      </c>
      <c r="U777">
        <v>412</v>
      </c>
      <c r="V777" t="s">
        <v>37</v>
      </c>
    </row>
    <row r="778" spans="1:22" x14ac:dyDescent="0.3">
      <c r="A778" t="s">
        <v>2490</v>
      </c>
      <c r="B778" t="s">
        <v>361</v>
      </c>
      <c r="C778">
        <v>34</v>
      </c>
      <c r="D778" t="s">
        <v>51</v>
      </c>
      <c r="E778" t="s">
        <v>25</v>
      </c>
      <c r="F778" t="s">
        <v>82</v>
      </c>
      <c r="G778" t="s">
        <v>1548</v>
      </c>
      <c r="H778" t="s">
        <v>1544</v>
      </c>
      <c r="I778" t="s">
        <v>108</v>
      </c>
      <c r="J778" t="s">
        <v>30</v>
      </c>
      <c r="K778">
        <v>1</v>
      </c>
      <c r="L778">
        <v>42363</v>
      </c>
      <c r="M778">
        <v>10</v>
      </c>
      <c r="N778" t="s">
        <v>166</v>
      </c>
      <c r="O778" t="s">
        <v>68</v>
      </c>
      <c r="P778" t="s">
        <v>58</v>
      </c>
      <c r="R778" t="s">
        <v>2491</v>
      </c>
      <c r="S778">
        <v>3</v>
      </c>
      <c r="T778" t="s">
        <v>36</v>
      </c>
      <c r="U778">
        <v>433</v>
      </c>
      <c r="V778" t="s">
        <v>62</v>
      </c>
    </row>
    <row r="779" spans="1:22" x14ac:dyDescent="0.3">
      <c r="A779" t="s">
        <v>2492</v>
      </c>
      <c r="B779" t="s">
        <v>503</v>
      </c>
      <c r="C779">
        <v>59</v>
      </c>
      <c r="D779" t="s">
        <v>24</v>
      </c>
      <c r="E779" t="s">
        <v>142</v>
      </c>
      <c r="F779" t="s">
        <v>82</v>
      </c>
      <c r="G779" t="s">
        <v>2493</v>
      </c>
      <c r="H779" t="s">
        <v>1858</v>
      </c>
      <c r="I779" t="s">
        <v>43</v>
      </c>
      <c r="J779" t="s">
        <v>44</v>
      </c>
      <c r="K779">
        <v>4</v>
      </c>
      <c r="L779">
        <v>32985</v>
      </c>
      <c r="M779">
        <v>5</v>
      </c>
      <c r="N779" t="s">
        <v>56</v>
      </c>
      <c r="O779" t="s">
        <v>102</v>
      </c>
      <c r="P779" t="s">
        <v>174</v>
      </c>
      <c r="Q779" t="s">
        <v>506</v>
      </c>
      <c r="R779" t="s">
        <v>2494</v>
      </c>
      <c r="S779">
        <v>4</v>
      </c>
      <c r="T779" t="s">
        <v>96</v>
      </c>
      <c r="U779">
        <v>313</v>
      </c>
      <c r="V779" t="s">
        <v>79</v>
      </c>
    </row>
    <row r="780" spans="1:22" x14ac:dyDescent="0.3">
      <c r="A780" t="s">
        <v>2495</v>
      </c>
      <c r="B780" t="s">
        <v>684</v>
      </c>
      <c r="C780">
        <v>28</v>
      </c>
      <c r="D780" t="s">
        <v>51</v>
      </c>
      <c r="E780" t="s">
        <v>131</v>
      </c>
      <c r="F780" t="s">
        <v>91</v>
      </c>
      <c r="G780" t="s">
        <v>1799</v>
      </c>
      <c r="H780" t="s">
        <v>1447</v>
      </c>
      <c r="I780" t="s">
        <v>77</v>
      </c>
      <c r="J780" t="s">
        <v>30</v>
      </c>
      <c r="K780">
        <v>4</v>
      </c>
      <c r="M780">
        <v>10</v>
      </c>
      <c r="N780" t="s">
        <v>31</v>
      </c>
      <c r="O780" t="s">
        <v>281</v>
      </c>
      <c r="P780" t="s">
        <v>33</v>
      </c>
      <c r="Q780" t="s">
        <v>785</v>
      </c>
      <c r="R780" t="s">
        <v>2496</v>
      </c>
      <c r="S780">
        <v>3</v>
      </c>
      <c r="T780" t="s">
        <v>72</v>
      </c>
      <c r="U780">
        <v>491</v>
      </c>
      <c r="V780" t="s">
        <v>37</v>
      </c>
    </row>
    <row r="781" spans="1:22" x14ac:dyDescent="0.3">
      <c r="A781" t="s">
        <v>2497</v>
      </c>
      <c r="B781" t="s">
        <v>309</v>
      </c>
      <c r="C781">
        <v>36</v>
      </c>
      <c r="D781" t="s">
        <v>183</v>
      </c>
      <c r="E781" t="s">
        <v>229</v>
      </c>
      <c r="F781" t="s">
        <v>91</v>
      </c>
      <c r="G781" t="s">
        <v>2498</v>
      </c>
      <c r="H781" t="s">
        <v>263</v>
      </c>
      <c r="I781" t="s">
        <v>108</v>
      </c>
      <c r="J781" t="s">
        <v>44</v>
      </c>
      <c r="K781">
        <v>2</v>
      </c>
      <c r="L781">
        <v>60630</v>
      </c>
      <c r="M781">
        <v>5</v>
      </c>
      <c r="N781" t="s">
        <v>166</v>
      </c>
      <c r="O781" t="s">
        <v>46</v>
      </c>
      <c r="P781" t="s">
        <v>33</v>
      </c>
      <c r="Q781" t="s">
        <v>312</v>
      </c>
      <c r="S781">
        <v>3</v>
      </c>
      <c r="T781" t="s">
        <v>61</v>
      </c>
      <c r="U781">
        <v>98</v>
      </c>
      <c r="V781" t="s">
        <v>79</v>
      </c>
    </row>
    <row r="782" spans="1:22" x14ac:dyDescent="0.3">
      <c r="A782" t="s">
        <v>2499</v>
      </c>
      <c r="B782" t="s">
        <v>2016</v>
      </c>
      <c r="C782">
        <v>29</v>
      </c>
      <c r="D782" t="s">
        <v>24</v>
      </c>
      <c r="E782" t="s">
        <v>99</v>
      </c>
      <c r="F782" t="s">
        <v>65</v>
      </c>
      <c r="G782" t="s">
        <v>571</v>
      </c>
      <c r="H782" t="s">
        <v>2500</v>
      </c>
      <c r="I782" t="s">
        <v>108</v>
      </c>
      <c r="J782" t="s">
        <v>44</v>
      </c>
      <c r="K782">
        <v>3</v>
      </c>
      <c r="L782">
        <v>78872</v>
      </c>
      <c r="M782">
        <v>15</v>
      </c>
      <c r="N782" t="s">
        <v>45</v>
      </c>
      <c r="O782" t="s">
        <v>32</v>
      </c>
      <c r="P782" t="s">
        <v>69</v>
      </c>
      <c r="Q782" t="s">
        <v>1792</v>
      </c>
      <c r="R782" t="s">
        <v>2501</v>
      </c>
      <c r="S782">
        <v>2</v>
      </c>
      <c r="T782" t="s">
        <v>72</v>
      </c>
      <c r="U782">
        <v>150</v>
      </c>
      <c r="V782" t="s">
        <v>79</v>
      </c>
    </row>
    <row r="783" spans="1:22" x14ac:dyDescent="0.3">
      <c r="A783" t="s">
        <v>2502</v>
      </c>
      <c r="B783" t="s">
        <v>674</v>
      </c>
      <c r="C783">
        <v>27</v>
      </c>
      <c r="D783" t="s">
        <v>24</v>
      </c>
      <c r="E783" t="s">
        <v>142</v>
      </c>
      <c r="F783" t="s">
        <v>53</v>
      </c>
      <c r="G783" t="s">
        <v>210</v>
      </c>
      <c r="H783" t="s">
        <v>2000</v>
      </c>
      <c r="I783" t="s">
        <v>108</v>
      </c>
      <c r="J783" t="s">
        <v>44</v>
      </c>
      <c r="K783">
        <v>1</v>
      </c>
      <c r="L783">
        <v>57272</v>
      </c>
      <c r="M783">
        <v>5</v>
      </c>
      <c r="N783" t="s">
        <v>45</v>
      </c>
      <c r="O783" t="s">
        <v>32</v>
      </c>
      <c r="P783" t="s">
        <v>33</v>
      </c>
      <c r="Q783" t="s">
        <v>677</v>
      </c>
      <c r="R783" t="s">
        <v>2503</v>
      </c>
      <c r="S783">
        <v>2</v>
      </c>
      <c r="T783" t="s">
        <v>72</v>
      </c>
      <c r="U783">
        <v>168</v>
      </c>
      <c r="V783" t="s">
        <v>79</v>
      </c>
    </row>
    <row r="784" spans="1:22" x14ac:dyDescent="0.3">
      <c r="A784" t="s">
        <v>2504</v>
      </c>
      <c r="B784" t="s">
        <v>150</v>
      </c>
      <c r="C784">
        <v>56</v>
      </c>
      <c r="D784" t="s">
        <v>51</v>
      </c>
      <c r="E784" t="s">
        <v>131</v>
      </c>
      <c r="F784" t="s">
        <v>82</v>
      </c>
      <c r="G784" t="s">
        <v>1447</v>
      </c>
      <c r="H784" t="s">
        <v>454</v>
      </c>
      <c r="I784" t="s">
        <v>43</v>
      </c>
      <c r="J784" t="s">
        <v>30</v>
      </c>
      <c r="K784">
        <v>3</v>
      </c>
      <c r="L784">
        <v>71978</v>
      </c>
      <c r="M784">
        <v>0</v>
      </c>
      <c r="N784" t="s">
        <v>166</v>
      </c>
      <c r="O784" t="s">
        <v>133</v>
      </c>
      <c r="P784" t="s">
        <v>33</v>
      </c>
      <c r="Q784" t="s">
        <v>153</v>
      </c>
      <c r="R784" t="s">
        <v>2505</v>
      </c>
      <c r="S784">
        <v>1</v>
      </c>
      <c r="T784" t="s">
        <v>96</v>
      </c>
      <c r="U784">
        <v>87</v>
      </c>
      <c r="V784" t="s">
        <v>79</v>
      </c>
    </row>
    <row r="785" spans="1:22" x14ac:dyDescent="0.3">
      <c r="A785" t="s">
        <v>2506</v>
      </c>
      <c r="B785" t="s">
        <v>315</v>
      </c>
      <c r="C785">
        <v>50</v>
      </c>
      <c r="D785" t="s">
        <v>24</v>
      </c>
      <c r="E785" t="s">
        <v>26</v>
      </c>
      <c r="F785" t="s">
        <v>26</v>
      </c>
      <c r="G785" t="s">
        <v>1222</v>
      </c>
      <c r="H785" t="s">
        <v>1790</v>
      </c>
      <c r="I785" t="s">
        <v>29</v>
      </c>
      <c r="J785" t="s">
        <v>30</v>
      </c>
      <c r="K785">
        <v>2</v>
      </c>
      <c r="L785">
        <v>17876</v>
      </c>
      <c r="M785">
        <v>5</v>
      </c>
      <c r="N785" t="s">
        <v>166</v>
      </c>
      <c r="O785" t="s">
        <v>133</v>
      </c>
      <c r="P785" t="s">
        <v>174</v>
      </c>
      <c r="R785" t="s">
        <v>2507</v>
      </c>
      <c r="S785">
        <v>1</v>
      </c>
      <c r="T785" t="s">
        <v>61</v>
      </c>
      <c r="U785">
        <v>288</v>
      </c>
      <c r="V785" t="s">
        <v>79</v>
      </c>
    </row>
    <row r="786" spans="1:22" x14ac:dyDescent="0.3">
      <c r="A786" t="s">
        <v>2508</v>
      </c>
      <c r="B786" t="s">
        <v>2340</v>
      </c>
      <c r="C786">
        <v>37</v>
      </c>
      <c r="D786" t="s">
        <v>24</v>
      </c>
      <c r="E786" t="s">
        <v>25</v>
      </c>
      <c r="F786" t="s">
        <v>91</v>
      </c>
      <c r="G786" t="s">
        <v>151</v>
      </c>
      <c r="H786" t="s">
        <v>1004</v>
      </c>
      <c r="I786" t="s">
        <v>85</v>
      </c>
      <c r="J786" t="s">
        <v>44</v>
      </c>
      <c r="K786">
        <v>4</v>
      </c>
      <c r="L786">
        <v>67990</v>
      </c>
      <c r="M786">
        <v>0</v>
      </c>
      <c r="N786" t="s">
        <v>31</v>
      </c>
      <c r="O786" t="s">
        <v>109</v>
      </c>
      <c r="P786" t="s">
        <v>174</v>
      </c>
      <c r="Q786" t="s">
        <v>732</v>
      </c>
      <c r="R786" t="s">
        <v>2509</v>
      </c>
      <c r="S786">
        <v>2</v>
      </c>
      <c r="T786" t="s">
        <v>36</v>
      </c>
      <c r="U786">
        <v>433</v>
      </c>
      <c r="V786" t="s">
        <v>62</v>
      </c>
    </row>
    <row r="787" spans="1:22" x14ac:dyDescent="0.3">
      <c r="A787" t="s">
        <v>2510</v>
      </c>
      <c r="B787" t="s">
        <v>156</v>
      </c>
      <c r="C787">
        <v>25</v>
      </c>
      <c r="D787" t="s">
        <v>24</v>
      </c>
      <c r="E787" t="s">
        <v>142</v>
      </c>
      <c r="F787" t="s">
        <v>65</v>
      </c>
      <c r="G787" t="s">
        <v>1756</v>
      </c>
      <c r="H787" t="s">
        <v>720</v>
      </c>
      <c r="I787" t="s">
        <v>93</v>
      </c>
      <c r="J787" t="s">
        <v>30</v>
      </c>
      <c r="K787">
        <v>2</v>
      </c>
      <c r="L787">
        <v>63963</v>
      </c>
      <c r="M787">
        <v>15</v>
      </c>
      <c r="N787" t="s">
        <v>56</v>
      </c>
      <c r="O787" t="s">
        <v>68</v>
      </c>
      <c r="P787" t="s">
        <v>69</v>
      </c>
      <c r="Q787" t="s">
        <v>159</v>
      </c>
      <c r="R787" t="s">
        <v>2511</v>
      </c>
      <c r="S787">
        <v>4</v>
      </c>
      <c r="T787" t="s">
        <v>61</v>
      </c>
      <c r="U787">
        <v>472</v>
      </c>
      <c r="V787" t="s">
        <v>79</v>
      </c>
    </row>
    <row r="788" spans="1:22" x14ac:dyDescent="0.3">
      <c r="A788" t="s">
        <v>2512</v>
      </c>
      <c r="B788" t="s">
        <v>182</v>
      </c>
      <c r="C788">
        <v>51</v>
      </c>
      <c r="D788" t="s">
        <v>163</v>
      </c>
      <c r="E788" t="s">
        <v>52</v>
      </c>
      <c r="F788" t="s">
        <v>91</v>
      </c>
      <c r="G788" t="s">
        <v>2513</v>
      </c>
      <c r="H788" t="s">
        <v>950</v>
      </c>
      <c r="I788" t="s">
        <v>93</v>
      </c>
      <c r="J788" t="s">
        <v>30</v>
      </c>
      <c r="K788">
        <v>3</v>
      </c>
      <c r="L788">
        <v>54860</v>
      </c>
      <c r="M788">
        <v>10</v>
      </c>
      <c r="N788" t="s">
        <v>31</v>
      </c>
      <c r="O788" t="s">
        <v>86</v>
      </c>
      <c r="P788" t="s">
        <v>33</v>
      </c>
      <c r="Q788" t="s">
        <v>186</v>
      </c>
      <c r="S788">
        <v>2</v>
      </c>
      <c r="T788" t="s">
        <v>36</v>
      </c>
      <c r="U788">
        <v>444</v>
      </c>
      <c r="V788" t="s">
        <v>37</v>
      </c>
    </row>
    <row r="789" spans="1:22" x14ac:dyDescent="0.3">
      <c r="A789" t="s">
        <v>2514</v>
      </c>
      <c r="B789" t="s">
        <v>555</v>
      </c>
      <c r="C789">
        <v>31</v>
      </c>
      <c r="D789" t="s">
        <v>24</v>
      </c>
      <c r="E789" t="s">
        <v>142</v>
      </c>
      <c r="F789" t="s">
        <v>65</v>
      </c>
      <c r="G789" t="s">
        <v>217</v>
      </c>
      <c r="H789" t="s">
        <v>1526</v>
      </c>
      <c r="I789" t="s">
        <v>43</v>
      </c>
      <c r="J789" t="s">
        <v>30</v>
      </c>
      <c r="K789">
        <v>1</v>
      </c>
      <c r="L789">
        <v>68831</v>
      </c>
      <c r="M789">
        <v>10</v>
      </c>
      <c r="N789" t="s">
        <v>166</v>
      </c>
      <c r="O789" t="s">
        <v>109</v>
      </c>
      <c r="P789" t="s">
        <v>33</v>
      </c>
      <c r="Q789" t="s">
        <v>558</v>
      </c>
      <c r="R789" t="s">
        <v>2515</v>
      </c>
      <c r="S789">
        <v>3</v>
      </c>
      <c r="T789" t="s">
        <v>61</v>
      </c>
      <c r="U789">
        <v>466</v>
      </c>
      <c r="V789" t="s">
        <v>37</v>
      </c>
    </row>
    <row r="790" spans="1:22" x14ac:dyDescent="0.3">
      <c r="A790" t="s">
        <v>2516</v>
      </c>
      <c r="B790" t="s">
        <v>684</v>
      </c>
      <c r="C790">
        <v>46</v>
      </c>
      <c r="D790" t="s">
        <v>24</v>
      </c>
      <c r="E790" t="s">
        <v>99</v>
      </c>
      <c r="F790" t="s">
        <v>82</v>
      </c>
      <c r="G790" t="s">
        <v>1009</v>
      </c>
      <c r="H790" t="s">
        <v>1104</v>
      </c>
      <c r="I790" t="s">
        <v>29</v>
      </c>
      <c r="J790" t="s">
        <v>30</v>
      </c>
      <c r="K790">
        <v>4</v>
      </c>
      <c r="L790">
        <v>65743</v>
      </c>
      <c r="M790">
        <v>0</v>
      </c>
      <c r="N790" t="s">
        <v>31</v>
      </c>
      <c r="O790" t="s">
        <v>32</v>
      </c>
      <c r="P790" t="s">
        <v>69</v>
      </c>
      <c r="Q790" t="s">
        <v>785</v>
      </c>
      <c r="S790">
        <v>5</v>
      </c>
      <c r="T790" t="s">
        <v>36</v>
      </c>
      <c r="U790">
        <v>473</v>
      </c>
      <c r="V790" t="s">
        <v>37</v>
      </c>
    </row>
    <row r="791" spans="1:22" x14ac:dyDescent="0.3">
      <c r="A791" t="s">
        <v>2517</v>
      </c>
      <c r="B791" t="s">
        <v>1008</v>
      </c>
      <c r="C791">
        <v>47</v>
      </c>
      <c r="D791" t="s">
        <v>51</v>
      </c>
      <c r="E791" t="s">
        <v>99</v>
      </c>
      <c r="F791" t="s">
        <v>65</v>
      </c>
      <c r="G791" t="s">
        <v>2518</v>
      </c>
      <c r="H791" t="s">
        <v>1760</v>
      </c>
      <c r="I791" t="s">
        <v>93</v>
      </c>
      <c r="J791" t="s">
        <v>30</v>
      </c>
      <c r="K791">
        <v>3</v>
      </c>
      <c r="L791">
        <v>56308</v>
      </c>
      <c r="M791">
        <v>5</v>
      </c>
      <c r="N791" t="s">
        <v>45</v>
      </c>
      <c r="O791" t="s">
        <v>281</v>
      </c>
      <c r="P791" t="s">
        <v>58</v>
      </c>
      <c r="Q791" t="s">
        <v>1011</v>
      </c>
      <c r="R791" t="s">
        <v>2519</v>
      </c>
      <c r="S791">
        <v>4</v>
      </c>
      <c r="T791" t="s">
        <v>72</v>
      </c>
      <c r="U791">
        <v>306</v>
      </c>
      <c r="V791" t="s">
        <v>79</v>
      </c>
    </row>
    <row r="792" spans="1:22" x14ac:dyDescent="0.3">
      <c r="A792" t="s">
        <v>2520</v>
      </c>
      <c r="B792" t="s">
        <v>527</v>
      </c>
      <c r="C792">
        <v>60</v>
      </c>
      <c r="D792" t="s">
        <v>24</v>
      </c>
      <c r="E792" t="s">
        <v>131</v>
      </c>
      <c r="F792" t="s">
        <v>91</v>
      </c>
      <c r="G792" t="s">
        <v>2521</v>
      </c>
      <c r="H792" t="s">
        <v>299</v>
      </c>
      <c r="I792" t="s">
        <v>29</v>
      </c>
      <c r="J792" t="s">
        <v>44</v>
      </c>
      <c r="K792">
        <v>4</v>
      </c>
      <c r="L792">
        <v>46676</v>
      </c>
      <c r="M792">
        <v>5</v>
      </c>
      <c r="N792" t="s">
        <v>166</v>
      </c>
      <c r="O792" t="s">
        <v>173</v>
      </c>
      <c r="P792" t="s">
        <v>33</v>
      </c>
      <c r="Q792" t="s">
        <v>530</v>
      </c>
      <c r="S792">
        <v>3</v>
      </c>
      <c r="T792" t="s">
        <v>61</v>
      </c>
      <c r="U792">
        <v>87</v>
      </c>
      <c r="V792" t="s">
        <v>62</v>
      </c>
    </row>
    <row r="793" spans="1:22" x14ac:dyDescent="0.3">
      <c r="A793" t="s">
        <v>2522</v>
      </c>
      <c r="B793" t="s">
        <v>1443</v>
      </c>
      <c r="C793">
        <v>46</v>
      </c>
      <c r="D793" t="s">
        <v>24</v>
      </c>
      <c r="E793" t="s">
        <v>99</v>
      </c>
      <c r="F793" t="s">
        <v>53</v>
      </c>
      <c r="G793" t="s">
        <v>970</v>
      </c>
      <c r="H793" t="s">
        <v>2384</v>
      </c>
      <c r="I793" t="s">
        <v>77</v>
      </c>
      <c r="J793" t="s">
        <v>30</v>
      </c>
      <c r="K793">
        <v>2</v>
      </c>
      <c r="M793">
        <v>0</v>
      </c>
      <c r="N793" t="s">
        <v>31</v>
      </c>
      <c r="O793" t="s">
        <v>32</v>
      </c>
      <c r="P793" t="s">
        <v>58</v>
      </c>
      <c r="Q793" t="s">
        <v>1444</v>
      </c>
      <c r="R793" t="s">
        <v>2523</v>
      </c>
      <c r="S793">
        <v>5</v>
      </c>
      <c r="T793" t="s">
        <v>61</v>
      </c>
      <c r="U793">
        <v>233</v>
      </c>
      <c r="V793" t="s">
        <v>62</v>
      </c>
    </row>
    <row r="794" spans="1:22" x14ac:dyDescent="0.3">
      <c r="A794" t="s">
        <v>2524</v>
      </c>
      <c r="B794" t="s">
        <v>113</v>
      </c>
      <c r="C794">
        <v>47</v>
      </c>
      <c r="D794" t="s">
        <v>51</v>
      </c>
      <c r="E794" t="s">
        <v>25</v>
      </c>
      <c r="F794" t="s">
        <v>82</v>
      </c>
      <c r="G794" t="s">
        <v>1659</v>
      </c>
      <c r="H794" t="s">
        <v>2525</v>
      </c>
      <c r="I794" t="s">
        <v>29</v>
      </c>
      <c r="J794" t="s">
        <v>30</v>
      </c>
      <c r="K794">
        <v>1</v>
      </c>
      <c r="L794">
        <v>29020</v>
      </c>
      <c r="M794">
        <v>5</v>
      </c>
      <c r="N794" t="s">
        <v>56</v>
      </c>
      <c r="O794" t="s">
        <v>68</v>
      </c>
      <c r="P794" t="s">
        <v>33</v>
      </c>
      <c r="Q794" t="s">
        <v>116</v>
      </c>
      <c r="R794" t="s">
        <v>2526</v>
      </c>
      <c r="S794">
        <v>5</v>
      </c>
      <c r="T794" t="s">
        <v>96</v>
      </c>
      <c r="U794">
        <v>118</v>
      </c>
      <c r="V794" t="s">
        <v>62</v>
      </c>
    </row>
    <row r="795" spans="1:22" x14ac:dyDescent="0.3">
      <c r="A795" t="s">
        <v>2527</v>
      </c>
      <c r="B795" t="s">
        <v>136</v>
      </c>
      <c r="C795">
        <v>28</v>
      </c>
      <c r="D795" t="s">
        <v>51</v>
      </c>
      <c r="E795" t="s">
        <v>25</v>
      </c>
      <c r="F795" t="s">
        <v>82</v>
      </c>
      <c r="G795" t="s">
        <v>691</v>
      </c>
      <c r="H795" t="s">
        <v>1202</v>
      </c>
      <c r="I795" t="s">
        <v>93</v>
      </c>
      <c r="J795" t="s">
        <v>44</v>
      </c>
      <c r="K795">
        <v>1</v>
      </c>
      <c r="L795">
        <v>34116</v>
      </c>
      <c r="M795">
        <v>10</v>
      </c>
      <c r="N795" t="s">
        <v>31</v>
      </c>
      <c r="O795" t="s">
        <v>102</v>
      </c>
      <c r="P795" t="s">
        <v>69</v>
      </c>
      <c r="R795" t="s">
        <v>2528</v>
      </c>
      <c r="S795">
        <v>1</v>
      </c>
      <c r="T795" t="s">
        <v>72</v>
      </c>
      <c r="U795">
        <v>337</v>
      </c>
      <c r="V795" t="s">
        <v>62</v>
      </c>
    </row>
    <row r="796" spans="1:22" x14ac:dyDescent="0.3">
      <c r="A796" t="s">
        <v>2529</v>
      </c>
      <c r="B796" t="s">
        <v>484</v>
      </c>
      <c r="C796">
        <v>41</v>
      </c>
      <c r="D796" t="s">
        <v>51</v>
      </c>
      <c r="E796" t="s">
        <v>142</v>
      </c>
      <c r="F796" t="s">
        <v>82</v>
      </c>
      <c r="G796" t="s">
        <v>906</v>
      </c>
      <c r="H796" t="s">
        <v>42</v>
      </c>
      <c r="I796" t="s">
        <v>29</v>
      </c>
      <c r="J796" t="s">
        <v>44</v>
      </c>
      <c r="K796">
        <v>4</v>
      </c>
      <c r="L796">
        <v>70378</v>
      </c>
      <c r="M796">
        <v>5</v>
      </c>
      <c r="N796" t="s">
        <v>45</v>
      </c>
      <c r="O796" t="s">
        <v>133</v>
      </c>
      <c r="P796" t="s">
        <v>33</v>
      </c>
      <c r="Q796" t="s">
        <v>487</v>
      </c>
      <c r="R796" t="s">
        <v>2530</v>
      </c>
      <c r="S796">
        <v>1</v>
      </c>
      <c r="T796" t="s">
        <v>72</v>
      </c>
      <c r="U796">
        <v>139</v>
      </c>
      <c r="V796" t="s">
        <v>62</v>
      </c>
    </row>
    <row r="797" spans="1:22" x14ac:dyDescent="0.3">
      <c r="A797" t="s">
        <v>2531</v>
      </c>
      <c r="B797" t="s">
        <v>2532</v>
      </c>
      <c r="C797">
        <v>43</v>
      </c>
      <c r="D797" t="s">
        <v>51</v>
      </c>
      <c r="E797" t="s">
        <v>229</v>
      </c>
      <c r="F797" t="s">
        <v>65</v>
      </c>
      <c r="G797" t="s">
        <v>403</v>
      </c>
      <c r="H797" t="s">
        <v>446</v>
      </c>
      <c r="I797" t="s">
        <v>93</v>
      </c>
      <c r="J797" t="s">
        <v>30</v>
      </c>
      <c r="K797">
        <v>3</v>
      </c>
      <c r="L797">
        <v>52865</v>
      </c>
      <c r="M797">
        <v>5</v>
      </c>
      <c r="N797" t="s">
        <v>166</v>
      </c>
      <c r="O797" t="s">
        <v>32</v>
      </c>
      <c r="P797" t="s">
        <v>33</v>
      </c>
      <c r="Q797" t="s">
        <v>769</v>
      </c>
      <c r="R797" t="s">
        <v>2533</v>
      </c>
      <c r="S797">
        <v>1</v>
      </c>
      <c r="T797" t="s">
        <v>72</v>
      </c>
      <c r="U797">
        <v>399</v>
      </c>
      <c r="V797" t="s">
        <v>37</v>
      </c>
    </row>
    <row r="798" spans="1:22" x14ac:dyDescent="0.3">
      <c r="A798" t="s">
        <v>2534</v>
      </c>
      <c r="B798" t="s">
        <v>547</v>
      </c>
      <c r="C798">
        <v>35</v>
      </c>
      <c r="D798" t="s">
        <v>24</v>
      </c>
      <c r="E798" t="s">
        <v>40</v>
      </c>
      <c r="F798" t="s">
        <v>65</v>
      </c>
      <c r="G798" t="s">
        <v>421</v>
      </c>
      <c r="H798" t="s">
        <v>1951</v>
      </c>
      <c r="I798" t="s">
        <v>85</v>
      </c>
      <c r="J798" t="s">
        <v>30</v>
      </c>
      <c r="K798">
        <v>3</v>
      </c>
      <c r="L798">
        <v>54664</v>
      </c>
      <c r="M798">
        <v>15</v>
      </c>
      <c r="N798" t="s">
        <v>166</v>
      </c>
      <c r="O798" t="s">
        <v>32</v>
      </c>
      <c r="P798" t="s">
        <v>33</v>
      </c>
      <c r="Q798" t="s">
        <v>549</v>
      </c>
      <c r="R798" t="s">
        <v>2535</v>
      </c>
      <c r="S798">
        <v>3</v>
      </c>
      <c r="T798" t="s">
        <v>96</v>
      </c>
      <c r="U798">
        <v>394</v>
      </c>
      <c r="V798" t="s">
        <v>62</v>
      </c>
    </row>
    <row r="799" spans="1:22" x14ac:dyDescent="0.3">
      <c r="A799" t="s">
        <v>2536</v>
      </c>
      <c r="B799" t="s">
        <v>767</v>
      </c>
      <c r="C799">
        <v>23</v>
      </c>
      <c r="D799" t="s">
        <v>24</v>
      </c>
      <c r="E799" t="s">
        <v>26</v>
      </c>
      <c r="F799" t="s">
        <v>26</v>
      </c>
      <c r="G799" t="s">
        <v>2537</v>
      </c>
      <c r="H799" t="s">
        <v>454</v>
      </c>
      <c r="I799" t="s">
        <v>93</v>
      </c>
      <c r="J799" t="s">
        <v>30</v>
      </c>
      <c r="K799">
        <v>1</v>
      </c>
      <c r="L799">
        <v>58085</v>
      </c>
      <c r="M799">
        <v>5</v>
      </c>
      <c r="N799" t="s">
        <v>166</v>
      </c>
      <c r="O799" t="s">
        <v>109</v>
      </c>
      <c r="P799" t="s">
        <v>58</v>
      </c>
      <c r="R799" t="s">
        <v>2538</v>
      </c>
      <c r="S799">
        <v>2</v>
      </c>
      <c r="T799" t="s">
        <v>96</v>
      </c>
      <c r="U799">
        <v>452</v>
      </c>
      <c r="V799" t="s">
        <v>37</v>
      </c>
    </row>
    <row r="800" spans="1:22" x14ac:dyDescent="0.3">
      <c r="A800" t="s">
        <v>2539</v>
      </c>
      <c r="B800" t="s">
        <v>303</v>
      </c>
      <c r="C800">
        <v>46</v>
      </c>
      <c r="D800" t="s">
        <v>24</v>
      </c>
      <c r="E800" t="s">
        <v>99</v>
      </c>
      <c r="F800" t="s">
        <v>82</v>
      </c>
      <c r="G800" t="s">
        <v>505</v>
      </c>
      <c r="H800" t="s">
        <v>1786</v>
      </c>
      <c r="I800" t="s">
        <v>77</v>
      </c>
      <c r="J800" t="s">
        <v>30</v>
      </c>
      <c r="K800">
        <v>1</v>
      </c>
      <c r="L800">
        <v>76703</v>
      </c>
      <c r="M800">
        <v>15</v>
      </c>
      <c r="N800" t="s">
        <v>31</v>
      </c>
      <c r="O800" t="s">
        <v>133</v>
      </c>
      <c r="P800" t="s">
        <v>58</v>
      </c>
      <c r="Q800" t="s">
        <v>306</v>
      </c>
      <c r="R800" t="s">
        <v>2540</v>
      </c>
      <c r="S800">
        <v>4</v>
      </c>
      <c r="T800" t="s">
        <v>36</v>
      </c>
      <c r="U800">
        <v>218</v>
      </c>
      <c r="V800" t="s">
        <v>62</v>
      </c>
    </row>
    <row r="801" spans="1:22" x14ac:dyDescent="0.3">
      <c r="A801" t="s">
        <v>2541</v>
      </c>
      <c r="B801" t="s">
        <v>1080</v>
      </c>
      <c r="C801">
        <v>50</v>
      </c>
      <c r="D801" t="s">
        <v>51</v>
      </c>
      <c r="E801" t="s">
        <v>25</v>
      </c>
      <c r="F801" t="s">
        <v>91</v>
      </c>
      <c r="G801" t="s">
        <v>909</v>
      </c>
      <c r="H801" t="s">
        <v>2542</v>
      </c>
      <c r="I801" t="s">
        <v>43</v>
      </c>
      <c r="J801" t="s">
        <v>44</v>
      </c>
      <c r="K801">
        <v>2</v>
      </c>
      <c r="L801">
        <v>72219</v>
      </c>
      <c r="M801">
        <v>0</v>
      </c>
      <c r="N801" t="s">
        <v>45</v>
      </c>
      <c r="O801" t="s">
        <v>133</v>
      </c>
      <c r="P801" t="s">
        <v>58</v>
      </c>
      <c r="Q801" t="s">
        <v>1082</v>
      </c>
      <c r="R801" t="s">
        <v>2543</v>
      </c>
      <c r="S801">
        <v>3</v>
      </c>
      <c r="T801" t="s">
        <v>61</v>
      </c>
      <c r="U801">
        <v>266</v>
      </c>
      <c r="V801" t="s">
        <v>79</v>
      </c>
    </row>
    <row r="802" spans="1:22" x14ac:dyDescent="0.3">
      <c r="A802" t="s">
        <v>2544</v>
      </c>
      <c r="B802" t="s">
        <v>344</v>
      </c>
      <c r="C802">
        <v>54</v>
      </c>
      <c r="D802" t="s">
        <v>24</v>
      </c>
      <c r="E802" t="s">
        <v>131</v>
      </c>
      <c r="F802" t="s">
        <v>53</v>
      </c>
      <c r="G802" t="s">
        <v>1179</v>
      </c>
      <c r="H802" t="s">
        <v>2545</v>
      </c>
      <c r="I802" t="s">
        <v>93</v>
      </c>
      <c r="J802" t="s">
        <v>44</v>
      </c>
      <c r="K802">
        <v>4</v>
      </c>
      <c r="L802">
        <v>37830</v>
      </c>
      <c r="M802">
        <v>0</v>
      </c>
      <c r="N802" t="s">
        <v>45</v>
      </c>
      <c r="O802" t="s">
        <v>102</v>
      </c>
      <c r="P802" t="s">
        <v>58</v>
      </c>
      <c r="Q802" t="s">
        <v>347</v>
      </c>
      <c r="R802" t="s">
        <v>2546</v>
      </c>
      <c r="S802">
        <v>1</v>
      </c>
      <c r="T802" t="s">
        <v>61</v>
      </c>
      <c r="U802">
        <v>273</v>
      </c>
      <c r="V802" t="s">
        <v>37</v>
      </c>
    </row>
    <row r="803" spans="1:22" x14ac:dyDescent="0.3">
      <c r="A803" t="s">
        <v>2547</v>
      </c>
      <c r="B803" t="s">
        <v>2548</v>
      </c>
      <c r="C803">
        <v>28</v>
      </c>
      <c r="D803" t="s">
        <v>24</v>
      </c>
      <c r="E803" t="s">
        <v>25</v>
      </c>
      <c r="F803" t="s">
        <v>53</v>
      </c>
      <c r="G803" t="s">
        <v>1302</v>
      </c>
      <c r="H803" t="s">
        <v>881</v>
      </c>
      <c r="I803" t="s">
        <v>93</v>
      </c>
      <c r="J803" t="s">
        <v>44</v>
      </c>
      <c r="K803">
        <v>3</v>
      </c>
      <c r="L803">
        <v>7817</v>
      </c>
      <c r="M803">
        <v>5</v>
      </c>
      <c r="N803" t="s">
        <v>31</v>
      </c>
      <c r="O803" t="s">
        <v>57</v>
      </c>
      <c r="P803" t="s">
        <v>58</v>
      </c>
      <c r="Q803" t="s">
        <v>500</v>
      </c>
      <c r="R803" t="s">
        <v>2549</v>
      </c>
      <c r="S803">
        <v>5</v>
      </c>
      <c r="T803" t="s">
        <v>72</v>
      </c>
      <c r="U803">
        <v>490</v>
      </c>
      <c r="V803" t="s">
        <v>62</v>
      </c>
    </row>
    <row r="804" spans="1:22" x14ac:dyDescent="0.3">
      <c r="A804" t="s">
        <v>2550</v>
      </c>
      <c r="B804" t="s">
        <v>555</v>
      </c>
      <c r="C804">
        <v>32</v>
      </c>
      <c r="D804" t="s">
        <v>24</v>
      </c>
      <c r="E804" t="s">
        <v>131</v>
      </c>
      <c r="F804" t="s">
        <v>91</v>
      </c>
      <c r="G804" t="s">
        <v>199</v>
      </c>
      <c r="H804" t="s">
        <v>1541</v>
      </c>
      <c r="I804" t="s">
        <v>108</v>
      </c>
      <c r="J804" t="s">
        <v>30</v>
      </c>
      <c r="K804">
        <v>1</v>
      </c>
      <c r="L804">
        <v>47083</v>
      </c>
      <c r="M804">
        <v>5</v>
      </c>
      <c r="N804" t="s">
        <v>45</v>
      </c>
      <c r="O804" t="s">
        <v>46</v>
      </c>
      <c r="P804" t="s">
        <v>69</v>
      </c>
      <c r="Q804" t="s">
        <v>558</v>
      </c>
      <c r="S804">
        <v>3</v>
      </c>
      <c r="T804" t="s">
        <v>61</v>
      </c>
      <c r="U804">
        <v>323</v>
      </c>
      <c r="V804" t="s">
        <v>37</v>
      </c>
    </row>
    <row r="805" spans="1:22" x14ac:dyDescent="0.3">
      <c r="A805" t="s">
        <v>2551</v>
      </c>
      <c r="B805" t="s">
        <v>808</v>
      </c>
      <c r="C805">
        <v>59</v>
      </c>
      <c r="D805" t="s">
        <v>24</v>
      </c>
      <c r="E805" t="s">
        <v>131</v>
      </c>
      <c r="F805" t="s">
        <v>26</v>
      </c>
      <c r="G805" t="s">
        <v>2545</v>
      </c>
      <c r="H805" t="s">
        <v>1607</v>
      </c>
      <c r="I805" t="s">
        <v>77</v>
      </c>
      <c r="J805" t="s">
        <v>30</v>
      </c>
      <c r="K805">
        <v>5</v>
      </c>
      <c r="L805">
        <v>19431</v>
      </c>
      <c r="M805">
        <v>0</v>
      </c>
      <c r="N805" t="s">
        <v>56</v>
      </c>
      <c r="O805" t="s">
        <v>173</v>
      </c>
      <c r="P805" t="s">
        <v>69</v>
      </c>
      <c r="Q805" t="s">
        <v>191</v>
      </c>
      <c r="R805" t="s">
        <v>2552</v>
      </c>
      <c r="S805">
        <v>1</v>
      </c>
      <c r="T805" t="s">
        <v>61</v>
      </c>
      <c r="U805">
        <v>174</v>
      </c>
      <c r="V805" t="s">
        <v>62</v>
      </c>
    </row>
    <row r="806" spans="1:22" x14ac:dyDescent="0.3">
      <c r="A806" t="s">
        <v>2553</v>
      </c>
      <c r="B806" t="s">
        <v>702</v>
      </c>
      <c r="C806">
        <v>57</v>
      </c>
      <c r="D806" t="s">
        <v>24</v>
      </c>
      <c r="E806" t="s">
        <v>25</v>
      </c>
      <c r="F806" t="s">
        <v>65</v>
      </c>
      <c r="G806" t="s">
        <v>974</v>
      </c>
      <c r="H806" t="s">
        <v>1526</v>
      </c>
      <c r="I806" t="s">
        <v>93</v>
      </c>
      <c r="J806" t="s">
        <v>30</v>
      </c>
      <c r="K806">
        <v>5</v>
      </c>
      <c r="L806">
        <v>14978</v>
      </c>
      <c r="M806">
        <v>15</v>
      </c>
      <c r="N806" t="s">
        <v>166</v>
      </c>
      <c r="O806" t="s">
        <v>86</v>
      </c>
      <c r="P806" t="s">
        <v>33</v>
      </c>
      <c r="Q806" t="s">
        <v>916</v>
      </c>
      <c r="R806" t="s">
        <v>2554</v>
      </c>
      <c r="S806">
        <v>5</v>
      </c>
      <c r="T806" t="s">
        <v>96</v>
      </c>
      <c r="U806">
        <v>98</v>
      </c>
      <c r="V806" t="s">
        <v>37</v>
      </c>
    </row>
    <row r="807" spans="1:22" x14ac:dyDescent="0.3">
      <c r="A807" t="s">
        <v>2555</v>
      </c>
      <c r="B807" t="s">
        <v>476</v>
      </c>
      <c r="C807">
        <v>59</v>
      </c>
      <c r="D807" t="s">
        <v>24</v>
      </c>
      <c r="E807" t="s">
        <v>52</v>
      </c>
      <c r="F807" t="s">
        <v>26</v>
      </c>
      <c r="G807" t="s">
        <v>273</v>
      </c>
      <c r="H807" t="s">
        <v>951</v>
      </c>
      <c r="I807" t="s">
        <v>43</v>
      </c>
      <c r="J807" t="s">
        <v>30</v>
      </c>
      <c r="K807">
        <v>1</v>
      </c>
      <c r="L807">
        <v>51307</v>
      </c>
      <c r="M807">
        <v>5</v>
      </c>
      <c r="N807" t="s">
        <v>45</v>
      </c>
      <c r="O807" t="s">
        <v>173</v>
      </c>
      <c r="P807" t="s">
        <v>58</v>
      </c>
      <c r="Q807" t="s">
        <v>478</v>
      </c>
      <c r="R807" t="s">
        <v>2556</v>
      </c>
      <c r="S807">
        <v>1</v>
      </c>
      <c r="T807" t="s">
        <v>72</v>
      </c>
      <c r="U807">
        <v>398</v>
      </c>
      <c r="V807" t="s">
        <v>62</v>
      </c>
    </row>
    <row r="808" spans="1:22" x14ac:dyDescent="0.3">
      <c r="A808" t="s">
        <v>2557</v>
      </c>
      <c r="B808" t="s">
        <v>170</v>
      </c>
      <c r="C808">
        <v>23</v>
      </c>
      <c r="D808" t="s">
        <v>24</v>
      </c>
      <c r="E808" t="s">
        <v>142</v>
      </c>
      <c r="F808" t="s">
        <v>53</v>
      </c>
      <c r="G808" t="s">
        <v>2498</v>
      </c>
      <c r="H808" t="s">
        <v>2558</v>
      </c>
      <c r="I808" t="s">
        <v>29</v>
      </c>
      <c r="J808" t="s">
        <v>44</v>
      </c>
      <c r="L808">
        <v>37319</v>
      </c>
      <c r="M808">
        <v>10</v>
      </c>
      <c r="N808" t="s">
        <v>45</v>
      </c>
      <c r="O808" t="s">
        <v>109</v>
      </c>
      <c r="P808" t="s">
        <v>33</v>
      </c>
      <c r="Q808" t="s">
        <v>175</v>
      </c>
      <c r="R808" t="s">
        <v>2559</v>
      </c>
      <c r="S808">
        <v>1</v>
      </c>
      <c r="T808" t="s">
        <v>61</v>
      </c>
      <c r="U808">
        <v>471</v>
      </c>
      <c r="V808" t="s">
        <v>79</v>
      </c>
    </row>
    <row r="809" spans="1:22" x14ac:dyDescent="0.3">
      <c r="A809" t="s">
        <v>2560</v>
      </c>
      <c r="B809" t="s">
        <v>1118</v>
      </c>
      <c r="C809">
        <v>18</v>
      </c>
      <c r="D809" t="s">
        <v>51</v>
      </c>
      <c r="E809" t="s">
        <v>25</v>
      </c>
      <c r="F809" t="s">
        <v>82</v>
      </c>
      <c r="G809" t="s">
        <v>1942</v>
      </c>
      <c r="H809" t="s">
        <v>1943</v>
      </c>
      <c r="I809" t="s">
        <v>43</v>
      </c>
      <c r="J809" t="s">
        <v>30</v>
      </c>
      <c r="K809">
        <v>2</v>
      </c>
      <c r="L809">
        <v>57384</v>
      </c>
      <c r="M809">
        <v>5</v>
      </c>
      <c r="N809" t="s">
        <v>31</v>
      </c>
      <c r="O809" t="s">
        <v>32</v>
      </c>
      <c r="P809" t="s">
        <v>58</v>
      </c>
      <c r="Q809" t="s">
        <v>1120</v>
      </c>
      <c r="R809" t="s">
        <v>2561</v>
      </c>
      <c r="S809">
        <v>4</v>
      </c>
      <c r="T809" t="s">
        <v>61</v>
      </c>
      <c r="U809">
        <v>81</v>
      </c>
      <c r="V809" t="s">
        <v>62</v>
      </c>
    </row>
    <row r="810" spans="1:22" x14ac:dyDescent="0.3">
      <c r="A810" t="s">
        <v>2562</v>
      </c>
      <c r="B810" t="s">
        <v>498</v>
      </c>
      <c r="C810">
        <v>50</v>
      </c>
      <c r="D810" t="s">
        <v>51</v>
      </c>
      <c r="E810" t="s">
        <v>25</v>
      </c>
      <c r="F810" t="s">
        <v>65</v>
      </c>
      <c r="G810" t="s">
        <v>1910</v>
      </c>
      <c r="H810" t="s">
        <v>2106</v>
      </c>
      <c r="I810" t="s">
        <v>85</v>
      </c>
      <c r="J810" t="s">
        <v>44</v>
      </c>
      <c r="K810">
        <v>2</v>
      </c>
      <c r="L810">
        <v>71445</v>
      </c>
      <c r="M810">
        <v>10</v>
      </c>
      <c r="N810" t="s">
        <v>166</v>
      </c>
      <c r="O810" t="s">
        <v>32</v>
      </c>
      <c r="P810" t="s">
        <v>174</v>
      </c>
      <c r="Q810" t="s">
        <v>500</v>
      </c>
      <c r="R810" t="s">
        <v>2563</v>
      </c>
      <c r="S810">
        <v>3</v>
      </c>
      <c r="T810" t="s">
        <v>36</v>
      </c>
      <c r="U810">
        <v>116</v>
      </c>
      <c r="V810" t="s">
        <v>79</v>
      </c>
    </row>
    <row r="811" spans="1:22" x14ac:dyDescent="0.3">
      <c r="A811" t="s">
        <v>2564</v>
      </c>
      <c r="B811" t="s">
        <v>361</v>
      </c>
      <c r="C811">
        <v>45</v>
      </c>
      <c r="D811" t="s">
        <v>24</v>
      </c>
      <c r="E811" t="s">
        <v>131</v>
      </c>
      <c r="F811" t="s">
        <v>53</v>
      </c>
      <c r="G811" t="s">
        <v>696</v>
      </c>
      <c r="H811" t="s">
        <v>100</v>
      </c>
      <c r="I811" t="s">
        <v>43</v>
      </c>
      <c r="J811" t="s">
        <v>30</v>
      </c>
      <c r="K811">
        <v>2</v>
      </c>
      <c r="L811">
        <v>70157</v>
      </c>
      <c r="M811">
        <v>10</v>
      </c>
      <c r="N811" t="s">
        <v>56</v>
      </c>
      <c r="O811" t="s">
        <v>46</v>
      </c>
      <c r="P811" t="s">
        <v>33</v>
      </c>
      <c r="Q811" t="s">
        <v>364</v>
      </c>
      <c r="R811" t="s">
        <v>2565</v>
      </c>
      <c r="S811">
        <v>5</v>
      </c>
      <c r="T811" t="s">
        <v>61</v>
      </c>
      <c r="U811">
        <v>386</v>
      </c>
      <c r="V811" t="s">
        <v>62</v>
      </c>
    </row>
    <row r="812" spans="1:22" x14ac:dyDescent="0.3">
      <c r="A812" t="s">
        <v>2566</v>
      </c>
      <c r="B812" t="s">
        <v>424</v>
      </c>
      <c r="C812">
        <v>51</v>
      </c>
      <c r="D812" t="s">
        <v>51</v>
      </c>
      <c r="E812" t="s">
        <v>25</v>
      </c>
      <c r="F812" t="s">
        <v>82</v>
      </c>
      <c r="G812" t="s">
        <v>1198</v>
      </c>
      <c r="H812" t="s">
        <v>1711</v>
      </c>
      <c r="I812" t="s">
        <v>93</v>
      </c>
      <c r="J812" t="s">
        <v>44</v>
      </c>
      <c r="K812">
        <v>3</v>
      </c>
      <c r="L812">
        <v>67680</v>
      </c>
      <c r="M812">
        <v>10</v>
      </c>
      <c r="N812" t="s">
        <v>56</v>
      </c>
      <c r="O812" t="s">
        <v>109</v>
      </c>
      <c r="P812" t="s">
        <v>58</v>
      </c>
      <c r="Q812" t="s">
        <v>427</v>
      </c>
      <c r="R812" t="s">
        <v>2567</v>
      </c>
      <c r="S812">
        <v>5</v>
      </c>
      <c r="T812" t="s">
        <v>61</v>
      </c>
      <c r="U812">
        <v>305</v>
      </c>
      <c r="V812" t="s">
        <v>62</v>
      </c>
    </row>
    <row r="813" spans="1:22" x14ac:dyDescent="0.3">
      <c r="A813" t="s">
        <v>2568</v>
      </c>
      <c r="B813" t="s">
        <v>119</v>
      </c>
      <c r="C813">
        <v>52</v>
      </c>
      <c r="D813" t="s">
        <v>51</v>
      </c>
      <c r="E813" t="s">
        <v>25</v>
      </c>
      <c r="F813" t="s">
        <v>26</v>
      </c>
      <c r="G813" t="s">
        <v>2569</v>
      </c>
      <c r="H813" t="s">
        <v>2071</v>
      </c>
      <c r="I813" t="s">
        <v>108</v>
      </c>
      <c r="J813" t="s">
        <v>44</v>
      </c>
      <c r="K813">
        <v>5</v>
      </c>
      <c r="L813">
        <v>40339</v>
      </c>
      <c r="M813">
        <v>10</v>
      </c>
      <c r="N813" t="s">
        <v>31</v>
      </c>
      <c r="O813" t="s">
        <v>46</v>
      </c>
      <c r="P813" t="s">
        <v>58</v>
      </c>
      <c r="Q813" t="s">
        <v>122</v>
      </c>
      <c r="R813" t="s">
        <v>2570</v>
      </c>
      <c r="S813">
        <v>4</v>
      </c>
      <c r="T813" t="s">
        <v>72</v>
      </c>
      <c r="U813">
        <v>125</v>
      </c>
      <c r="V813" t="s">
        <v>37</v>
      </c>
    </row>
    <row r="814" spans="1:22" x14ac:dyDescent="0.3">
      <c r="A814" t="s">
        <v>2571</v>
      </c>
      <c r="B814" t="s">
        <v>2572</v>
      </c>
      <c r="C814">
        <v>47</v>
      </c>
      <c r="D814" t="s">
        <v>24</v>
      </c>
      <c r="E814" t="s">
        <v>229</v>
      </c>
      <c r="F814" t="s">
        <v>65</v>
      </c>
      <c r="G814" t="s">
        <v>2384</v>
      </c>
      <c r="H814" t="s">
        <v>2573</v>
      </c>
      <c r="I814" t="s">
        <v>93</v>
      </c>
      <c r="J814" t="s">
        <v>44</v>
      </c>
      <c r="K814">
        <v>5</v>
      </c>
      <c r="L814">
        <v>71406</v>
      </c>
      <c r="M814">
        <v>10</v>
      </c>
      <c r="N814" t="s">
        <v>45</v>
      </c>
      <c r="O814" t="s">
        <v>46</v>
      </c>
      <c r="P814" t="s">
        <v>174</v>
      </c>
      <c r="Q814" t="s">
        <v>400</v>
      </c>
      <c r="S814">
        <v>2</v>
      </c>
      <c r="T814" t="s">
        <v>72</v>
      </c>
      <c r="U814">
        <v>80</v>
      </c>
      <c r="V814" t="s">
        <v>79</v>
      </c>
    </row>
    <row r="815" spans="1:22" x14ac:dyDescent="0.3">
      <c r="A815" t="s">
        <v>2574</v>
      </c>
      <c r="B815" t="s">
        <v>484</v>
      </c>
      <c r="C815">
        <v>53</v>
      </c>
      <c r="D815" t="s">
        <v>163</v>
      </c>
      <c r="E815" t="s">
        <v>142</v>
      </c>
      <c r="F815" t="s">
        <v>91</v>
      </c>
      <c r="G815" t="s">
        <v>1076</v>
      </c>
      <c r="H815" t="s">
        <v>1489</v>
      </c>
      <c r="I815" t="s">
        <v>85</v>
      </c>
      <c r="J815" t="s">
        <v>44</v>
      </c>
      <c r="K815">
        <v>3</v>
      </c>
      <c r="L815">
        <v>35576</v>
      </c>
      <c r="M815">
        <v>5</v>
      </c>
      <c r="N815" t="s">
        <v>166</v>
      </c>
      <c r="O815" t="s">
        <v>86</v>
      </c>
      <c r="P815" t="s">
        <v>58</v>
      </c>
      <c r="Q815" t="s">
        <v>487</v>
      </c>
      <c r="R815" t="s">
        <v>2575</v>
      </c>
      <c r="S815">
        <v>5</v>
      </c>
      <c r="T815" t="s">
        <v>96</v>
      </c>
      <c r="U815">
        <v>417</v>
      </c>
      <c r="V815" t="s">
        <v>79</v>
      </c>
    </row>
    <row r="816" spans="1:22" x14ac:dyDescent="0.3">
      <c r="A816" t="s">
        <v>2576</v>
      </c>
      <c r="B816" t="s">
        <v>125</v>
      </c>
      <c r="C816">
        <v>40</v>
      </c>
      <c r="D816" t="s">
        <v>51</v>
      </c>
      <c r="E816" t="s">
        <v>99</v>
      </c>
      <c r="F816" t="s">
        <v>53</v>
      </c>
      <c r="G816" t="s">
        <v>2577</v>
      </c>
      <c r="H816" t="s">
        <v>179</v>
      </c>
      <c r="I816" t="s">
        <v>85</v>
      </c>
      <c r="J816" t="s">
        <v>30</v>
      </c>
      <c r="K816">
        <v>5</v>
      </c>
      <c r="L816">
        <v>58498</v>
      </c>
      <c r="M816">
        <v>0</v>
      </c>
      <c r="N816" t="s">
        <v>166</v>
      </c>
      <c r="O816" t="s">
        <v>68</v>
      </c>
      <c r="P816" t="s">
        <v>69</v>
      </c>
      <c r="R816" t="s">
        <v>2578</v>
      </c>
      <c r="S816">
        <v>5</v>
      </c>
      <c r="T816" t="s">
        <v>72</v>
      </c>
      <c r="U816">
        <v>132</v>
      </c>
      <c r="V816" t="s">
        <v>37</v>
      </c>
    </row>
    <row r="817" spans="1:22" x14ac:dyDescent="0.3">
      <c r="A817" t="s">
        <v>2579</v>
      </c>
      <c r="B817" t="s">
        <v>547</v>
      </c>
      <c r="C817">
        <v>33</v>
      </c>
      <c r="D817" t="s">
        <v>24</v>
      </c>
      <c r="E817" t="s">
        <v>131</v>
      </c>
      <c r="F817" t="s">
        <v>26</v>
      </c>
      <c r="G817" t="s">
        <v>1087</v>
      </c>
      <c r="H817" t="s">
        <v>2580</v>
      </c>
      <c r="I817" t="s">
        <v>93</v>
      </c>
      <c r="J817" t="s">
        <v>44</v>
      </c>
      <c r="K817">
        <v>3</v>
      </c>
      <c r="L817">
        <v>30839</v>
      </c>
      <c r="M817">
        <v>0</v>
      </c>
      <c r="N817" t="s">
        <v>56</v>
      </c>
      <c r="O817" t="s">
        <v>46</v>
      </c>
      <c r="P817" t="s">
        <v>33</v>
      </c>
      <c r="Q817" t="s">
        <v>549</v>
      </c>
      <c r="R817" t="s">
        <v>2581</v>
      </c>
      <c r="S817">
        <v>5</v>
      </c>
      <c r="T817" t="s">
        <v>96</v>
      </c>
      <c r="U817">
        <v>88</v>
      </c>
      <c r="V817" t="s">
        <v>79</v>
      </c>
    </row>
    <row r="818" spans="1:22" x14ac:dyDescent="0.3">
      <c r="A818" t="s">
        <v>2582</v>
      </c>
      <c r="B818" t="s">
        <v>136</v>
      </c>
      <c r="C818">
        <v>60</v>
      </c>
      <c r="D818" t="s">
        <v>51</v>
      </c>
      <c r="E818" t="s">
        <v>52</v>
      </c>
      <c r="F818" t="s">
        <v>82</v>
      </c>
      <c r="G818" t="s">
        <v>2583</v>
      </c>
      <c r="H818" t="s">
        <v>1804</v>
      </c>
      <c r="I818" t="s">
        <v>43</v>
      </c>
      <c r="J818" t="s">
        <v>44</v>
      </c>
      <c r="K818">
        <v>3</v>
      </c>
      <c r="L818">
        <v>28698</v>
      </c>
      <c r="M818">
        <v>15</v>
      </c>
      <c r="N818" t="s">
        <v>31</v>
      </c>
      <c r="O818" t="s">
        <v>173</v>
      </c>
      <c r="P818" t="s">
        <v>69</v>
      </c>
      <c r="Q818" t="s">
        <v>269</v>
      </c>
      <c r="R818" t="s">
        <v>2584</v>
      </c>
      <c r="S818">
        <v>3</v>
      </c>
      <c r="T818" t="s">
        <v>61</v>
      </c>
      <c r="U818">
        <v>233</v>
      </c>
      <c r="V818" t="s">
        <v>79</v>
      </c>
    </row>
    <row r="819" spans="1:22" x14ac:dyDescent="0.3">
      <c r="A819" t="s">
        <v>2585</v>
      </c>
      <c r="B819" t="s">
        <v>228</v>
      </c>
      <c r="C819">
        <v>44</v>
      </c>
      <c r="D819" t="s">
        <v>51</v>
      </c>
      <c r="E819" t="s">
        <v>25</v>
      </c>
      <c r="F819" t="s">
        <v>65</v>
      </c>
      <c r="G819" t="s">
        <v>2482</v>
      </c>
      <c r="H819" t="s">
        <v>172</v>
      </c>
      <c r="I819" t="s">
        <v>43</v>
      </c>
      <c r="J819" t="s">
        <v>44</v>
      </c>
      <c r="K819">
        <v>4</v>
      </c>
      <c r="L819">
        <v>9115</v>
      </c>
      <c r="M819">
        <v>0</v>
      </c>
      <c r="N819" t="s">
        <v>31</v>
      </c>
      <c r="O819" t="s">
        <v>133</v>
      </c>
      <c r="P819" t="s">
        <v>69</v>
      </c>
      <c r="Q819" t="s">
        <v>232</v>
      </c>
      <c r="R819" t="s">
        <v>2586</v>
      </c>
      <c r="S819">
        <v>1</v>
      </c>
      <c r="T819" t="s">
        <v>96</v>
      </c>
      <c r="U819">
        <v>492</v>
      </c>
      <c r="V819" t="s">
        <v>79</v>
      </c>
    </row>
    <row r="820" spans="1:22" x14ac:dyDescent="0.3">
      <c r="A820" t="s">
        <v>2587</v>
      </c>
      <c r="B820" t="s">
        <v>74</v>
      </c>
      <c r="C820">
        <v>24</v>
      </c>
      <c r="D820" t="s">
        <v>24</v>
      </c>
      <c r="E820" t="s">
        <v>229</v>
      </c>
      <c r="F820" t="s">
        <v>53</v>
      </c>
      <c r="G820" t="s">
        <v>1047</v>
      </c>
      <c r="H820" t="s">
        <v>146</v>
      </c>
      <c r="I820" t="s">
        <v>43</v>
      </c>
      <c r="J820" t="s">
        <v>30</v>
      </c>
      <c r="K820">
        <v>2</v>
      </c>
      <c r="L820">
        <v>29037</v>
      </c>
      <c r="M820">
        <v>10</v>
      </c>
      <c r="N820" t="s">
        <v>45</v>
      </c>
      <c r="O820" t="s">
        <v>133</v>
      </c>
      <c r="P820" t="s">
        <v>33</v>
      </c>
      <c r="Q820" t="s">
        <v>78</v>
      </c>
      <c r="S820">
        <v>2</v>
      </c>
      <c r="T820" t="s">
        <v>96</v>
      </c>
      <c r="U820">
        <v>105</v>
      </c>
      <c r="V820" t="s">
        <v>62</v>
      </c>
    </row>
    <row r="821" spans="1:22" x14ac:dyDescent="0.3">
      <c r="A821" t="s">
        <v>2588</v>
      </c>
      <c r="B821" t="s">
        <v>1396</v>
      </c>
      <c r="C821">
        <v>59</v>
      </c>
      <c r="D821" t="s">
        <v>24</v>
      </c>
      <c r="E821" t="s">
        <v>25</v>
      </c>
      <c r="F821" t="s">
        <v>91</v>
      </c>
      <c r="G821" t="s">
        <v>1010</v>
      </c>
      <c r="H821" t="s">
        <v>1104</v>
      </c>
      <c r="I821" t="s">
        <v>29</v>
      </c>
      <c r="J821" t="s">
        <v>30</v>
      </c>
      <c r="K821">
        <v>3</v>
      </c>
      <c r="L821">
        <v>29923</v>
      </c>
      <c r="M821">
        <v>15</v>
      </c>
      <c r="N821" t="s">
        <v>56</v>
      </c>
      <c r="O821" t="s">
        <v>109</v>
      </c>
      <c r="P821" t="s">
        <v>69</v>
      </c>
      <c r="Q821" t="s">
        <v>1397</v>
      </c>
      <c r="R821" t="s">
        <v>2589</v>
      </c>
      <c r="S821">
        <v>1</v>
      </c>
      <c r="T821" t="s">
        <v>36</v>
      </c>
      <c r="U821">
        <v>200</v>
      </c>
      <c r="V821" t="s">
        <v>37</v>
      </c>
    </row>
    <row r="822" spans="1:22" x14ac:dyDescent="0.3">
      <c r="A822" t="s">
        <v>2590</v>
      </c>
      <c r="B822" t="s">
        <v>471</v>
      </c>
      <c r="C822">
        <v>49</v>
      </c>
      <c r="D822" t="s">
        <v>51</v>
      </c>
      <c r="E822" t="s">
        <v>52</v>
      </c>
      <c r="F822" t="s">
        <v>82</v>
      </c>
      <c r="G822" t="s">
        <v>2591</v>
      </c>
      <c r="H822" t="s">
        <v>1326</v>
      </c>
      <c r="I822" t="s">
        <v>108</v>
      </c>
      <c r="J822" t="s">
        <v>44</v>
      </c>
      <c r="K822">
        <v>2</v>
      </c>
      <c r="L822">
        <v>47908</v>
      </c>
      <c r="M822">
        <v>0</v>
      </c>
      <c r="N822" t="s">
        <v>31</v>
      </c>
      <c r="O822" t="s">
        <v>109</v>
      </c>
      <c r="P822" t="s">
        <v>69</v>
      </c>
      <c r="Q822" t="s">
        <v>495</v>
      </c>
      <c r="R822" t="s">
        <v>2592</v>
      </c>
      <c r="S822">
        <v>5</v>
      </c>
      <c r="T822" t="s">
        <v>61</v>
      </c>
      <c r="U822">
        <v>246</v>
      </c>
      <c r="V822" t="s">
        <v>37</v>
      </c>
    </row>
    <row r="823" spans="1:22" x14ac:dyDescent="0.3">
      <c r="A823" t="s">
        <v>2593</v>
      </c>
      <c r="B823" t="s">
        <v>650</v>
      </c>
      <c r="C823">
        <v>24</v>
      </c>
      <c r="D823" t="s">
        <v>51</v>
      </c>
      <c r="E823" t="s">
        <v>229</v>
      </c>
      <c r="F823" t="s">
        <v>53</v>
      </c>
      <c r="G823" t="s">
        <v>815</v>
      </c>
      <c r="H823" t="s">
        <v>816</v>
      </c>
      <c r="I823" t="s">
        <v>85</v>
      </c>
      <c r="J823" t="s">
        <v>44</v>
      </c>
      <c r="K823">
        <v>2</v>
      </c>
      <c r="M823">
        <v>0</v>
      </c>
      <c r="N823" t="s">
        <v>56</v>
      </c>
      <c r="O823" t="s">
        <v>133</v>
      </c>
      <c r="P823" t="s">
        <v>58</v>
      </c>
      <c r="Q823" t="s">
        <v>653</v>
      </c>
      <c r="R823" t="s">
        <v>2594</v>
      </c>
      <c r="S823">
        <v>1</v>
      </c>
      <c r="T823" t="s">
        <v>61</v>
      </c>
      <c r="U823">
        <v>370</v>
      </c>
      <c r="V823" t="s">
        <v>37</v>
      </c>
    </row>
    <row r="824" spans="1:22" x14ac:dyDescent="0.3">
      <c r="A824" t="s">
        <v>2595</v>
      </c>
      <c r="B824" t="s">
        <v>1008</v>
      </c>
      <c r="C824">
        <v>24</v>
      </c>
      <c r="D824" t="s">
        <v>24</v>
      </c>
      <c r="E824" t="s">
        <v>40</v>
      </c>
      <c r="F824" t="s">
        <v>91</v>
      </c>
      <c r="G824" t="s">
        <v>666</v>
      </c>
      <c r="H824" t="s">
        <v>1217</v>
      </c>
      <c r="I824" t="s">
        <v>108</v>
      </c>
      <c r="J824" t="s">
        <v>44</v>
      </c>
      <c r="L824">
        <v>25984</v>
      </c>
      <c r="M824">
        <v>0</v>
      </c>
      <c r="N824" t="s">
        <v>166</v>
      </c>
      <c r="O824" t="s">
        <v>32</v>
      </c>
      <c r="P824" t="s">
        <v>174</v>
      </c>
      <c r="Q824" t="s">
        <v>1011</v>
      </c>
      <c r="R824" t="s">
        <v>2596</v>
      </c>
      <c r="S824">
        <v>5</v>
      </c>
      <c r="T824" t="s">
        <v>61</v>
      </c>
      <c r="U824">
        <v>213</v>
      </c>
      <c r="V824" t="s">
        <v>79</v>
      </c>
    </row>
    <row r="825" spans="1:22" x14ac:dyDescent="0.3">
      <c r="A825" t="s">
        <v>2597</v>
      </c>
      <c r="B825" t="s">
        <v>2598</v>
      </c>
      <c r="C825">
        <v>43</v>
      </c>
      <c r="D825" t="s">
        <v>163</v>
      </c>
      <c r="E825" t="s">
        <v>99</v>
      </c>
      <c r="F825" t="s">
        <v>82</v>
      </c>
      <c r="G825" t="s">
        <v>905</v>
      </c>
      <c r="H825" t="s">
        <v>92</v>
      </c>
      <c r="I825" t="s">
        <v>85</v>
      </c>
      <c r="J825" t="s">
        <v>30</v>
      </c>
      <c r="K825">
        <v>1</v>
      </c>
      <c r="L825">
        <v>65810</v>
      </c>
      <c r="M825">
        <v>0</v>
      </c>
      <c r="N825" t="s">
        <v>166</v>
      </c>
      <c r="O825" t="s">
        <v>46</v>
      </c>
      <c r="P825" t="s">
        <v>58</v>
      </c>
      <c r="Q825" t="s">
        <v>47</v>
      </c>
      <c r="R825" t="s">
        <v>2599</v>
      </c>
      <c r="S825">
        <v>3</v>
      </c>
      <c r="T825" t="s">
        <v>61</v>
      </c>
      <c r="U825">
        <v>241</v>
      </c>
      <c r="V825" t="s">
        <v>62</v>
      </c>
    </row>
    <row r="826" spans="1:22" x14ac:dyDescent="0.3">
      <c r="A826" t="s">
        <v>2600</v>
      </c>
      <c r="B826" t="s">
        <v>617</v>
      </c>
      <c r="C826">
        <v>45</v>
      </c>
      <c r="D826" t="s">
        <v>51</v>
      </c>
      <c r="E826" t="s">
        <v>25</v>
      </c>
      <c r="F826" t="s">
        <v>91</v>
      </c>
      <c r="G826" t="s">
        <v>1410</v>
      </c>
      <c r="H826" t="s">
        <v>205</v>
      </c>
      <c r="I826" t="s">
        <v>29</v>
      </c>
      <c r="J826" t="s">
        <v>44</v>
      </c>
      <c r="K826">
        <v>5</v>
      </c>
      <c r="L826">
        <v>74544</v>
      </c>
      <c r="M826">
        <v>15</v>
      </c>
      <c r="N826" t="s">
        <v>45</v>
      </c>
      <c r="O826" t="s">
        <v>57</v>
      </c>
      <c r="P826" t="s">
        <v>33</v>
      </c>
      <c r="Q826" t="s">
        <v>620</v>
      </c>
      <c r="S826">
        <v>5</v>
      </c>
      <c r="T826" t="s">
        <v>96</v>
      </c>
      <c r="U826">
        <v>290</v>
      </c>
      <c r="V826" t="s">
        <v>62</v>
      </c>
    </row>
    <row r="827" spans="1:22" x14ac:dyDescent="0.3">
      <c r="A827" t="s">
        <v>2601</v>
      </c>
      <c r="B827" t="s">
        <v>689</v>
      </c>
      <c r="C827">
        <v>40</v>
      </c>
      <c r="D827" t="s">
        <v>51</v>
      </c>
      <c r="E827" t="s">
        <v>52</v>
      </c>
      <c r="F827" t="s">
        <v>26</v>
      </c>
      <c r="G827" t="s">
        <v>1430</v>
      </c>
      <c r="H827" t="s">
        <v>791</v>
      </c>
      <c r="I827" t="s">
        <v>85</v>
      </c>
      <c r="J827" t="s">
        <v>30</v>
      </c>
      <c r="K827">
        <v>4</v>
      </c>
      <c r="L827">
        <v>38457</v>
      </c>
      <c r="M827">
        <v>5</v>
      </c>
      <c r="N827" t="s">
        <v>56</v>
      </c>
      <c r="O827" t="s">
        <v>281</v>
      </c>
      <c r="P827" t="s">
        <v>33</v>
      </c>
      <c r="R827" t="s">
        <v>2602</v>
      </c>
      <c r="S827">
        <v>2</v>
      </c>
      <c r="T827" t="s">
        <v>61</v>
      </c>
      <c r="U827">
        <v>418</v>
      </c>
      <c r="V827" t="s">
        <v>79</v>
      </c>
    </row>
    <row r="828" spans="1:22" x14ac:dyDescent="0.3">
      <c r="A828" t="s">
        <v>2603</v>
      </c>
      <c r="B828" t="s">
        <v>216</v>
      </c>
      <c r="C828">
        <v>46</v>
      </c>
      <c r="D828" t="s">
        <v>51</v>
      </c>
      <c r="E828" t="s">
        <v>40</v>
      </c>
      <c r="F828" t="s">
        <v>82</v>
      </c>
      <c r="G828" t="s">
        <v>2163</v>
      </c>
      <c r="H828" t="s">
        <v>542</v>
      </c>
      <c r="I828" t="s">
        <v>93</v>
      </c>
      <c r="J828" t="s">
        <v>30</v>
      </c>
      <c r="K828">
        <v>3</v>
      </c>
      <c r="L828">
        <v>20163</v>
      </c>
      <c r="M828">
        <v>15</v>
      </c>
      <c r="N828" t="s">
        <v>45</v>
      </c>
      <c r="O828" t="s">
        <v>109</v>
      </c>
      <c r="P828" t="s">
        <v>58</v>
      </c>
      <c r="Q828" t="s">
        <v>219</v>
      </c>
      <c r="R828" t="s">
        <v>2604</v>
      </c>
      <c r="S828">
        <v>5</v>
      </c>
      <c r="T828" t="s">
        <v>61</v>
      </c>
      <c r="U828">
        <v>436</v>
      </c>
      <c r="V828" t="s">
        <v>37</v>
      </c>
    </row>
    <row r="829" spans="1:22" x14ac:dyDescent="0.3">
      <c r="A829" t="s">
        <v>2605</v>
      </c>
      <c r="B829" t="s">
        <v>1008</v>
      </c>
      <c r="C829">
        <v>41</v>
      </c>
      <c r="D829" t="s">
        <v>51</v>
      </c>
      <c r="E829" t="s">
        <v>26</v>
      </c>
      <c r="F829" t="s">
        <v>82</v>
      </c>
      <c r="G829" t="s">
        <v>274</v>
      </c>
      <c r="H829" t="s">
        <v>723</v>
      </c>
      <c r="I829" t="s">
        <v>29</v>
      </c>
      <c r="J829" t="s">
        <v>30</v>
      </c>
      <c r="K829">
        <v>1</v>
      </c>
      <c r="L829">
        <v>40134</v>
      </c>
      <c r="M829">
        <v>5</v>
      </c>
      <c r="N829" t="s">
        <v>56</v>
      </c>
      <c r="O829" t="s">
        <v>86</v>
      </c>
      <c r="P829" t="s">
        <v>58</v>
      </c>
      <c r="Q829" t="s">
        <v>1011</v>
      </c>
      <c r="R829" t="s">
        <v>2606</v>
      </c>
      <c r="S829">
        <v>1</v>
      </c>
      <c r="T829" t="s">
        <v>96</v>
      </c>
      <c r="U829">
        <v>335</v>
      </c>
      <c r="V829" t="s">
        <v>79</v>
      </c>
    </row>
    <row r="830" spans="1:22" x14ac:dyDescent="0.3">
      <c r="A830" t="s">
        <v>2607</v>
      </c>
      <c r="B830" t="s">
        <v>136</v>
      </c>
      <c r="C830">
        <v>40</v>
      </c>
      <c r="D830" t="s">
        <v>24</v>
      </c>
      <c r="E830" t="s">
        <v>131</v>
      </c>
      <c r="F830" t="s">
        <v>91</v>
      </c>
      <c r="G830" t="s">
        <v>1674</v>
      </c>
      <c r="H830" t="s">
        <v>2608</v>
      </c>
      <c r="I830" t="s">
        <v>29</v>
      </c>
      <c r="J830" t="s">
        <v>30</v>
      </c>
      <c r="K830">
        <v>2</v>
      </c>
      <c r="L830">
        <v>38584</v>
      </c>
      <c r="M830">
        <v>0</v>
      </c>
      <c r="N830" t="s">
        <v>56</v>
      </c>
      <c r="O830" t="s">
        <v>173</v>
      </c>
      <c r="P830" t="s">
        <v>33</v>
      </c>
      <c r="Q830" t="s">
        <v>269</v>
      </c>
      <c r="R830" t="s">
        <v>2609</v>
      </c>
      <c r="S830">
        <v>1</v>
      </c>
      <c r="T830" t="s">
        <v>72</v>
      </c>
      <c r="U830">
        <v>187</v>
      </c>
      <c r="V830" t="s">
        <v>62</v>
      </c>
    </row>
    <row r="831" spans="1:22" x14ac:dyDescent="0.3">
      <c r="A831" t="s">
        <v>2610</v>
      </c>
      <c r="B831" t="s">
        <v>702</v>
      </c>
      <c r="C831">
        <v>40</v>
      </c>
      <c r="D831" t="s">
        <v>51</v>
      </c>
      <c r="E831" t="s">
        <v>99</v>
      </c>
      <c r="F831" t="s">
        <v>26</v>
      </c>
      <c r="G831" t="s">
        <v>184</v>
      </c>
      <c r="H831" t="s">
        <v>1110</v>
      </c>
      <c r="I831" t="s">
        <v>43</v>
      </c>
      <c r="J831" t="s">
        <v>44</v>
      </c>
      <c r="K831">
        <v>5</v>
      </c>
      <c r="L831">
        <v>54533</v>
      </c>
      <c r="M831">
        <v>0</v>
      </c>
      <c r="N831" t="s">
        <v>45</v>
      </c>
      <c r="O831" t="s">
        <v>133</v>
      </c>
      <c r="P831" t="s">
        <v>69</v>
      </c>
      <c r="Q831" t="s">
        <v>916</v>
      </c>
      <c r="S831">
        <v>1</v>
      </c>
      <c r="T831" t="s">
        <v>72</v>
      </c>
      <c r="U831">
        <v>240</v>
      </c>
      <c r="V831" t="s">
        <v>37</v>
      </c>
    </row>
    <row r="832" spans="1:22" x14ac:dyDescent="0.3">
      <c r="A832" t="s">
        <v>2611</v>
      </c>
      <c r="B832" t="s">
        <v>1396</v>
      </c>
      <c r="C832">
        <v>52</v>
      </c>
      <c r="D832" t="s">
        <v>24</v>
      </c>
      <c r="E832" t="s">
        <v>25</v>
      </c>
      <c r="F832" t="s">
        <v>91</v>
      </c>
      <c r="G832" t="s">
        <v>686</v>
      </c>
      <c r="H832" t="s">
        <v>2612</v>
      </c>
      <c r="I832" t="s">
        <v>108</v>
      </c>
      <c r="J832" t="s">
        <v>44</v>
      </c>
      <c r="K832">
        <v>5</v>
      </c>
      <c r="L832">
        <v>74917</v>
      </c>
      <c r="M832">
        <v>5</v>
      </c>
      <c r="N832" t="s">
        <v>31</v>
      </c>
      <c r="O832" t="s">
        <v>173</v>
      </c>
      <c r="P832" t="s">
        <v>58</v>
      </c>
      <c r="Q832" t="s">
        <v>1397</v>
      </c>
      <c r="R832" t="s">
        <v>2613</v>
      </c>
      <c r="S832">
        <v>3</v>
      </c>
      <c r="T832" t="s">
        <v>61</v>
      </c>
      <c r="U832">
        <v>312</v>
      </c>
      <c r="V832" t="s">
        <v>37</v>
      </c>
    </row>
    <row r="833" spans="1:22" x14ac:dyDescent="0.3">
      <c r="A833" t="s">
        <v>2614</v>
      </c>
      <c r="B833" t="s">
        <v>461</v>
      </c>
      <c r="C833">
        <v>57</v>
      </c>
      <c r="D833" t="s">
        <v>24</v>
      </c>
      <c r="E833" t="s">
        <v>142</v>
      </c>
      <c r="F833" t="s">
        <v>65</v>
      </c>
      <c r="G833" t="s">
        <v>2057</v>
      </c>
      <c r="H833" t="s">
        <v>824</v>
      </c>
      <c r="I833" t="s">
        <v>43</v>
      </c>
      <c r="J833" t="s">
        <v>44</v>
      </c>
      <c r="K833">
        <v>3</v>
      </c>
      <c r="L833">
        <v>66617</v>
      </c>
      <c r="M833">
        <v>10</v>
      </c>
      <c r="N833" t="s">
        <v>166</v>
      </c>
      <c r="O833" t="s">
        <v>102</v>
      </c>
      <c r="P833" t="s">
        <v>58</v>
      </c>
      <c r="Q833" t="s">
        <v>563</v>
      </c>
      <c r="R833" t="s">
        <v>2615</v>
      </c>
      <c r="S833">
        <v>3</v>
      </c>
      <c r="T833" t="s">
        <v>72</v>
      </c>
      <c r="U833">
        <v>365</v>
      </c>
      <c r="V833" t="s">
        <v>79</v>
      </c>
    </row>
    <row r="834" spans="1:22" x14ac:dyDescent="0.3">
      <c r="A834" t="s">
        <v>2616</v>
      </c>
      <c r="B834" t="s">
        <v>1616</v>
      </c>
      <c r="C834">
        <v>57</v>
      </c>
      <c r="D834" t="s">
        <v>163</v>
      </c>
      <c r="E834" t="s">
        <v>40</v>
      </c>
      <c r="F834" t="s">
        <v>91</v>
      </c>
      <c r="G834" t="s">
        <v>2617</v>
      </c>
      <c r="H834" t="s">
        <v>523</v>
      </c>
      <c r="I834" t="s">
        <v>29</v>
      </c>
      <c r="J834" t="s">
        <v>44</v>
      </c>
      <c r="K834">
        <v>1</v>
      </c>
      <c r="L834">
        <v>78036</v>
      </c>
      <c r="M834">
        <v>15</v>
      </c>
      <c r="N834" t="s">
        <v>45</v>
      </c>
      <c r="O834" t="s">
        <v>46</v>
      </c>
      <c r="P834" t="s">
        <v>33</v>
      </c>
      <c r="Q834" t="s">
        <v>116</v>
      </c>
      <c r="R834" t="s">
        <v>2618</v>
      </c>
      <c r="S834">
        <v>4</v>
      </c>
      <c r="T834" t="s">
        <v>36</v>
      </c>
      <c r="U834">
        <v>214</v>
      </c>
      <c r="V834" t="s">
        <v>37</v>
      </c>
    </row>
    <row r="835" spans="1:22" x14ac:dyDescent="0.3">
      <c r="A835" t="s">
        <v>2619</v>
      </c>
      <c r="B835" t="s">
        <v>946</v>
      </c>
      <c r="C835">
        <v>53</v>
      </c>
      <c r="D835" t="s">
        <v>51</v>
      </c>
      <c r="E835" t="s">
        <v>99</v>
      </c>
      <c r="F835" t="s">
        <v>82</v>
      </c>
      <c r="G835" t="s">
        <v>1066</v>
      </c>
      <c r="H835" t="s">
        <v>2274</v>
      </c>
      <c r="I835" t="s">
        <v>93</v>
      </c>
      <c r="J835" t="s">
        <v>30</v>
      </c>
      <c r="K835">
        <v>2</v>
      </c>
      <c r="L835">
        <v>64597</v>
      </c>
      <c r="M835">
        <v>15</v>
      </c>
      <c r="N835" t="s">
        <v>31</v>
      </c>
      <c r="O835" t="s">
        <v>57</v>
      </c>
      <c r="P835" t="s">
        <v>58</v>
      </c>
      <c r="Q835" t="s">
        <v>983</v>
      </c>
      <c r="R835" t="s">
        <v>2620</v>
      </c>
      <c r="S835">
        <v>2</v>
      </c>
      <c r="T835" t="s">
        <v>72</v>
      </c>
      <c r="U835">
        <v>480</v>
      </c>
      <c r="V835" t="s">
        <v>79</v>
      </c>
    </row>
    <row r="836" spans="1:22" x14ac:dyDescent="0.3">
      <c r="A836" t="s">
        <v>2621</v>
      </c>
      <c r="B836" t="s">
        <v>707</v>
      </c>
      <c r="C836">
        <v>56</v>
      </c>
      <c r="D836" t="s">
        <v>24</v>
      </c>
      <c r="E836" t="s">
        <v>40</v>
      </c>
      <c r="F836" t="s">
        <v>65</v>
      </c>
      <c r="G836" t="s">
        <v>27</v>
      </c>
      <c r="H836" t="s">
        <v>298</v>
      </c>
      <c r="I836" t="s">
        <v>29</v>
      </c>
      <c r="J836" t="s">
        <v>44</v>
      </c>
      <c r="K836">
        <v>4</v>
      </c>
      <c r="L836">
        <v>21376</v>
      </c>
      <c r="M836">
        <v>5</v>
      </c>
      <c r="N836" t="s">
        <v>31</v>
      </c>
      <c r="O836" t="s">
        <v>102</v>
      </c>
      <c r="P836" t="s">
        <v>33</v>
      </c>
      <c r="R836" t="s">
        <v>2622</v>
      </c>
      <c r="S836">
        <v>5</v>
      </c>
      <c r="T836" t="s">
        <v>36</v>
      </c>
      <c r="U836">
        <v>161</v>
      </c>
      <c r="V836" t="s">
        <v>79</v>
      </c>
    </row>
    <row r="837" spans="1:22" x14ac:dyDescent="0.3">
      <c r="A837" t="s">
        <v>2623</v>
      </c>
      <c r="B837" t="s">
        <v>204</v>
      </c>
      <c r="C837">
        <v>42</v>
      </c>
      <c r="D837" t="s">
        <v>24</v>
      </c>
      <c r="E837" t="s">
        <v>25</v>
      </c>
      <c r="F837" t="s">
        <v>26</v>
      </c>
      <c r="G837" t="s">
        <v>2624</v>
      </c>
      <c r="H837" t="s">
        <v>1960</v>
      </c>
      <c r="I837" t="s">
        <v>108</v>
      </c>
      <c r="J837" t="s">
        <v>44</v>
      </c>
      <c r="K837">
        <v>2</v>
      </c>
      <c r="L837">
        <v>36110</v>
      </c>
      <c r="M837">
        <v>0</v>
      </c>
      <c r="N837" t="s">
        <v>56</v>
      </c>
      <c r="O837" t="s">
        <v>57</v>
      </c>
      <c r="P837" t="s">
        <v>69</v>
      </c>
      <c r="Q837" t="s">
        <v>207</v>
      </c>
      <c r="R837" t="s">
        <v>2625</v>
      </c>
      <c r="S837">
        <v>3</v>
      </c>
      <c r="T837" t="s">
        <v>61</v>
      </c>
      <c r="U837">
        <v>382</v>
      </c>
      <c r="V837" t="s">
        <v>37</v>
      </c>
    </row>
    <row r="838" spans="1:22" x14ac:dyDescent="0.3">
      <c r="A838" t="s">
        <v>2626</v>
      </c>
      <c r="B838" t="s">
        <v>2627</v>
      </c>
      <c r="C838">
        <v>51</v>
      </c>
      <c r="D838" t="s">
        <v>51</v>
      </c>
      <c r="E838" t="s">
        <v>131</v>
      </c>
      <c r="F838" t="s">
        <v>26</v>
      </c>
      <c r="G838" t="s">
        <v>1583</v>
      </c>
      <c r="H838" t="s">
        <v>2070</v>
      </c>
      <c r="I838" t="s">
        <v>85</v>
      </c>
      <c r="J838" t="s">
        <v>30</v>
      </c>
      <c r="K838">
        <v>4</v>
      </c>
      <c r="L838">
        <v>29407</v>
      </c>
      <c r="M838">
        <v>15</v>
      </c>
      <c r="N838" t="s">
        <v>31</v>
      </c>
      <c r="O838" t="s">
        <v>68</v>
      </c>
      <c r="P838" t="s">
        <v>69</v>
      </c>
      <c r="Q838" t="s">
        <v>225</v>
      </c>
      <c r="R838" t="s">
        <v>2628</v>
      </c>
      <c r="S838">
        <v>4</v>
      </c>
      <c r="T838" t="s">
        <v>96</v>
      </c>
      <c r="U838">
        <v>396</v>
      </c>
      <c r="V838" t="s">
        <v>62</v>
      </c>
    </row>
    <row r="839" spans="1:22" x14ac:dyDescent="0.3">
      <c r="A839" t="s">
        <v>2629</v>
      </c>
      <c r="B839" t="s">
        <v>285</v>
      </c>
      <c r="C839">
        <v>52</v>
      </c>
      <c r="D839" t="s">
        <v>51</v>
      </c>
      <c r="E839" t="s">
        <v>131</v>
      </c>
      <c r="F839" t="s">
        <v>53</v>
      </c>
      <c r="G839" t="s">
        <v>2630</v>
      </c>
      <c r="H839" t="s">
        <v>700</v>
      </c>
      <c r="I839" t="s">
        <v>85</v>
      </c>
      <c r="J839" t="s">
        <v>44</v>
      </c>
      <c r="K839">
        <v>2</v>
      </c>
      <c r="L839">
        <v>33750</v>
      </c>
      <c r="M839">
        <v>15</v>
      </c>
      <c r="N839" t="s">
        <v>56</v>
      </c>
      <c r="O839" t="s">
        <v>57</v>
      </c>
      <c r="P839" t="s">
        <v>58</v>
      </c>
      <c r="Q839" t="s">
        <v>300</v>
      </c>
      <c r="R839" t="s">
        <v>2631</v>
      </c>
      <c r="S839">
        <v>5</v>
      </c>
      <c r="T839" t="s">
        <v>61</v>
      </c>
      <c r="U839">
        <v>413</v>
      </c>
      <c r="V839" t="s">
        <v>62</v>
      </c>
    </row>
    <row r="840" spans="1:22" x14ac:dyDescent="0.3">
      <c r="A840" t="s">
        <v>2632</v>
      </c>
      <c r="B840" t="s">
        <v>440</v>
      </c>
      <c r="C840">
        <v>34</v>
      </c>
      <c r="D840" t="s">
        <v>24</v>
      </c>
      <c r="E840" t="s">
        <v>142</v>
      </c>
      <c r="F840" t="s">
        <v>82</v>
      </c>
      <c r="G840" t="s">
        <v>317</v>
      </c>
      <c r="H840" t="s">
        <v>523</v>
      </c>
      <c r="I840" t="s">
        <v>43</v>
      </c>
      <c r="J840" t="s">
        <v>44</v>
      </c>
      <c r="K840">
        <v>3</v>
      </c>
      <c r="L840">
        <v>60340</v>
      </c>
      <c r="M840">
        <v>15</v>
      </c>
      <c r="N840" t="s">
        <v>45</v>
      </c>
      <c r="O840" t="s">
        <v>57</v>
      </c>
      <c r="P840" t="s">
        <v>69</v>
      </c>
      <c r="Q840" t="s">
        <v>437</v>
      </c>
      <c r="R840" t="s">
        <v>2633</v>
      </c>
      <c r="S840">
        <v>3</v>
      </c>
      <c r="T840" t="s">
        <v>96</v>
      </c>
      <c r="U840">
        <v>374</v>
      </c>
      <c r="V840" t="s">
        <v>79</v>
      </c>
    </row>
    <row r="841" spans="1:22" x14ac:dyDescent="0.3">
      <c r="A841" t="s">
        <v>2634</v>
      </c>
      <c r="B841" t="s">
        <v>216</v>
      </c>
      <c r="C841">
        <v>20</v>
      </c>
      <c r="D841" t="s">
        <v>24</v>
      </c>
      <c r="E841" t="s">
        <v>142</v>
      </c>
      <c r="F841" t="s">
        <v>82</v>
      </c>
      <c r="G841" t="s">
        <v>127</v>
      </c>
      <c r="H841" t="s">
        <v>1714</v>
      </c>
      <c r="I841" t="s">
        <v>77</v>
      </c>
      <c r="J841" t="s">
        <v>44</v>
      </c>
      <c r="L841">
        <v>41799</v>
      </c>
      <c r="M841">
        <v>10</v>
      </c>
      <c r="N841" t="s">
        <v>31</v>
      </c>
      <c r="O841" t="s">
        <v>102</v>
      </c>
      <c r="P841" t="s">
        <v>33</v>
      </c>
      <c r="Q841" t="s">
        <v>219</v>
      </c>
      <c r="R841" t="s">
        <v>2635</v>
      </c>
      <c r="S841">
        <v>2</v>
      </c>
      <c r="T841" t="s">
        <v>36</v>
      </c>
      <c r="U841">
        <v>345</v>
      </c>
      <c r="V841" t="s">
        <v>37</v>
      </c>
    </row>
    <row r="842" spans="1:22" x14ac:dyDescent="0.3">
      <c r="A842" t="s">
        <v>2636</v>
      </c>
      <c r="B842" t="s">
        <v>617</v>
      </c>
      <c r="C842">
        <v>22</v>
      </c>
      <c r="D842" t="s">
        <v>24</v>
      </c>
      <c r="E842" t="s">
        <v>142</v>
      </c>
      <c r="F842" t="s">
        <v>26</v>
      </c>
      <c r="G842" t="s">
        <v>1167</v>
      </c>
      <c r="H842" t="s">
        <v>1583</v>
      </c>
      <c r="I842" t="s">
        <v>43</v>
      </c>
      <c r="J842" t="s">
        <v>30</v>
      </c>
      <c r="K842">
        <v>1</v>
      </c>
      <c r="L842">
        <v>48309</v>
      </c>
      <c r="M842">
        <v>10</v>
      </c>
      <c r="N842" t="s">
        <v>31</v>
      </c>
      <c r="O842" t="s">
        <v>173</v>
      </c>
      <c r="P842" t="s">
        <v>174</v>
      </c>
      <c r="Q842" t="s">
        <v>620</v>
      </c>
      <c r="R842" t="s">
        <v>2637</v>
      </c>
      <c r="S842">
        <v>4</v>
      </c>
      <c r="T842" t="s">
        <v>36</v>
      </c>
      <c r="U842">
        <v>422</v>
      </c>
      <c r="V842" t="s">
        <v>62</v>
      </c>
    </row>
    <row r="843" spans="1:22" x14ac:dyDescent="0.3">
      <c r="A843" t="s">
        <v>2638</v>
      </c>
      <c r="B843" t="s">
        <v>1025</v>
      </c>
      <c r="C843">
        <v>28</v>
      </c>
      <c r="D843" t="s">
        <v>24</v>
      </c>
      <c r="E843" t="s">
        <v>26</v>
      </c>
      <c r="F843" t="s">
        <v>26</v>
      </c>
      <c r="G843" t="s">
        <v>1062</v>
      </c>
      <c r="H843" t="s">
        <v>75</v>
      </c>
      <c r="I843" t="s">
        <v>108</v>
      </c>
      <c r="J843" t="s">
        <v>30</v>
      </c>
      <c r="K843">
        <v>3</v>
      </c>
      <c r="L843">
        <v>6391</v>
      </c>
      <c r="M843">
        <v>5</v>
      </c>
      <c r="N843" t="s">
        <v>45</v>
      </c>
      <c r="O843" t="s">
        <v>281</v>
      </c>
      <c r="P843" t="s">
        <v>58</v>
      </c>
      <c r="Q843" t="s">
        <v>167</v>
      </c>
      <c r="R843" t="s">
        <v>2639</v>
      </c>
      <c r="S843">
        <v>5</v>
      </c>
      <c r="T843" t="s">
        <v>96</v>
      </c>
      <c r="U843">
        <v>219</v>
      </c>
      <c r="V843" t="s">
        <v>37</v>
      </c>
    </row>
    <row r="844" spans="1:22" x14ac:dyDescent="0.3">
      <c r="A844" t="s">
        <v>2640</v>
      </c>
      <c r="B844" t="s">
        <v>570</v>
      </c>
      <c r="C844">
        <v>59</v>
      </c>
      <c r="D844" t="s">
        <v>51</v>
      </c>
      <c r="E844" t="s">
        <v>25</v>
      </c>
      <c r="F844" t="s">
        <v>53</v>
      </c>
      <c r="G844" t="s">
        <v>490</v>
      </c>
      <c r="H844" t="s">
        <v>1222</v>
      </c>
      <c r="I844" t="s">
        <v>77</v>
      </c>
      <c r="J844" t="s">
        <v>44</v>
      </c>
      <c r="K844">
        <v>3</v>
      </c>
      <c r="L844">
        <v>10255</v>
      </c>
      <c r="M844">
        <v>5</v>
      </c>
      <c r="N844" t="s">
        <v>31</v>
      </c>
      <c r="O844" t="s">
        <v>133</v>
      </c>
      <c r="P844" t="s">
        <v>58</v>
      </c>
      <c r="Q844" t="s">
        <v>573</v>
      </c>
      <c r="R844" t="s">
        <v>2641</v>
      </c>
      <c r="S844">
        <v>2</v>
      </c>
      <c r="T844" t="s">
        <v>96</v>
      </c>
      <c r="U844">
        <v>480</v>
      </c>
      <c r="V844" t="s">
        <v>62</v>
      </c>
    </row>
    <row r="845" spans="1:22" x14ac:dyDescent="0.3">
      <c r="A845" t="s">
        <v>2642</v>
      </c>
      <c r="B845" t="s">
        <v>702</v>
      </c>
      <c r="C845">
        <v>54</v>
      </c>
      <c r="D845" t="s">
        <v>51</v>
      </c>
      <c r="E845" t="s">
        <v>25</v>
      </c>
      <c r="F845" t="s">
        <v>53</v>
      </c>
      <c r="G845" t="s">
        <v>2643</v>
      </c>
      <c r="H845" t="s">
        <v>1302</v>
      </c>
      <c r="I845" t="s">
        <v>108</v>
      </c>
      <c r="J845" t="s">
        <v>44</v>
      </c>
      <c r="L845">
        <v>62022</v>
      </c>
      <c r="M845">
        <v>15</v>
      </c>
      <c r="N845" t="s">
        <v>45</v>
      </c>
      <c r="O845" t="s">
        <v>86</v>
      </c>
      <c r="P845" t="s">
        <v>69</v>
      </c>
      <c r="Q845" t="s">
        <v>916</v>
      </c>
      <c r="R845" t="s">
        <v>2644</v>
      </c>
      <c r="S845">
        <v>4</v>
      </c>
      <c r="T845" t="s">
        <v>36</v>
      </c>
      <c r="U845">
        <v>380</v>
      </c>
      <c r="V845" t="s">
        <v>62</v>
      </c>
    </row>
    <row r="846" spans="1:22" x14ac:dyDescent="0.3">
      <c r="A846" t="s">
        <v>2645</v>
      </c>
      <c r="B846" t="s">
        <v>309</v>
      </c>
      <c r="C846">
        <v>32</v>
      </c>
      <c r="D846" t="s">
        <v>24</v>
      </c>
      <c r="E846" t="s">
        <v>99</v>
      </c>
      <c r="F846" t="s">
        <v>53</v>
      </c>
      <c r="G846" t="s">
        <v>236</v>
      </c>
      <c r="H846" t="s">
        <v>1256</v>
      </c>
      <c r="I846" t="s">
        <v>29</v>
      </c>
      <c r="J846" t="s">
        <v>30</v>
      </c>
      <c r="K846">
        <v>5</v>
      </c>
      <c r="L846">
        <v>77688</v>
      </c>
      <c r="M846">
        <v>0</v>
      </c>
      <c r="N846" t="s">
        <v>56</v>
      </c>
      <c r="O846" t="s">
        <v>32</v>
      </c>
      <c r="P846" t="s">
        <v>174</v>
      </c>
      <c r="Q846" t="s">
        <v>312</v>
      </c>
      <c r="R846" t="s">
        <v>2646</v>
      </c>
      <c r="S846">
        <v>4</v>
      </c>
      <c r="T846" t="s">
        <v>72</v>
      </c>
      <c r="U846">
        <v>211</v>
      </c>
      <c r="V846" t="s">
        <v>79</v>
      </c>
    </row>
    <row r="847" spans="1:22" x14ac:dyDescent="0.3">
      <c r="A847" t="s">
        <v>2647</v>
      </c>
      <c r="B847" t="s">
        <v>156</v>
      </c>
      <c r="C847">
        <v>58</v>
      </c>
      <c r="D847" t="s">
        <v>24</v>
      </c>
      <c r="E847" t="s">
        <v>229</v>
      </c>
      <c r="F847" t="s">
        <v>65</v>
      </c>
      <c r="G847" t="s">
        <v>190</v>
      </c>
      <c r="H847" t="s">
        <v>520</v>
      </c>
      <c r="I847" t="s">
        <v>93</v>
      </c>
      <c r="J847" t="s">
        <v>44</v>
      </c>
      <c r="K847">
        <v>2</v>
      </c>
      <c r="L847">
        <v>5532</v>
      </c>
      <c r="M847">
        <v>0</v>
      </c>
      <c r="N847" t="s">
        <v>45</v>
      </c>
      <c r="O847" t="s">
        <v>57</v>
      </c>
      <c r="P847" t="s">
        <v>69</v>
      </c>
      <c r="Q847" t="s">
        <v>159</v>
      </c>
      <c r="R847" t="s">
        <v>2648</v>
      </c>
      <c r="S847">
        <v>5</v>
      </c>
      <c r="T847" t="s">
        <v>61</v>
      </c>
      <c r="U847">
        <v>430</v>
      </c>
      <c r="V847" t="s">
        <v>37</v>
      </c>
    </row>
    <row r="848" spans="1:22" x14ac:dyDescent="0.3">
      <c r="A848" t="s">
        <v>2649</v>
      </c>
      <c r="B848" t="s">
        <v>637</v>
      </c>
      <c r="C848">
        <v>24</v>
      </c>
      <c r="D848" t="s">
        <v>24</v>
      </c>
      <c r="E848" t="s">
        <v>131</v>
      </c>
      <c r="F848" t="s">
        <v>65</v>
      </c>
      <c r="G848" t="s">
        <v>905</v>
      </c>
      <c r="H848" t="s">
        <v>2008</v>
      </c>
      <c r="I848" t="s">
        <v>77</v>
      </c>
      <c r="J848" t="s">
        <v>44</v>
      </c>
      <c r="K848">
        <v>2</v>
      </c>
      <c r="L848">
        <v>8237</v>
      </c>
      <c r="M848">
        <v>0</v>
      </c>
      <c r="N848" t="s">
        <v>56</v>
      </c>
      <c r="O848" t="s">
        <v>46</v>
      </c>
      <c r="P848" t="s">
        <v>69</v>
      </c>
      <c r="Q848" t="s">
        <v>2248</v>
      </c>
      <c r="R848" t="s">
        <v>2650</v>
      </c>
      <c r="S848">
        <v>2</v>
      </c>
      <c r="T848" t="s">
        <v>36</v>
      </c>
      <c r="U848">
        <v>105</v>
      </c>
      <c r="V848" t="s">
        <v>79</v>
      </c>
    </row>
    <row r="849" spans="1:22" x14ac:dyDescent="0.3">
      <c r="A849" t="s">
        <v>2651</v>
      </c>
      <c r="B849" t="s">
        <v>461</v>
      </c>
      <c r="C849">
        <v>34</v>
      </c>
      <c r="D849" t="s">
        <v>24</v>
      </c>
      <c r="E849" t="s">
        <v>25</v>
      </c>
      <c r="F849" t="s">
        <v>26</v>
      </c>
      <c r="G849" t="s">
        <v>2652</v>
      </c>
      <c r="H849" t="s">
        <v>1932</v>
      </c>
      <c r="I849" t="s">
        <v>43</v>
      </c>
      <c r="J849" t="s">
        <v>44</v>
      </c>
      <c r="K849">
        <v>4</v>
      </c>
      <c r="L849">
        <v>54377</v>
      </c>
      <c r="M849">
        <v>5</v>
      </c>
      <c r="N849" t="s">
        <v>166</v>
      </c>
      <c r="O849" t="s">
        <v>281</v>
      </c>
      <c r="P849" t="s">
        <v>174</v>
      </c>
      <c r="Q849" t="s">
        <v>563</v>
      </c>
      <c r="R849" t="s">
        <v>2653</v>
      </c>
      <c r="S849">
        <v>2</v>
      </c>
      <c r="T849" t="s">
        <v>36</v>
      </c>
      <c r="U849">
        <v>316</v>
      </c>
      <c r="V849" t="s">
        <v>37</v>
      </c>
    </row>
    <row r="850" spans="1:22" x14ac:dyDescent="0.3">
      <c r="A850" t="s">
        <v>2654</v>
      </c>
      <c r="B850" t="s">
        <v>484</v>
      </c>
      <c r="C850">
        <v>57</v>
      </c>
      <c r="D850" t="s">
        <v>24</v>
      </c>
      <c r="E850" t="s">
        <v>52</v>
      </c>
      <c r="F850" t="s">
        <v>91</v>
      </c>
      <c r="G850" t="s">
        <v>1929</v>
      </c>
      <c r="H850" t="s">
        <v>334</v>
      </c>
      <c r="I850" t="s">
        <v>93</v>
      </c>
      <c r="J850" t="s">
        <v>30</v>
      </c>
      <c r="K850">
        <v>2</v>
      </c>
      <c r="L850">
        <v>13564</v>
      </c>
      <c r="M850">
        <v>0</v>
      </c>
      <c r="N850" t="s">
        <v>56</v>
      </c>
      <c r="O850" t="s">
        <v>86</v>
      </c>
      <c r="P850" t="s">
        <v>33</v>
      </c>
      <c r="R850" t="s">
        <v>2655</v>
      </c>
      <c r="S850">
        <v>3</v>
      </c>
      <c r="T850" t="s">
        <v>36</v>
      </c>
      <c r="U850">
        <v>284</v>
      </c>
      <c r="V850" t="s">
        <v>62</v>
      </c>
    </row>
    <row r="851" spans="1:22" x14ac:dyDescent="0.3">
      <c r="A851" t="s">
        <v>2656</v>
      </c>
      <c r="B851" t="s">
        <v>754</v>
      </c>
      <c r="C851">
        <v>54</v>
      </c>
      <c r="D851" t="s">
        <v>24</v>
      </c>
      <c r="E851" t="s">
        <v>142</v>
      </c>
      <c r="F851" t="s">
        <v>53</v>
      </c>
      <c r="G851" t="s">
        <v>2657</v>
      </c>
      <c r="H851" t="s">
        <v>2658</v>
      </c>
      <c r="I851" t="s">
        <v>43</v>
      </c>
      <c r="J851" t="s">
        <v>44</v>
      </c>
      <c r="K851">
        <v>3</v>
      </c>
      <c r="L851">
        <v>34921</v>
      </c>
      <c r="M851">
        <v>5</v>
      </c>
      <c r="N851" t="s">
        <v>31</v>
      </c>
      <c r="O851" t="s">
        <v>57</v>
      </c>
      <c r="P851" t="s">
        <v>174</v>
      </c>
      <c r="Q851" t="s">
        <v>756</v>
      </c>
      <c r="R851" t="s">
        <v>2659</v>
      </c>
      <c r="S851">
        <v>2</v>
      </c>
      <c r="T851" t="s">
        <v>36</v>
      </c>
      <c r="U851">
        <v>243</v>
      </c>
      <c r="V851" t="s">
        <v>37</v>
      </c>
    </row>
    <row r="852" spans="1:22" x14ac:dyDescent="0.3">
      <c r="A852" t="s">
        <v>2660</v>
      </c>
      <c r="B852" t="s">
        <v>170</v>
      </c>
      <c r="C852">
        <v>57</v>
      </c>
      <c r="D852" t="s">
        <v>24</v>
      </c>
      <c r="E852" t="s">
        <v>229</v>
      </c>
      <c r="F852" t="s">
        <v>65</v>
      </c>
      <c r="G852" t="s">
        <v>2661</v>
      </c>
      <c r="H852" t="s">
        <v>1535</v>
      </c>
      <c r="I852" t="s">
        <v>77</v>
      </c>
      <c r="J852" t="s">
        <v>30</v>
      </c>
      <c r="K852">
        <v>5</v>
      </c>
      <c r="L852">
        <v>12459</v>
      </c>
      <c r="M852">
        <v>10</v>
      </c>
      <c r="N852" t="s">
        <v>166</v>
      </c>
      <c r="O852" t="s">
        <v>46</v>
      </c>
      <c r="P852" t="s">
        <v>33</v>
      </c>
      <c r="Q852" t="s">
        <v>175</v>
      </c>
      <c r="R852" t="s">
        <v>2662</v>
      </c>
      <c r="S852">
        <v>4</v>
      </c>
      <c r="T852" t="s">
        <v>61</v>
      </c>
      <c r="U852">
        <v>448</v>
      </c>
      <c r="V852" t="s">
        <v>37</v>
      </c>
    </row>
    <row r="853" spans="1:22" x14ac:dyDescent="0.3">
      <c r="A853" t="s">
        <v>2663</v>
      </c>
      <c r="B853" t="s">
        <v>767</v>
      </c>
      <c r="C853">
        <v>38</v>
      </c>
      <c r="D853" t="s">
        <v>24</v>
      </c>
      <c r="E853" t="s">
        <v>99</v>
      </c>
      <c r="F853" t="s">
        <v>65</v>
      </c>
      <c r="G853" t="s">
        <v>810</v>
      </c>
      <c r="H853" t="s">
        <v>529</v>
      </c>
      <c r="I853" t="s">
        <v>85</v>
      </c>
      <c r="J853" t="s">
        <v>44</v>
      </c>
      <c r="K853">
        <v>1</v>
      </c>
      <c r="L853">
        <v>77121</v>
      </c>
      <c r="M853">
        <v>15</v>
      </c>
      <c r="N853" t="s">
        <v>56</v>
      </c>
      <c r="O853" t="s">
        <v>32</v>
      </c>
      <c r="P853" t="s">
        <v>174</v>
      </c>
      <c r="Q853" t="s">
        <v>769</v>
      </c>
      <c r="R853" t="s">
        <v>2664</v>
      </c>
      <c r="S853">
        <v>5</v>
      </c>
      <c r="T853" t="s">
        <v>96</v>
      </c>
      <c r="U853">
        <v>173</v>
      </c>
      <c r="V853" t="s">
        <v>37</v>
      </c>
    </row>
    <row r="854" spans="1:22" x14ac:dyDescent="0.3">
      <c r="A854" t="s">
        <v>2665</v>
      </c>
      <c r="B854" t="s">
        <v>2061</v>
      </c>
      <c r="C854">
        <v>52</v>
      </c>
      <c r="D854" t="s">
        <v>24</v>
      </c>
      <c r="E854" t="s">
        <v>26</v>
      </c>
      <c r="F854" t="s">
        <v>91</v>
      </c>
      <c r="G854" t="s">
        <v>925</v>
      </c>
      <c r="H854" t="s">
        <v>1281</v>
      </c>
      <c r="I854" t="s">
        <v>29</v>
      </c>
      <c r="J854" t="s">
        <v>44</v>
      </c>
      <c r="K854">
        <v>1</v>
      </c>
      <c r="L854">
        <v>37078</v>
      </c>
      <c r="M854">
        <v>5</v>
      </c>
      <c r="N854" t="s">
        <v>56</v>
      </c>
      <c r="O854" t="s">
        <v>133</v>
      </c>
      <c r="P854" t="s">
        <v>69</v>
      </c>
      <c r="Q854" t="s">
        <v>94</v>
      </c>
      <c r="R854" t="s">
        <v>2666</v>
      </c>
      <c r="S854">
        <v>1</v>
      </c>
      <c r="T854" t="s">
        <v>36</v>
      </c>
      <c r="U854">
        <v>260</v>
      </c>
      <c r="V854" t="s">
        <v>79</v>
      </c>
    </row>
    <row r="855" spans="1:22" x14ac:dyDescent="0.3">
      <c r="A855" t="s">
        <v>2667</v>
      </c>
      <c r="B855" t="s">
        <v>64</v>
      </c>
      <c r="C855">
        <v>36</v>
      </c>
      <c r="D855" t="s">
        <v>24</v>
      </c>
      <c r="E855" t="s">
        <v>52</v>
      </c>
      <c r="F855" t="s">
        <v>65</v>
      </c>
      <c r="G855" t="s">
        <v>867</v>
      </c>
      <c r="H855" t="s">
        <v>1838</v>
      </c>
      <c r="I855" t="s">
        <v>108</v>
      </c>
      <c r="J855" t="s">
        <v>30</v>
      </c>
      <c r="K855">
        <v>5</v>
      </c>
      <c r="L855">
        <v>30882</v>
      </c>
      <c r="M855">
        <v>0</v>
      </c>
      <c r="N855" t="s">
        <v>166</v>
      </c>
      <c r="O855" t="s">
        <v>68</v>
      </c>
      <c r="P855" t="s">
        <v>58</v>
      </c>
      <c r="Q855" t="s">
        <v>70</v>
      </c>
      <c r="R855" t="s">
        <v>2668</v>
      </c>
      <c r="S855">
        <v>1</v>
      </c>
      <c r="T855" t="s">
        <v>72</v>
      </c>
      <c r="U855">
        <v>489</v>
      </c>
      <c r="V855" t="s">
        <v>79</v>
      </c>
    </row>
    <row r="856" spans="1:22" x14ac:dyDescent="0.3">
      <c r="A856" t="s">
        <v>2669</v>
      </c>
      <c r="B856" t="s">
        <v>278</v>
      </c>
      <c r="C856">
        <v>60</v>
      </c>
      <c r="D856" t="s">
        <v>51</v>
      </c>
      <c r="E856" t="s">
        <v>142</v>
      </c>
      <c r="F856" t="s">
        <v>53</v>
      </c>
      <c r="G856" t="s">
        <v>561</v>
      </c>
      <c r="H856" t="s">
        <v>846</v>
      </c>
      <c r="I856" t="s">
        <v>43</v>
      </c>
      <c r="J856" t="s">
        <v>30</v>
      </c>
      <c r="K856">
        <v>1</v>
      </c>
      <c r="L856">
        <v>14326</v>
      </c>
      <c r="M856">
        <v>0</v>
      </c>
      <c r="N856" t="s">
        <v>45</v>
      </c>
      <c r="O856" t="s">
        <v>86</v>
      </c>
      <c r="P856" t="s">
        <v>69</v>
      </c>
      <c r="Q856" t="s">
        <v>282</v>
      </c>
      <c r="R856" t="s">
        <v>2670</v>
      </c>
      <c r="S856">
        <v>1</v>
      </c>
      <c r="T856" t="s">
        <v>96</v>
      </c>
      <c r="U856">
        <v>488</v>
      </c>
      <c r="V856" t="s">
        <v>37</v>
      </c>
    </row>
    <row r="857" spans="1:22" x14ac:dyDescent="0.3">
      <c r="A857" t="s">
        <v>2671</v>
      </c>
      <c r="B857" t="s">
        <v>182</v>
      </c>
      <c r="C857">
        <v>50</v>
      </c>
      <c r="D857" t="s">
        <v>51</v>
      </c>
      <c r="E857" t="s">
        <v>99</v>
      </c>
      <c r="F857" t="s">
        <v>53</v>
      </c>
      <c r="G857" t="s">
        <v>1310</v>
      </c>
      <c r="H857" t="s">
        <v>1878</v>
      </c>
      <c r="I857" t="s">
        <v>108</v>
      </c>
      <c r="J857" t="s">
        <v>30</v>
      </c>
      <c r="K857">
        <v>3</v>
      </c>
      <c r="L857">
        <v>14560</v>
      </c>
      <c r="M857">
        <v>15</v>
      </c>
      <c r="N857" t="s">
        <v>166</v>
      </c>
      <c r="O857" t="s">
        <v>133</v>
      </c>
      <c r="P857" t="s">
        <v>174</v>
      </c>
      <c r="R857" t="s">
        <v>2672</v>
      </c>
      <c r="S857">
        <v>4</v>
      </c>
      <c r="T857" t="s">
        <v>61</v>
      </c>
      <c r="U857">
        <v>301</v>
      </c>
      <c r="V857" t="s">
        <v>37</v>
      </c>
    </row>
    <row r="858" spans="1:22" x14ac:dyDescent="0.3">
      <c r="A858" t="s">
        <v>2673</v>
      </c>
      <c r="B858" t="s">
        <v>216</v>
      </c>
      <c r="C858">
        <v>18</v>
      </c>
      <c r="D858" t="s">
        <v>24</v>
      </c>
      <c r="E858" t="s">
        <v>131</v>
      </c>
      <c r="F858" t="s">
        <v>26</v>
      </c>
      <c r="G858" t="s">
        <v>1291</v>
      </c>
      <c r="H858" t="s">
        <v>1477</v>
      </c>
      <c r="I858" t="s">
        <v>43</v>
      </c>
      <c r="J858" t="s">
        <v>44</v>
      </c>
      <c r="K858">
        <v>2</v>
      </c>
      <c r="L858">
        <v>19072</v>
      </c>
      <c r="M858">
        <v>5</v>
      </c>
      <c r="N858" t="s">
        <v>45</v>
      </c>
      <c r="O858" t="s">
        <v>281</v>
      </c>
      <c r="P858" t="s">
        <v>69</v>
      </c>
      <c r="Q858" t="s">
        <v>219</v>
      </c>
      <c r="R858" t="s">
        <v>2674</v>
      </c>
      <c r="S858">
        <v>5</v>
      </c>
      <c r="T858" t="s">
        <v>61</v>
      </c>
      <c r="U858">
        <v>233</v>
      </c>
      <c r="V858" t="s">
        <v>37</v>
      </c>
    </row>
    <row r="859" spans="1:22" x14ac:dyDescent="0.3">
      <c r="A859" t="s">
        <v>2675</v>
      </c>
      <c r="B859" t="s">
        <v>2676</v>
      </c>
      <c r="C859">
        <v>30</v>
      </c>
      <c r="D859" t="s">
        <v>51</v>
      </c>
      <c r="E859" t="s">
        <v>229</v>
      </c>
      <c r="F859" t="s">
        <v>82</v>
      </c>
      <c r="G859" t="s">
        <v>2677</v>
      </c>
      <c r="H859" t="s">
        <v>2657</v>
      </c>
      <c r="I859" t="s">
        <v>77</v>
      </c>
      <c r="J859" t="s">
        <v>30</v>
      </c>
      <c r="K859">
        <v>1</v>
      </c>
      <c r="L859">
        <v>49483</v>
      </c>
      <c r="M859">
        <v>5</v>
      </c>
      <c r="N859" t="s">
        <v>166</v>
      </c>
      <c r="O859" t="s">
        <v>173</v>
      </c>
      <c r="P859" t="s">
        <v>58</v>
      </c>
      <c r="Q859" t="s">
        <v>1342</v>
      </c>
      <c r="R859" t="s">
        <v>2678</v>
      </c>
      <c r="S859">
        <v>2</v>
      </c>
      <c r="T859" t="s">
        <v>96</v>
      </c>
      <c r="U859">
        <v>400</v>
      </c>
      <c r="V859" t="s">
        <v>62</v>
      </c>
    </row>
    <row r="860" spans="1:22" x14ac:dyDescent="0.3">
      <c r="A860" t="s">
        <v>2679</v>
      </c>
      <c r="B860" t="s">
        <v>156</v>
      </c>
      <c r="C860">
        <v>45</v>
      </c>
      <c r="D860" t="s">
        <v>51</v>
      </c>
      <c r="E860" t="s">
        <v>52</v>
      </c>
      <c r="F860" t="s">
        <v>65</v>
      </c>
      <c r="G860" t="s">
        <v>2680</v>
      </c>
      <c r="H860" t="s">
        <v>441</v>
      </c>
      <c r="I860" t="s">
        <v>85</v>
      </c>
      <c r="J860" t="s">
        <v>44</v>
      </c>
      <c r="K860">
        <v>2</v>
      </c>
      <c r="L860">
        <v>27109</v>
      </c>
      <c r="M860">
        <v>10</v>
      </c>
      <c r="N860" t="s">
        <v>45</v>
      </c>
      <c r="O860" t="s">
        <v>46</v>
      </c>
      <c r="P860" t="s">
        <v>174</v>
      </c>
      <c r="Q860" t="s">
        <v>159</v>
      </c>
      <c r="R860" t="s">
        <v>2681</v>
      </c>
      <c r="S860">
        <v>5</v>
      </c>
      <c r="T860" t="s">
        <v>96</v>
      </c>
      <c r="U860">
        <v>450</v>
      </c>
      <c r="V860" t="s">
        <v>79</v>
      </c>
    </row>
    <row r="861" spans="1:22" x14ac:dyDescent="0.3">
      <c r="A861" t="s">
        <v>2682</v>
      </c>
      <c r="B861" t="s">
        <v>261</v>
      </c>
      <c r="C861">
        <v>55</v>
      </c>
      <c r="D861" t="s">
        <v>24</v>
      </c>
      <c r="E861" t="s">
        <v>26</v>
      </c>
      <c r="F861" t="s">
        <v>82</v>
      </c>
      <c r="G861" t="s">
        <v>28</v>
      </c>
      <c r="H861" t="s">
        <v>720</v>
      </c>
      <c r="I861" t="s">
        <v>108</v>
      </c>
      <c r="J861" t="s">
        <v>44</v>
      </c>
      <c r="K861">
        <v>3</v>
      </c>
      <c r="L861">
        <v>53582</v>
      </c>
      <c r="M861">
        <v>15</v>
      </c>
      <c r="N861" t="s">
        <v>45</v>
      </c>
      <c r="O861" t="s">
        <v>57</v>
      </c>
      <c r="P861" t="s">
        <v>69</v>
      </c>
      <c r="Q861" t="s">
        <v>264</v>
      </c>
      <c r="R861" t="s">
        <v>2683</v>
      </c>
      <c r="S861">
        <v>1</v>
      </c>
      <c r="T861" t="s">
        <v>96</v>
      </c>
      <c r="U861">
        <v>429</v>
      </c>
      <c r="V861" t="s">
        <v>37</v>
      </c>
    </row>
    <row r="862" spans="1:22" x14ac:dyDescent="0.3">
      <c r="A862" t="s">
        <v>2684</v>
      </c>
      <c r="B862" t="s">
        <v>808</v>
      </c>
      <c r="C862">
        <v>23</v>
      </c>
      <c r="D862" t="s">
        <v>24</v>
      </c>
      <c r="E862" t="s">
        <v>40</v>
      </c>
      <c r="F862" t="s">
        <v>65</v>
      </c>
      <c r="G862" t="s">
        <v>66</v>
      </c>
      <c r="H862" t="s">
        <v>1307</v>
      </c>
      <c r="I862" t="s">
        <v>85</v>
      </c>
      <c r="J862" t="s">
        <v>30</v>
      </c>
      <c r="K862">
        <v>4</v>
      </c>
      <c r="L862">
        <v>5374</v>
      </c>
      <c r="M862">
        <v>10</v>
      </c>
      <c r="N862" t="s">
        <v>166</v>
      </c>
      <c r="O862" t="s">
        <v>46</v>
      </c>
      <c r="P862" t="s">
        <v>174</v>
      </c>
      <c r="Q862" t="s">
        <v>191</v>
      </c>
      <c r="R862" t="s">
        <v>2685</v>
      </c>
      <c r="S862">
        <v>1</v>
      </c>
      <c r="T862" t="s">
        <v>96</v>
      </c>
      <c r="U862">
        <v>315</v>
      </c>
      <c r="V862" t="s">
        <v>79</v>
      </c>
    </row>
    <row r="863" spans="1:22" x14ac:dyDescent="0.3">
      <c r="A863" t="s">
        <v>2686</v>
      </c>
      <c r="B863" t="s">
        <v>689</v>
      </c>
      <c r="C863">
        <v>41</v>
      </c>
      <c r="D863" t="s">
        <v>51</v>
      </c>
      <c r="E863" t="s">
        <v>131</v>
      </c>
      <c r="F863" t="s">
        <v>65</v>
      </c>
      <c r="G863" t="s">
        <v>358</v>
      </c>
      <c r="H863" t="s">
        <v>2687</v>
      </c>
      <c r="I863" t="s">
        <v>108</v>
      </c>
      <c r="J863" t="s">
        <v>44</v>
      </c>
      <c r="K863">
        <v>2</v>
      </c>
      <c r="L863">
        <v>60238</v>
      </c>
      <c r="M863">
        <v>15</v>
      </c>
      <c r="N863" t="s">
        <v>56</v>
      </c>
      <c r="O863" t="s">
        <v>102</v>
      </c>
      <c r="P863" t="s">
        <v>33</v>
      </c>
      <c r="Q863" t="s">
        <v>1105</v>
      </c>
      <c r="R863" t="s">
        <v>2688</v>
      </c>
      <c r="S863">
        <v>3</v>
      </c>
      <c r="T863" t="s">
        <v>72</v>
      </c>
      <c r="U863">
        <v>405</v>
      </c>
      <c r="V863" t="s">
        <v>37</v>
      </c>
    </row>
    <row r="864" spans="1:22" x14ac:dyDescent="0.3">
      <c r="A864" t="s">
        <v>2689</v>
      </c>
      <c r="B864" t="s">
        <v>954</v>
      </c>
      <c r="C864">
        <v>50</v>
      </c>
      <c r="D864" t="s">
        <v>24</v>
      </c>
      <c r="E864" t="s">
        <v>99</v>
      </c>
      <c r="F864" t="s">
        <v>26</v>
      </c>
      <c r="G864" t="s">
        <v>1583</v>
      </c>
      <c r="H864" t="s">
        <v>2690</v>
      </c>
      <c r="I864" t="s">
        <v>77</v>
      </c>
      <c r="J864" t="s">
        <v>30</v>
      </c>
      <c r="K864">
        <v>4</v>
      </c>
      <c r="L864">
        <v>54974</v>
      </c>
      <c r="M864">
        <v>10</v>
      </c>
      <c r="N864" t="s">
        <v>166</v>
      </c>
      <c r="O864" t="s">
        <v>32</v>
      </c>
      <c r="P864" t="s">
        <v>58</v>
      </c>
      <c r="Q864" t="s">
        <v>536</v>
      </c>
      <c r="R864" t="s">
        <v>2691</v>
      </c>
      <c r="S864">
        <v>4</v>
      </c>
      <c r="T864" t="s">
        <v>61</v>
      </c>
      <c r="U864">
        <v>263</v>
      </c>
      <c r="V864" t="s">
        <v>62</v>
      </c>
    </row>
    <row r="865" spans="1:22" x14ac:dyDescent="0.3">
      <c r="A865" t="s">
        <v>2692</v>
      </c>
      <c r="B865" t="s">
        <v>272</v>
      </c>
      <c r="C865">
        <v>27</v>
      </c>
      <c r="D865" t="s">
        <v>51</v>
      </c>
      <c r="E865" t="s">
        <v>25</v>
      </c>
      <c r="F865" t="s">
        <v>82</v>
      </c>
      <c r="G865" t="s">
        <v>407</v>
      </c>
      <c r="H865" t="s">
        <v>852</v>
      </c>
      <c r="I865" t="s">
        <v>93</v>
      </c>
      <c r="J865" t="s">
        <v>30</v>
      </c>
      <c r="K865">
        <v>1</v>
      </c>
      <c r="L865">
        <v>28618</v>
      </c>
      <c r="M865">
        <v>10</v>
      </c>
      <c r="N865" t="s">
        <v>31</v>
      </c>
      <c r="O865" t="s">
        <v>57</v>
      </c>
      <c r="P865" t="s">
        <v>174</v>
      </c>
      <c r="Q865" t="s">
        <v>275</v>
      </c>
      <c r="R865" t="s">
        <v>2693</v>
      </c>
      <c r="S865">
        <v>4</v>
      </c>
      <c r="T865" t="s">
        <v>72</v>
      </c>
      <c r="U865">
        <v>209</v>
      </c>
      <c r="V865" t="s">
        <v>62</v>
      </c>
    </row>
    <row r="866" spans="1:22" x14ac:dyDescent="0.3">
      <c r="A866" t="s">
        <v>2694</v>
      </c>
      <c r="B866" t="s">
        <v>767</v>
      </c>
      <c r="C866">
        <v>57</v>
      </c>
      <c r="D866" t="s">
        <v>51</v>
      </c>
      <c r="E866" t="s">
        <v>25</v>
      </c>
      <c r="F866" t="s">
        <v>82</v>
      </c>
      <c r="G866" t="s">
        <v>378</v>
      </c>
      <c r="H866" t="s">
        <v>2695</v>
      </c>
      <c r="I866" t="s">
        <v>93</v>
      </c>
      <c r="J866" t="s">
        <v>30</v>
      </c>
      <c r="K866">
        <v>2</v>
      </c>
      <c r="L866">
        <v>12564</v>
      </c>
      <c r="M866">
        <v>10</v>
      </c>
      <c r="N866" t="s">
        <v>45</v>
      </c>
      <c r="O866" t="s">
        <v>102</v>
      </c>
      <c r="P866" t="s">
        <v>174</v>
      </c>
      <c r="Q866" t="s">
        <v>769</v>
      </c>
      <c r="S866">
        <v>3</v>
      </c>
      <c r="T866" t="s">
        <v>96</v>
      </c>
      <c r="U866">
        <v>88</v>
      </c>
      <c r="V866" t="s">
        <v>37</v>
      </c>
    </row>
    <row r="867" spans="1:22" x14ac:dyDescent="0.3">
      <c r="A867" t="s">
        <v>2696</v>
      </c>
      <c r="B867" t="s">
        <v>119</v>
      </c>
      <c r="C867">
        <v>20</v>
      </c>
      <c r="D867" t="s">
        <v>51</v>
      </c>
      <c r="E867" t="s">
        <v>25</v>
      </c>
      <c r="F867" t="s">
        <v>82</v>
      </c>
      <c r="G867" t="s">
        <v>641</v>
      </c>
      <c r="H867" t="s">
        <v>2275</v>
      </c>
      <c r="I867" t="s">
        <v>77</v>
      </c>
      <c r="J867" t="s">
        <v>30</v>
      </c>
      <c r="K867">
        <v>3</v>
      </c>
      <c r="L867">
        <v>35631</v>
      </c>
      <c r="M867">
        <v>5</v>
      </c>
      <c r="N867" t="s">
        <v>31</v>
      </c>
      <c r="O867" t="s">
        <v>68</v>
      </c>
      <c r="P867" t="s">
        <v>174</v>
      </c>
      <c r="Q867" t="s">
        <v>122</v>
      </c>
      <c r="R867" t="s">
        <v>2697</v>
      </c>
      <c r="S867">
        <v>4</v>
      </c>
      <c r="T867" t="s">
        <v>61</v>
      </c>
      <c r="U867">
        <v>395</v>
      </c>
      <c r="V867" t="s">
        <v>62</v>
      </c>
    </row>
    <row r="868" spans="1:22" x14ac:dyDescent="0.3">
      <c r="A868" t="s">
        <v>2698</v>
      </c>
      <c r="B868" t="s">
        <v>684</v>
      </c>
      <c r="C868">
        <v>38</v>
      </c>
      <c r="D868" t="s">
        <v>51</v>
      </c>
      <c r="E868" t="s">
        <v>142</v>
      </c>
      <c r="F868" t="s">
        <v>82</v>
      </c>
      <c r="G868" t="s">
        <v>1899</v>
      </c>
      <c r="H868" t="s">
        <v>430</v>
      </c>
      <c r="I868" t="s">
        <v>108</v>
      </c>
      <c r="J868" t="s">
        <v>44</v>
      </c>
      <c r="K868">
        <v>3</v>
      </c>
      <c r="M868">
        <v>10</v>
      </c>
      <c r="N868" t="s">
        <v>31</v>
      </c>
      <c r="O868" t="s">
        <v>133</v>
      </c>
      <c r="P868" t="s">
        <v>33</v>
      </c>
      <c r="Q868" t="s">
        <v>785</v>
      </c>
      <c r="R868" t="s">
        <v>2699</v>
      </c>
      <c r="S868">
        <v>1</v>
      </c>
      <c r="T868" t="s">
        <v>72</v>
      </c>
      <c r="U868">
        <v>464</v>
      </c>
      <c r="V868" t="s">
        <v>37</v>
      </c>
    </row>
    <row r="869" spans="1:22" x14ac:dyDescent="0.3">
      <c r="A869" t="s">
        <v>2700</v>
      </c>
      <c r="B869" t="s">
        <v>278</v>
      </c>
      <c r="C869">
        <v>21</v>
      </c>
      <c r="D869" t="s">
        <v>24</v>
      </c>
      <c r="E869" t="s">
        <v>142</v>
      </c>
      <c r="F869" t="s">
        <v>53</v>
      </c>
      <c r="G869" t="s">
        <v>1076</v>
      </c>
      <c r="H869" t="s">
        <v>1077</v>
      </c>
      <c r="I869" t="s">
        <v>108</v>
      </c>
      <c r="J869" t="s">
        <v>44</v>
      </c>
      <c r="K869">
        <v>5</v>
      </c>
      <c r="L869">
        <v>41370</v>
      </c>
      <c r="M869">
        <v>10</v>
      </c>
      <c r="N869" t="s">
        <v>45</v>
      </c>
      <c r="O869" t="s">
        <v>57</v>
      </c>
      <c r="P869" t="s">
        <v>33</v>
      </c>
      <c r="Q869" t="s">
        <v>282</v>
      </c>
      <c r="R869" t="s">
        <v>2701</v>
      </c>
      <c r="S869">
        <v>2</v>
      </c>
      <c r="T869" t="s">
        <v>36</v>
      </c>
      <c r="U869">
        <v>260</v>
      </c>
      <c r="V869" t="s">
        <v>37</v>
      </c>
    </row>
    <row r="870" spans="1:22" x14ac:dyDescent="0.3">
      <c r="A870" t="s">
        <v>2702</v>
      </c>
      <c r="B870" t="s">
        <v>249</v>
      </c>
      <c r="C870">
        <v>19</v>
      </c>
      <c r="D870" t="s">
        <v>24</v>
      </c>
      <c r="E870" t="s">
        <v>131</v>
      </c>
      <c r="F870" t="s">
        <v>53</v>
      </c>
      <c r="G870" t="s">
        <v>199</v>
      </c>
      <c r="H870" t="s">
        <v>1666</v>
      </c>
      <c r="I870" t="s">
        <v>29</v>
      </c>
      <c r="J870" t="s">
        <v>44</v>
      </c>
      <c r="K870">
        <v>1</v>
      </c>
      <c r="L870">
        <v>73070</v>
      </c>
      <c r="M870">
        <v>15</v>
      </c>
      <c r="N870" t="s">
        <v>31</v>
      </c>
      <c r="O870" t="s">
        <v>32</v>
      </c>
      <c r="P870" t="s">
        <v>58</v>
      </c>
      <c r="R870" t="s">
        <v>2703</v>
      </c>
      <c r="S870">
        <v>5</v>
      </c>
      <c r="T870" t="s">
        <v>61</v>
      </c>
      <c r="U870">
        <v>321</v>
      </c>
      <c r="V870" t="s">
        <v>62</v>
      </c>
    </row>
    <row r="871" spans="1:22" x14ac:dyDescent="0.3">
      <c r="A871" t="s">
        <v>2704</v>
      </c>
      <c r="B871" t="s">
        <v>309</v>
      </c>
      <c r="C871">
        <v>46</v>
      </c>
      <c r="D871" t="s">
        <v>51</v>
      </c>
      <c r="E871" t="s">
        <v>40</v>
      </c>
      <c r="F871" t="s">
        <v>65</v>
      </c>
      <c r="G871" t="s">
        <v>2153</v>
      </c>
      <c r="H871" t="s">
        <v>930</v>
      </c>
      <c r="I871" t="s">
        <v>85</v>
      </c>
      <c r="J871" t="s">
        <v>44</v>
      </c>
      <c r="K871">
        <v>2</v>
      </c>
      <c r="L871">
        <v>43268</v>
      </c>
      <c r="M871">
        <v>0</v>
      </c>
      <c r="N871" t="s">
        <v>31</v>
      </c>
      <c r="O871" t="s">
        <v>102</v>
      </c>
      <c r="P871" t="s">
        <v>58</v>
      </c>
      <c r="Q871" t="s">
        <v>312</v>
      </c>
      <c r="R871" t="s">
        <v>2705</v>
      </c>
      <c r="S871">
        <v>2</v>
      </c>
      <c r="T871" t="s">
        <v>36</v>
      </c>
      <c r="U871">
        <v>96</v>
      </c>
      <c r="V871" t="s">
        <v>79</v>
      </c>
    </row>
    <row r="872" spans="1:22" x14ac:dyDescent="0.3">
      <c r="A872" t="s">
        <v>2706</v>
      </c>
      <c r="B872" t="s">
        <v>767</v>
      </c>
      <c r="C872">
        <v>34</v>
      </c>
      <c r="D872" t="s">
        <v>51</v>
      </c>
      <c r="E872" t="s">
        <v>99</v>
      </c>
      <c r="F872" t="s">
        <v>91</v>
      </c>
      <c r="G872" t="s">
        <v>1058</v>
      </c>
      <c r="H872" t="s">
        <v>2707</v>
      </c>
      <c r="I872" t="s">
        <v>93</v>
      </c>
      <c r="J872" t="s">
        <v>44</v>
      </c>
      <c r="L872">
        <v>33796</v>
      </c>
      <c r="M872">
        <v>15</v>
      </c>
      <c r="N872" t="s">
        <v>166</v>
      </c>
      <c r="O872" t="s">
        <v>281</v>
      </c>
      <c r="P872" t="s">
        <v>58</v>
      </c>
      <c r="Q872" t="s">
        <v>769</v>
      </c>
      <c r="R872" t="s">
        <v>2708</v>
      </c>
      <c r="S872">
        <v>1</v>
      </c>
      <c r="T872" t="s">
        <v>96</v>
      </c>
      <c r="U872">
        <v>147</v>
      </c>
      <c r="V872" t="s">
        <v>37</v>
      </c>
    </row>
    <row r="873" spans="1:22" x14ac:dyDescent="0.3">
      <c r="A873" t="s">
        <v>2709</v>
      </c>
      <c r="B873" t="s">
        <v>555</v>
      </c>
      <c r="C873">
        <v>25</v>
      </c>
      <c r="D873" t="s">
        <v>24</v>
      </c>
      <c r="E873" t="s">
        <v>142</v>
      </c>
      <c r="F873" t="s">
        <v>53</v>
      </c>
      <c r="G873" t="s">
        <v>1320</v>
      </c>
      <c r="H873" t="s">
        <v>486</v>
      </c>
      <c r="I873" t="s">
        <v>29</v>
      </c>
      <c r="J873" t="s">
        <v>44</v>
      </c>
      <c r="K873">
        <v>1</v>
      </c>
      <c r="L873">
        <v>71001</v>
      </c>
      <c r="M873">
        <v>15</v>
      </c>
      <c r="N873" t="s">
        <v>45</v>
      </c>
      <c r="O873" t="s">
        <v>86</v>
      </c>
      <c r="P873" t="s">
        <v>69</v>
      </c>
      <c r="Q873" t="s">
        <v>558</v>
      </c>
      <c r="R873" t="s">
        <v>2710</v>
      </c>
      <c r="S873">
        <v>5</v>
      </c>
      <c r="T873" t="s">
        <v>96</v>
      </c>
      <c r="U873">
        <v>288</v>
      </c>
      <c r="V873" t="s">
        <v>37</v>
      </c>
    </row>
    <row r="874" spans="1:22" x14ac:dyDescent="0.3">
      <c r="A874" t="s">
        <v>2711</v>
      </c>
      <c r="B874" t="s">
        <v>261</v>
      </c>
      <c r="C874">
        <v>26</v>
      </c>
      <c r="D874" t="s">
        <v>24</v>
      </c>
      <c r="E874" t="s">
        <v>142</v>
      </c>
      <c r="F874" t="s">
        <v>82</v>
      </c>
      <c r="G874" t="s">
        <v>791</v>
      </c>
      <c r="H874" t="s">
        <v>731</v>
      </c>
      <c r="I874" t="s">
        <v>93</v>
      </c>
      <c r="J874" t="s">
        <v>30</v>
      </c>
      <c r="K874">
        <v>2</v>
      </c>
      <c r="L874">
        <v>13441</v>
      </c>
      <c r="M874">
        <v>5</v>
      </c>
      <c r="N874" t="s">
        <v>56</v>
      </c>
      <c r="O874" t="s">
        <v>68</v>
      </c>
      <c r="P874" t="s">
        <v>69</v>
      </c>
      <c r="Q874" t="s">
        <v>264</v>
      </c>
      <c r="R874" t="s">
        <v>2712</v>
      </c>
      <c r="S874">
        <v>4</v>
      </c>
      <c r="T874" t="s">
        <v>96</v>
      </c>
      <c r="U874">
        <v>298</v>
      </c>
      <c r="V874" t="s">
        <v>37</v>
      </c>
    </row>
    <row r="875" spans="1:22" x14ac:dyDescent="0.3">
      <c r="A875" t="s">
        <v>2713</v>
      </c>
      <c r="B875" t="s">
        <v>338</v>
      </c>
      <c r="C875">
        <v>44</v>
      </c>
      <c r="D875" t="s">
        <v>24</v>
      </c>
      <c r="E875" t="s">
        <v>229</v>
      </c>
      <c r="F875" t="s">
        <v>53</v>
      </c>
      <c r="G875" t="s">
        <v>2714</v>
      </c>
      <c r="H875" t="s">
        <v>1212</v>
      </c>
      <c r="I875" t="s">
        <v>29</v>
      </c>
      <c r="J875" t="s">
        <v>30</v>
      </c>
      <c r="K875">
        <v>2</v>
      </c>
      <c r="L875">
        <v>34977</v>
      </c>
      <c r="M875">
        <v>0</v>
      </c>
      <c r="N875" t="s">
        <v>166</v>
      </c>
      <c r="O875" t="s">
        <v>32</v>
      </c>
      <c r="P875" t="s">
        <v>58</v>
      </c>
      <c r="Q875" t="s">
        <v>341</v>
      </c>
      <c r="R875" t="s">
        <v>2715</v>
      </c>
      <c r="S875">
        <v>5</v>
      </c>
      <c r="T875" t="s">
        <v>36</v>
      </c>
      <c r="U875">
        <v>317</v>
      </c>
      <c r="V875" t="s">
        <v>79</v>
      </c>
    </row>
    <row r="876" spans="1:22" x14ac:dyDescent="0.3">
      <c r="A876" t="s">
        <v>2716</v>
      </c>
      <c r="B876" t="s">
        <v>1686</v>
      </c>
      <c r="C876">
        <v>48</v>
      </c>
      <c r="D876" t="s">
        <v>51</v>
      </c>
      <c r="E876" t="s">
        <v>40</v>
      </c>
      <c r="F876" t="s">
        <v>26</v>
      </c>
      <c r="G876" t="s">
        <v>2717</v>
      </c>
      <c r="H876" t="s">
        <v>768</v>
      </c>
      <c r="I876" t="s">
        <v>29</v>
      </c>
      <c r="J876" t="s">
        <v>30</v>
      </c>
      <c r="K876">
        <v>5</v>
      </c>
      <c r="L876">
        <v>14644</v>
      </c>
      <c r="M876">
        <v>0</v>
      </c>
      <c r="N876" t="s">
        <v>31</v>
      </c>
      <c r="O876" t="s">
        <v>57</v>
      </c>
      <c r="P876" t="s">
        <v>174</v>
      </c>
      <c r="Q876" t="s">
        <v>1687</v>
      </c>
      <c r="R876" t="s">
        <v>2718</v>
      </c>
      <c r="S876">
        <v>3</v>
      </c>
      <c r="T876" t="s">
        <v>36</v>
      </c>
      <c r="U876">
        <v>228</v>
      </c>
      <c r="V876" t="s">
        <v>62</v>
      </c>
    </row>
    <row r="877" spans="1:22" x14ac:dyDescent="0.3">
      <c r="A877" t="s">
        <v>2719</v>
      </c>
      <c r="B877" t="s">
        <v>623</v>
      </c>
      <c r="C877">
        <v>39</v>
      </c>
      <c r="D877" t="s">
        <v>24</v>
      </c>
      <c r="E877" t="s">
        <v>40</v>
      </c>
      <c r="F877" t="s">
        <v>91</v>
      </c>
      <c r="G877" t="s">
        <v>2720</v>
      </c>
      <c r="H877" t="s">
        <v>1902</v>
      </c>
      <c r="I877" t="s">
        <v>77</v>
      </c>
      <c r="J877" t="s">
        <v>30</v>
      </c>
      <c r="K877">
        <v>5</v>
      </c>
      <c r="L877">
        <v>38058</v>
      </c>
      <c r="M877">
        <v>0</v>
      </c>
      <c r="N877" t="s">
        <v>56</v>
      </c>
      <c r="O877" t="s">
        <v>133</v>
      </c>
      <c r="P877" t="s">
        <v>33</v>
      </c>
      <c r="R877" t="s">
        <v>2721</v>
      </c>
      <c r="S877">
        <v>4</v>
      </c>
      <c r="T877" t="s">
        <v>61</v>
      </c>
      <c r="U877">
        <v>213</v>
      </c>
      <c r="V877" t="s">
        <v>37</v>
      </c>
    </row>
    <row r="878" spans="1:22" x14ac:dyDescent="0.3">
      <c r="A878" t="s">
        <v>2722</v>
      </c>
      <c r="B878" t="s">
        <v>674</v>
      </c>
      <c r="C878">
        <v>57</v>
      </c>
      <c r="D878" t="s">
        <v>24</v>
      </c>
      <c r="E878" t="s">
        <v>99</v>
      </c>
      <c r="F878" t="s">
        <v>65</v>
      </c>
      <c r="G878" t="s">
        <v>2133</v>
      </c>
      <c r="H878" t="s">
        <v>708</v>
      </c>
      <c r="I878" t="s">
        <v>29</v>
      </c>
      <c r="J878" t="s">
        <v>30</v>
      </c>
      <c r="K878">
        <v>5</v>
      </c>
      <c r="L878">
        <v>36343</v>
      </c>
      <c r="M878">
        <v>15</v>
      </c>
      <c r="N878" t="s">
        <v>56</v>
      </c>
      <c r="O878" t="s">
        <v>46</v>
      </c>
      <c r="P878" t="s">
        <v>174</v>
      </c>
      <c r="Q878" t="s">
        <v>677</v>
      </c>
      <c r="R878" t="s">
        <v>2723</v>
      </c>
      <c r="S878">
        <v>3</v>
      </c>
      <c r="T878" t="s">
        <v>36</v>
      </c>
      <c r="U878">
        <v>453</v>
      </c>
      <c r="V878" t="s">
        <v>37</v>
      </c>
    </row>
    <row r="879" spans="1:22" x14ac:dyDescent="0.3">
      <c r="A879" t="s">
        <v>2724</v>
      </c>
      <c r="B879" t="s">
        <v>327</v>
      </c>
      <c r="C879">
        <v>19</v>
      </c>
      <c r="D879" t="s">
        <v>51</v>
      </c>
      <c r="E879" t="s">
        <v>26</v>
      </c>
      <c r="F879" t="s">
        <v>65</v>
      </c>
      <c r="G879" t="s">
        <v>2498</v>
      </c>
      <c r="H879" t="s">
        <v>101</v>
      </c>
      <c r="I879" t="s">
        <v>93</v>
      </c>
      <c r="J879" t="s">
        <v>44</v>
      </c>
      <c r="K879">
        <v>4</v>
      </c>
      <c r="L879">
        <v>59000</v>
      </c>
      <c r="M879">
        <v>10</v>
      </c>
      <c r="N879" t="s">
        <v>56</v>
      </c>
      <c r="O879" t="s">
        <v>46</v>
      </c>
      <c r="P879" t="s">
        <v>69</v>
      </c>
      <c r="Q879" t="s">
        <v>330</v>
      </c>
      <c r="R879" t="s">
        <v>2725</v>
      </c>
      <c r="S879">
        <v>1</v>
      </c>
      <c r="T879" t="s">
        <v>61</v>
      </c>
      <c r="U879">
        <v>60</v>
      </c>
      <c r="V879" t="s">
        <v>79</v>
      </c>
    </row>
    <row r="880" spans="1:22" x14ac:dyDescent="0.3">
      <c r="A880" t="s">
        <v>2726</v>
      </c>
      <c r="B880" t="s">
        <v>1057</v>
      </c>
      <c r="C880">
        <v>42</v>
      </c>
      <c r="D880" t="s">
        <v>24</v>
      </c>
      <c r="E880" t="s">
        <v>26</v>
      </c>
      <c r="F880" t="s">
        <v>82</v>
      </c>
      <c r="G880" t="s">
        <v>1030</v>
      </c>
      <c r="H880" t="s">
        <v>1031</v>
      </c>
      <c r="I880" t="s">
        <v>108</v>
      </c>
      <c r="J880" t="s">
        <v>30</v>
      </c>
      <c r="K880">
        <v>3</v>
      </c>
      <c r="L880">
        <v>69110</v>
      </c>
      <c r="M880">
        <v>5</v>
      </c>
      <c r="N880" t="s">
        <v>56</v>
      </c>
      <c r="O880" t="s">
        <v>86</v>
      </c>
      <c r="P880" t="s">
        <v>174</v>
      </c>
      <c r="Q880" t="s">
        <v>821</v>
      </c>
      <c r="R880" t="s">
        <v>2727</v>
      </c>
      <c r="S880">
        <v>3</v>
      </c>
      <c r="T880" t="s">
        <v>36</v>
      </c>
      <c r="U880">
        <v>445</v>
      </c>
      <c r="V880" t="s">
        <v>79</v>
      </c>
    </row>
    <row r="881" spans="1:22" x14ac:dyDescent="0.3">
      <c r="A881" t="s">
        <v>2728</v>
      </c>
      <c r="B881" t="s">
        <v>125</v>
      </c>
      <c r="C881">
        <v>54</v>
      </c>
      <c r="D881" t="s">
        <v>24</v>
      </c>
      <c r="E881" t="s">
        <v>25</v>
      </c>
      <c r="F881" t="s">
        <v>82</v>
      </c>
      <c r="G881" t="s">
        <v>2729</v>
      </c>
      <c r="H881" t="s">
        <v>1058</v>
      </c>
      <c r="I881" t="s">
        <v>85</v>
      </c>
      <c r="J881" t="s">
        <v>44</v>
      </c>
      <c r="L881">
        <v>45252</v>
      </c>
      <c r="M881">
        <v>10</v>
      </c>
      <c r="N881" t="s">
        <v>31</v>
      </c>
      <c r="O881" t="s">
        <v>281</v>
      </c>
      <c r="P881" t="s">
        <v>69</v>
      </c>
      <c r="Q881" t="s">
        <v>756</v>
      </c>
      <c r="R881" t="s">
        <v>2730</v>
      </c>
      <c r="S881">
        <v>2</v>
      </c>
      <c r="T881" t="s">
        <v>96</v>
      </c>
      <c r="U881">
        <v>202</v>
      </c>
      <c r="V881" t="s">
        <v>79</v>
      </c>
    </row>
    <row r="882" spans="1:22" x14ac:dyDescent="0.3">
      <c r="A882" t="s">
        <v>2731</v>
      </c>
      <c r="B882" t="s">
        <v>1690</v>
      </c>
      <c r="C882">
        <v>57</v>
      </c>
      <c r="D882" t="s">
        <v>51</v>
      </c>
      <c r="E882" t="s">
        <v>25</v>
      </c>
      <c r="F882" t="s">
        <v>91</v>
      </c>
      <c r="G882" t="s">
        <v>2384</v>
      </c>
      <c r="H882" t="s">
        <v>389</v>
      </c>
      <c r="I882" t="s">
        <v>108</v>
      </c>
      <c r="J882" t="s">
        <v>44</v>
      </c>
      <c r="K882">
        <v>2</v>
      </c>
      <c r="L882">
        <v>69590</v>
      </c>
      <c r="M882">
        <v>0</v>
      </c>
      <c r="N882" t="s">
        <v>56</v>
      </c>
      <c r="O882" t="s">
        <v>133</v>
      </c>
      <c r="P882" t="s">
        <v>69</v>
      </c>
      <c r="Q882" t="s">
        <v>87</v>
      </c>
      <c r="S882">
        <v>4</v>
      </c>
      <c r="T882" t="s">
        <v>36</v>
      </c>
      <c r="U882">
        <v>402</v>
      </c>
      <c r="V882" t="s">
        <v>62</v>
      </c>
    </row>
    <row r="883" spans="1:22" x14ac:dyDescent="0.3">
      <c r="A883" t="s">
        <v>2732</v>
      </c>
      <c r="B883" t="s">
        <v>278</v>
      </c>
      <c r="C883">
        <v>37</v>
      </c>
      <c r="D883" t="s">
        <v>24</v>
      </c>
      <c r="E883" t="s">
        <v>40</v>
      </c>
      <c r="F883" t="s">
        <v>26</v>
      </c>
      <c r="G883" t="s">
        <v>1307</v>
      </c>
      <c r="H883" t="s">
        <v>2485</v>
      </c>
      <c r="I883" t="s">
        <v>77</v>
      </c>
      <c r="J883" t="s">
        <v>30</v>
      </c>
      <c r="K883">
        <v>1</v>
      </c>
      <c r="L883">
        <v>52665</v>
      </c>
      <c r="M883">
        <v>0</v>
      </c>
      <c r="N883" t="s">
        <v>56</v>
      </c>
      <c r="O883" t="s">
        <v>57</v>
      </c>
      <c r="P883" t="s">
        <v>174</v>
      </c>
      <c r="Q883" t="s">
        <v>282</v>
      </c>
      <c r="R883" t="s">
        <v>2733</v>
      </c>
      <c r="S883">
        <v>3</v>
      </c>
      <c r="T883" t="s">
        <v>96</v>
      </c>
      <c r="U883">
        <v>473</v>
      </c>
      <c r="V883" t="s">
        <v>62</v>
      </c>
    </row>
    <row r="884" spans="1:22" x14ac:dyDescent="0.3">
      <c r="A884" t="s">
        <v>2734</v>
      </c>
      <c r="B884" t="s">
        <v>729</v>
      </c>
      <c r="C884">
        <v>48</v>
      </c>
      <c r="D884" t="s">
        <v>24</v>
      </c>
      <c r="E884" t="s">
        <v>229</v>
      </c>
      <c r="F884" t="s">
        <v>65</v>
      </c>
      <c r="G884" t="s">
        <v>1838</v>
      </c>
      <c r="H884" t="s">
        <v>652</v>
      </c>
      <c r="I884" t="s">
        <v>29</v>
      </c>
      <c r="J884" t="s">
        <v>44</v>
      </c>
      <c r="K884">
        <v>3</v>
      </c>
      <c r="L884">
        <v>33739</v>
      </c>
      <c r="M884">
        <v>15</v>
      </c>
      <c r="N884" t="s">
        <v>56</v>
      </c>
      <c r="O884" t="s">
        <v>102</v>
      </c>
      <c r="P884" t="s">
        <v>33</v>
      </c>
      <c r="Q884" t="s">
        <v>732</v>
      </c>
      <c r="R884" t="s">
        <v>2735</v>
      </c>
      <c r="S884">
        <v>5</v>
      </c>
      <c r="T884" t="s">
        <v>36</v>
      </c>
      <c r="U884">
        <v>463</v>
      </c>
      <c r="V884" t="s">
        <v>62</v>
      </c>
    </row>
    <row r="885" spans="1:22" x14ac:dyDescent="0.3">
      <c r="A885" t="s">
        <v>2736</v>
      </c>
      <c r="B885" t="s">
        <v>476</v>
      </c>
      <c r="C885">
        <v>33</v>
      </c>
      <c r="D885" t="s">
        <v>51</v>
      </c>
      <c r="E885" t="s">
        <v>25</v>
      </c>
      <c r="F885" t="s">
        <v>53</v>
      </c>
      <c r="G885" t="s">
        <v>520</v>
      </c>
      <c r="H885" t="s">
        <v>1005</v>
      </c>
      <c r="I885" t="s">
        <v>108</v>
      </c>
      <c r="J885" t="s">
        <v>44</v>
      </c>
      <c r="K885">
        <v>1</v>
      </c>
      <c r="L885">
        <v>65301</v>
      </c>
      <c r="M885">
        <v>15</v>
      </c>
      <c r="N885" t="s">
        <v>45</v>
      </c>
      <c r="O885" t="s">
        <v>173</v>
      </c>
      <c r="P885" t="s">
        <v>58</v>
      </c>
      <c r="Q885" t="s">
        <v>478</v>
      </c>
      <c r="S885">
        <v>5</v>
      </c>
      <c r="T885" t="s">
        <v>72</v>
      </c>
      <c r="U885">
        <v>112</v>
      </c>
      <c r="V885" t="s">
        <v>37</v>
      </c>
    </row>
    <row r="886" spans="1:22" x14ac:dyDescent="0.3">
      <c r="A886" t="s">
        <v>2737</v>
      </c>
      <c r="B886" t="s">
        <v>1309</v>
      </c>
      <c r="C886">
        <v>40</v>
      </c>
      <c r="D886" t="s">
        <v>24</v>
      </c>
      <c r="E886" t="s">
        <v>26</v>
      </c>
      <c r="F886" t="s">
        <v>65</v>
      </c>
      <c r="G886" t="s">
        <v>2055</v>
      </c>
      <c r="H886" t="s">
        <v>101</v>
      </c>
      <c r="I886" t="s">
        <v>93</v>
      </c>
      <c r="J886" t="s">
        <v>44</v>
      </c>
      <c r="K886">
        <v>3</v>
      </c>
      <c r="L886">
        <v>67260</v>
      </c>
      <c r="M886">
        <v>5</v>
      </c>
      <c r="N886" t="s">
        <v>45</v>
      </c>
      <c r="O886" t="s">
        <v>86</v>
      </c>
      <c r="P886" t="s">
        <v>69</v>
      </c>
      <c r="Q886" t="s">
        <v>1311</v>
      </c>
      <c r="R886" t="s">
        <v>2738</v>
      </c>
      <c r="S886">
        <v>4</v>
      </c>
      <c r="T886" t="s">
        <v>96</v>
      </c>
      <c r="U886">
        <v>71</v>
      </c>
      <c r="V886" t="s">
        <v>62</v>
      </c>
    </row>
    <row r="887" spans="1:22" x14ac:dyDescent="0.3">
      <c r="A887" t="s">
        <v>2739</v>
      </c>
      <c r="B887" t="s">
        <v>509</v>
      </c>
      <c r="C887">
        <v>40</v>
      </c>
      <c r="D887" t="s">
        <v>51</v>
      </c>
      <c r="E887" t="s">
        <v>131</v>
      </c>
      <c r="F887" t="s">
        <v>65</v>
      </c>
      <c r="G887" t="s">
        <v>454</v>
      </c>
      <c r="H887" t="s">
        <v>543</v>
      </c>
      <c r="I887" t="s">
        <v>93</v>
      </c>
      <c r="J887" t="s">
        <v>44</v>
      </c>
      <c r="K887">
        <v>5</v>
      </c>
      <c r="L887">
        <v>28086</v>
      </c>
      <c r="M887">
        <v>0</v>
      </c>
      <c r="N887" t="s">
        <v>45</v>
      </c>
      <c r="O887" t="s">
        <v>109</v>
      </c>
      <c r="P887" t="s">
        <v>33</v>
      </c>
      <c r="Q887" t="s">
        <v>512</v>
      </c>
      <c r="S887">
        <v>2</v>
      </c>
      <c r="T887" t="s">
        <v>36</v>
      </c>
      <c r="U887">
        <v>216</v>
      </c>
      <c r="V887" t="s">
        <v>79</v>
      </c>
    </row>
    <row r="888" spans="1:22" x14ac:dyDescent="0.3">
      <c r="A888" t="s">
        <v>2740</v>
      </c>
      <c r="B888" t="s">
        <v>90</v>
      </c>
      <c r="C888">
        <v>52</v>
      </c>
      <c r="D888" t="s">
        <v>51</v>
      </c>
      <c r="E888" t="s">
        <v>99</v>
      </c>
      <c r="F888" t="s">
        <v>91</v>
      </c>
      <c r="G888" t="s">
        <v>2690</v>
      </c>
      <c r="H888" t="s">
        <v>571</v>
      </c>
      <c r="I888" t="s">
        <v>29</v>
      </c>
      <c r="J888" t="s">
        <v>44</v>
      </c>
      <c r="K888">
        <v>1</v>
      </c>
      <c r="L888">
        <v>55737</v>
      </c>
      <c r="M888">
        <v>0</v>
      </c>
      <c r="N888" t="s">
        <v>56</v>
      </c>
      <c r="O888" t="s">
        <v>281</v>
      </c>
      <c r="P888" t="s">
        <v>58</v>
      </c>
      <c r="R888" t="s">
        <v>2741</v>
      </c>
      <c r="S888">
        <v>4</v>
      </c>
      <c r="T888" t="s">
        <v>36</v>
      </c>
      <c r="U888">
        <v>205</v>
      </c>
      <c r="V888" t="s">
        <v>79</v>
      </c>
    </row>
    <row r="889" spans="1:22" x14ac:dyDescent="0.3">
      <c r="A889" t="s">
        <v>2742</v>
      </c>
      <c r="B889" t="s">
        <v>156</v>
      </c>
      <c r="C889">
        <v>20</v>
      </c>
      <c r="D889" t="s">
        <v>51</v>
      </c>
      <c r="E889" t="s">
        <v>229</v>
      </c>
      <c r="F889" t="s">
        <v>91</v>
      </c>
      <c r="G889" t="s">
        <v>2743</v>
      </c>
      <c r="H889" t="s">
        <v>1877</v>
      </c>
      <c r="I889" t="s">
        <v>108</v>
      </c>
      <c r="J889" t="s">
        <v>30</v>
      </c>
      <c r="K889">
        <v>4</v>
      </c>
      <c r="L889">
        <v>56896</v>
      </c>
      <c r="M889">
        <v>0</v>
      </c>
      <c r="N889" t="s">
        <v>166</v>
      </c>
      <c r="O889" t="s">
        <v>32</v>
      </c>
      <c r="P889" t="s">
        <v>69</v>
      </c>
      <c r="Q889" t="s">
        <v>159</v>
      </c>
      <c r="R889" t="s">
        <v>2744</v>
      </c>
      <c r="S889">
        <v>1</v>
      </c>
      <c r="T889" t="s">
        <v>61</v>
      </c>
      <c r="U889">
        <v>55</v>
      </c>
      <c r="V889" t="s">
        <v>62</v>
      </c>
    </row>
    <row r="890" spans="1:22" x14ac:dyDescent="0.3">
      <c r="A890" t="s">
        <v>2745</v>
      </c>
      <c r="B890" t="s">
        <v>1309</v>
      </c>
      <c r="C890">
        <v>48</v>
      </c>
      <c r="D890" t="s">
        <v>51</v>
      </c>
      <c r="E890" t="s">
        <v>229</v>
      </c>
      <c r="F890" t="s">
        <v>53</v>
      </c>
      <c r="G890" t="s">
        <v>906</v>
      </c>
      <c r="H890" t="s">
        <v>1447</v>
      </c>
      <c r="I890" t="s">
        <v>77</v>
      </c>
      <c r="J890" t="s">
        <v>44</v>
      </c>
      <c r="K890">
        <v>1</v>
      </c>
      <c r="L890">
        <v>58686</v>
      </c>
      <c r="M890">
        <v>5</v>
      </c>
      <c r="N890" t="s">
        <v>45</v>
      </c>
      <c r="O890" t="s">
        <v>281</v>
      </c>
      <c r="P890" t="s">
        <v>58</v>
      </c>
      <c r="R890" t="s">
        <v>2746</v>
      </c>
      <c r="S890">
        <v>2</v>
      </c>
      <c r="T890" t="s">
        <v>36</v>
      </c>
      <c r="U890">
        <v>330</v>
      </c>
      <c r="V890" t="s">
        <v>62</v>
      </c>
    </row>
    <row r="891" spans="1:22" x14ac:dyDescent="0.3">
      <c r="A891" t="s">
        <v>2747</v>
      </c>
      <c r="B891" t="s">
        <v>1340</v>
      </c>
      <c r="C891">
        <v>46</v>
      </c>
      <c r="D891" t="s">
        <v>24</v>
      </c>
      <c r="E891" t="s">
        <v>40</v>
      </c>
      <c r="F891" t="s">
        <v>26</v>
      </c>
      <c r="G891" t="s">
        <v>1031</v>
      </c>
      <c r="H891" t="s">
        <v>2748</v>
      </c>
      <c r="I891" t="s">
        <v>77</v>
      </c>
      <c r="J891" t="s">
        <v>44</v>
      </c>
      <c r="K891">
        <v>1</v>
      </c>
      <c r="M891">
        <v>10</v>
      </c>
      <c r="N891" t="s">
        <v>45</v>
      </c>
      <c r="O891" t="s">
        <v>46</v>
      </c>
      <c r="P891" t="s">
        <v>174</v>
      </c>
      <c r="Q891" t="s">
        <v>1342</v>
      </c>
      <c r="R891" t="s">
        <v>2749</v>
      </c>
      <c r="S891">
        <v>3</v>
      </c>
      <c r="T891" t="s">
        <v>36</v>
      </c>
      <c r="U891">
        <v>199</v>
      </c>
      <c r="V891" t="s">
        <v>79</v>
      </c>
    </row>
    <row r="892" spans="1:22" x14ac:dyDescent="0.3">
      <c r="A892" t="s">
        <v>2750</v>
      </c>
      <c r="B892" t="s">
        <v>645</v>
      </c>
      <c r="C892">
        <v>34</v>
      </c>
      <c r="D892" t="s">
        <v>24</v>
      </c>
      <c r="E892" t="s">
        <v>25</v>
      </c>
      <c r="F892" t="s">
        <v>65</v>
      </c>
      <c r="G892" t="s">
        <v>1187</v>
      </c>
      <c r="H892" t="s">
        <v>1010</v>
      </c>
      <c r="I892" t="s">
        <v>93</v>
      </c>
      <c r="J892" t="s">
        <v>44</v>
      </c>
      <c r="K892">
        <v>1</v>
      </c>
      <c r="L892">
        <v>77611</v>
      </c>
      <c r="M892">
        <v>10</v>
      </c>
      <c r="N892" t="s">
        <v>45</v>
      </c>
      <c r="O892" t="s">
        <v>109</v>
      </c>
      <c r="P892" t="s">
        <v>33</v>
      </c>
      <c r="Q892" t="s">
        <v>647</v>
      </c>
      <c r="R892" t="s">
        <v>2751</v>
      </c>
      <c r="S892">
        <v>5</v>
      </c>
      <c r="T892" t="s">
        <v>61</v>
      </c>
      <c r="U892">
        <v>345</v>
      </c>
      <c r="V892" t="s">
        <v>37</v>
      </c>
    </row>
    <row r="893" spans="1:22" x14ac:dyDescent="0.3">
      <c r="A893" t="s">
        <v>2752</v>
      </c>
      <c r="B893" t="s">
        <v>1443</v>
      </c>
      <c r="C893">
        <v>28</v>
      </c>
      <c r="D893" t="s">
        <v>24</v>
      </c>
      <c r="E893" t="s">
        <v>229</v>
      </c>
      <c r="F893" t="s">
        <v>82</v>
      </c>
      <c r="G893" t="s">
        <v>2318</v>
      </c>
      <c r="H893" t="s">
        <v>930</v>
      </c>
      <c r="I893" t="s">
        <v>93</v>
      </c>
      <c r="J893" t="s">
        <v>30</v>
      </c>
      <c r="K893">
        <v>1</v>
      </c>
      <c r="L893">
        <v>62670</v>
      </c>
      <c r="M893">
        <v>5</v>
      </c>
      <c r="N893" t="s">
        <v>166</v>
      </c>
      <c r="O893" t="s">
        <v>109</v>
      </c>
      <c r="P893" t="s">
        <v>69</v>
      </c>
      <c r="Q893" t="s">
        <v>1444</v>
      </c>
      <c r="R893" t="s">
        <v>2753</v>
      </c>
      <c r="S893">
        <v>1</v>
      </c>
      <c r="T893" t="s">
        <v>96</v>
      </c>
      <c r="U893">
        <v>460</v>
      </c>
      <c r="V893" t="s">
        <v>37</v>
      </c>
    </row>
    <row r="894" spans="1:22" x14ac:dyDescent="0.3">
      <c r="A894" t="s">
        <v>2754</v>
      </c>
      <c r="B894" t="s">
        <v>397</v>
      </c>
      <c r="C894">
        <v>26</v>
      </c>
      <c r="D894" t="s">
        <v>51</v>
      </c>
      <c r="E894" t="s">
        <v>26</v>
      </c>
      <c r="F894" t="s">
        <v>82</v>
      </c>
      <c r="G894" t="s">
        <v>1274</v>
      </c>
      <c r="H894" t="s">
        <v>2133</v>
      </c>
      <c r="I894" t="s">
        <v>93</v>
      </c>
      <c r="J894" t="s">
        <v>30</v>
      </c>
      <c r="L894">
        <v>58794</v>
      </c>
      <c r="M894">
        <v>10</v>
      </c>
      <c r="N894" t="s">
        <v>31</v>
      </c>
      <c r="O894" t="s">
        <v>86</v>
      </c>
      <c r="P894" t="s">
        <v>58</v>
      </c>
      <c r="Q894" t="s">
        <v>400</v>
      </c>
      <c r="R894" t="s">
        <v>2755</v>
      </c>
      <c r="S894">
        <v>2</v>
      </c>
      <c r="T894" t="s">
        <v>96</v>
      </c>
      <c r="U894">
        <v>387</v>
      </c>
      <c r="V894" t="s">
        <v>62</v>
      </c>
    </row>
    <row r="895" spans="1:22" x14ac:dyDescent="0.3">
      <c r="A895" t="s">
        <v>2756</v>
      </c>
      <c r="B895" t="s">
        <v>611</v>
      </c>
      <c r="C895">
        <v>21</v>
      </c>
      <c r="D895" t="s">
        <v>24</v>
      </c>
      <c r="E895" t="s">
        <v>131</v>
      </c>
      <c r="F895" t="s">
        <v>65</v>
      </c>
      <c r="G895" t="s">
        <v>1878</v>
      </c>
      <c r="H895" t="s">
        <v>634</v>
      </c>
      <c r="I895" t="s">
        <v>93</v>
      </c>
      <c r="J895" t="s">
        <v>44</v>
      </c>
      <c r="K895">
        <v>1</v>
      </c>
      <c r="L895">
        <v>16129</v>
      </c>
      <c r="M895">
        <v>5</v>
      </c>
      <c r="N895" t="s">
        <v>166</v>
      </c>
      <c r="O895" t="s">
        <v>102</v>
      </c>
      <c r="P895" t="s">
        <v>58</v>
      </c>
      <c r="R895" t="s">
        <v>2757</v>
      </c>
      <c r="S895">
        <v>3</v>
      </c>
      <c r="T895" t="s">
        <v>61</v>
      </c>
      <c r="U895">
        <v>251</v>
      </c>
      <c r="V895" t="s">
        <v>37</v>
      </c>
    </row>
    <row r="896" spans="1:22" x14ac:dyDescent="0.3">
      <c r="A896" t="s">
        <v>2758</v>
      </c>
      <c r="B896" t="s">
        <v>1690</v>
      </c>
      <c r="C896">
        <v>31</v>
      </c>
      <c r="D896" t="s">
        <v>51</v>
      </c>
      <c r="E896" t="s">
        <v>142</v>
      </c>
      <c r="F896" t="s">
        <v>53</v>
      </c>
      <c r="G896" t="s">
        <v>1460</v>
      </c>
      <c r="H896" t="s">
        <v>1287</v>
      </c>
      <c r="I896" t="s">
        <v>93</v>
      </c>
      <c r="J896" t="s">
        <v>44</v>
      </c>
      <c r="K896">
        <v>4</v>
      </c>
      <c r="L896">
        <v>61040</v>
      </c>
      <c r="M896">
        <v>15</v>
      </c>
      <c r="N896" t="s">
        <v>166</v>
      </c>
      <c r="O896" t="s">
        <v>46</v>
      </c>
      <c r="P896" t="s">
        <v>69</v>
      </c>
      <c r="Q896" t="s">
        <v>87</v>
      </c>
      <c r="R896" t="s">
        <v>2759</v>
      </c>
      <c r="S896">
        <v>2</v>
      </c>
      <c r="T896" t="s">
        <v>96</v>
      </c>
      <c r="U896">
        <v>279</v>
      </c>
      <c r="V896" t="s">
        <v>62</v>
      </c>
    </row>
    <row r="897" spans="1:22" x14ac:dyDescent="0.3">
      <c r="A897" t="s">
        <v>2760</v>
      </c>
      <c r="B897" t="s">
        <v>674</v>
      </c>
      <c r="C897">
        <v>60</v>
      </c>
      <c r="D897" t="s">
        <v>24</v>
      </c>
      <c r="E897" t="s">
        <v>40</v>
      </c>
      <c r="F897" t="s">
        <v>91</v>
      </c>
      <c r="G897" t="s">
        <v>2485</v>
      </c>
      <c r="H897" t="s">
        <v>1588</v>
      </c>
      <c r="I897" t="s">
        <v>108</v>
      </c>
      <c r="J897" t="s">
        <v>30</v>
      </c>
      <c r="K897">
        <v>3</v>
      </c>
      <c r="L897">
        <v>9029</v>
      </c>
      <c r="M897">
        <v>15</v>
      </c>
      <c r="N897" t="s">
        <v>31</v>
      </c>
      <c r="O897" t="s">
        <v>281</v>
      </c>
      <c r="P897" t="s">
        <v>69</v>
      </c>
      <c r="Q897" t="s">
        <v>677</v>
      </c>
      <c r="R897" t="s">
        <v>2761</v>
      </c>
      <c r="S897">
        <v>2</v>
      </c>
      <c r="T897" t="s">
        <v>72</v>
      </c>
      <c r="U897">
        <v>221</v>
      </c>
      <c r="V897" t="s">
        <v>79</v>
      </c>
    </row>
    <row r="898" spans="1:22" x14ac:dyDescent="0.3">
      <c r="A898" t="s">
        <v>2762</v>
      </c>
      <c r="B898" t="s">
        <v>382</v>
      </c>
      <c r="C898">
        <v>49</v>
      </c>
      <c r="D898" t="s">
        <v>51</v>
      </c>
      <c r="E898" t="s">
        <v>25</v>
      </c>
      <c r="F898" t="s">
        <v>91</v>
      </c>
      <c r="G898" t="s">
        <v>2117</v>
      </c>
      <c r="H898" t="s">
        <v>268</v>
      </c>
      <c r="I898" t="s">
        <v>93</v>
      </c>
      <c r="J898" t="s">
        <v>30</v>
      </c>
      <c r="K898">
        <v>3</v>
      </c>
      <c r="L898">
        <v>43393</v>
      </c>
      <c r="M898">
        <v>10</v>
      </c>
      <c r="N898" t="s">
        <v>56</v>
      </c>
      <c r="O898" t="s">
        <v>68</v>
      </c>
      <c r="P898" t="s">
        <v>58</v>
      </c>
      <c r="Q898" t="s">
        <v>385</v>
      </c>
      <c r="R898" t="s">
        <v>2763</v>
      </c>
      <c r="S898">
        <v>2</v>
      </c>
      <c r="T898" t="s">
        <v>72</v>
      </c>
      <c r="U898">
        <v>418</v>
      </c>
      <c r="V898" t="s">
        <v>79</v>
      </c>
    </row>
    <row r="899" spans="1:22" x14ac:dyDescent="0.3">
      <c r="A899" t="s">
        <v>2764</v>
      </c>
      <c r="B899" t="s">
        <v>321</v>
      </c>
      <c r="C899">
        <v>25</v>
      </c>
      <c r="D899" t="s">
        <v>51</v>
      </c>
      <c r="E899" t="s">
        <v>229</v>
      </c>
      <c r="F899" t="s">
        <v>26</v>
      </c>
      <c r="G899" t="s">
        <v>510</v>
      </c>
      <c r="H899" t="s">
        <v>1500</v>
      </c>
      <c r="I899" t="s">
        <v>29</v>
      </c>
      <c r="J899" t="s">
        <v>44</v>
      </c>
      <c r="K899">
        <v>1</v>
      </c>
      <c r="L899">
        <v>13329</v>
      </c>
      <c r="M899">
        <v>15</v>
      </c>
      <c r="N899" t="s">
        <v>31</v>
      </c>
      <c r="O899" t="s">
        <v>173</v>
      </c>
      <c r="P899" t="s">
        <v>69</v>
      </c>
      <c r="Q899" t="s">
        <v>324</v>
      </c>
      <c r="R899" t="s">
        <v>2765</v>
      </c>
      <c r="S899">
        <v>1</v>
      </c>
      <c r="T899" t="s">
        <v>36</v>
      </c>
      <c r="U899">
        <v>162</v>
      </c>
      <c r="V899" t="s">
        <v>79</v>
      </c>
    </row>
    <row r="900" spans="1:22" x14ac:dyDescent="0.3">
      <c r="A900" t="s">
        <v>2766</v>
      </c>
      <c r="B900" t="s">
        <v>498</v>
      </c>
      <c r="C900">
        <v>41</v>
      </c>
      <c r="D900" t="s">
        <v>51</v>
      </c>
      <c r="E900" t="s">
        <v>131</v>
      </c>
      <c r="F900" t="s">
        <v>65</v>
      </c>
      <c r="G900" t="s">
        <v>2612</v>
      </c>
      <c r="H900" t="s">
        <v>951</v>
      </c>
      <c r="I900" t="s">
        <v>29</v>
      </c>
      <c r="J900" t="s">
        <v>44</v>
      </c>
      <c r="K900">
        <v>2</v>
      </c>
      <c r="M900">
        <v>15</v>
      </c>
      <c r="N900" t="s">
        <v>56</v>
      </c>
      <c r="O900" t="s">
        <v>86</v>
      </c>
      <c r="P900" t="s">
        <v>58</v>
      </c>
      <c r="Q900" t="s">
        <v>500</v>
      </c>
      <c r="R900" t="s">
        <v>2767</v>
      </c>
      <c r="S900">
        <v>2</v>
      </c>
      <c r="T900" t="s">
        <v>96</v>
      </c>
      <c r="U900">
        <v>317</v>
      </c>
      <c r="V900" t="s">
        <v>79</v>
      </c>
    </row>
    <row r="901" spans="1:22" x14ac:dyDescent="0.3">
      <c r="A901" t="s">
        <v>2768</v>
      </c>
      <c r="B901" t="s">
        <v>1309</v>
      </c>
      <c r="C901">
        <v>24</v>
      </c>
      <c r="D901" t="s">
        <v>24</v>
      </c>
      <c r="E901" t="s">
        <v>99</v>
      </c>
      <c r="F901" t="s">
        <v>82</v>
      </c>
      <c r="G901" t="s">
        <v>1526</v>
      </c>
      <c r="H901" t="s">
        <v>957</v>
      </c>
      <c r="I901" t="s">
        <v>29</v>
      </c>
      <c r="J901" t="s">
        <v>30</v>
      </c>
      <c r="K901">
        <v>2</v>
      </c>
      <c r="L901">
        <v>49064</v>
      </c>
      <c r="M901">
        <v>5</v>
      </c>
      <c r="N901" t="s">
        <v>45</v>
      </c>
      <c r="O901" t="s">
        <v>57</v>
      </c>
      <c r="P901" t="s">
        <v>58</v>
      </c>
      <c r="Q901" t="s">
        <v>1311</v>
      </c>
      <c r="R901" t="s">
        <v>2769</v>
      </c>
      <c r="S901">
        <v>5</v>
      </c>
      <c r="T901" t="s">
        <v>36</v>
      </c>
      <c r="U901">
        <v>377</v>
      </c>
      <c r="V901" t="s">
        <v>62</v>
      </c>
    </row>
    <row r="902" spans="1:22" x14ac:dyDescent="0.3">
      <c r="A902" t="s">
        <v>2770</v>
      </c>
      <c r="B902" t="s">
        <v>2016</v>
      </c>
      <c r="C902">
        <v>40</v>
      </c>
      <c r="D902" t="s">
        <v>51</v>
      </c>
      <c r="E902" t="s">
        <v>229</v>
      </c>
      <c r="F902" t="s">
        <v>91</v>
      </c>
      <c r="G902" t="s">
        <v>1097</v>
      </c>
      <c r="H902" t="s">
        <v>685</v>
      </c>
      <c r="I902" t="s">
        <v>93</v>
      </c>
      <c r="J902" t="s">
        <v>30</v>
      </c>
      <c r="K902">
        <v>4</v>
      </c>
      <c r="L902">
        <v>47320</v>
      </c>
      <c r="M902">
        <v>5</v>
      </c>
      <c r="N902" t="s">
        <v>45</v>
      </c>
      <c r="O902" t="s">
        <v>109</v>
      </c>
      <c r="P902" t="s">
        <v>58</v>
      </c>
      <c r="Q902" t="s">
        <v>1792</v>
      </c>
      <c r="R902" t="s">
        <v>2771</v>
      </c>
      <c r="S902">
        <v>5</v>
      </c>
      <c r="T902" t="s">
        <v>72</v>
      </c>
      <c r="U902">
        <v>354</v>
      </c>
      <c r="V902" t="s">
        <v>37</v>
      </c>
    </row>
    <row r="903" spans="1:22" x14ac:dyDescent="0.3">
      <c r="A903" t="s">
        <v>2772</v>
      </c>
      <c r="B903" t="s">
        <v>570</v>
      </c>
      <c r="C903">
        <v>25</v>
      </c>
      <c r="D903" t="s">
        <v>51</v>
      </c>
      <c r="E903" t="s">
        <v>229</v>
      </c>
      <c r="F903" t="s">
        <v>65</v>
      </c>
      <c r="G903" t="s">
        <v>224</v>
      </c>
      <c r="H903" t="s">
        <v>1135</v>
      </c>
      <c r="I903" t="s">
        <v>93</v>
      </c>
      <c r="J903" t="s">
        <v>44</v>
      </c>
      <c r="K903">
        <v>5</v>
      </c>
      <c r="L903">
        <v>43620</v>
      </c>
      <c r="M903">
        <v>10</v>
      </c>
      <c r="N903" t="s">
        <v>45</v>
      </c>
      <c r="O903" t="s">
        <v>173</v>
      </c>
      <c r="P903" t="s">
        <v>174</v>
      </c>
      <c r="Q903" t="s">
        <v>573</v>
      </c>
      <c r="R903" t="s">
        <v>2773</v>
      </c>
      <c r="S903">
        <v>4</v>
      </c>
      <c r="T903" t="s">
        <v>61</v>
      </c>
      <c r="U903">
        <v>384</v>
      </c>
      <c r="V903" t="s">
        <v>37</v>
      </c>
    </row>
    <row r="904" spans="1:22" x14ac:dyDescent="0.3">
      <c r="A904" t="s">
        <v>2774</v>
      </c>
      <c r="B904" t="s">
        <v>702</v>
      </c>
      <c r="C904">
        <v>46</v>
      </c>
      <c r="D904" t="s">
        <v>24</v>
      </c>
      <c r="E904" t="s">
        <v>52</v>
      </c>
      <c r="F904" t="s">
        <v>91</v>
      </c>
      <c r="G904" t="s">
        <v>666</v>
      </c>
      <c r="H904" t="s">
        <v>494</v>
      </c>
      <c r="I904" t="s">
        <v>85</v>
      </c>
      <c r="J904" t="s">
        <v>30</v>
      </c>
      <c r="L904">
        <v>29449</v>
      </c>
      <c r="M904">
        <v>0</v>
      </c>
      <c r="N904" t="s">
        <v>166</v>
      </c>
      <c r="O904" t="s">
        <v>102</v>
      </c>
      <c r="P904" t="s">
        <v>174</v>
      </c>
      <c r="Q904" t="s">
        <v>916</v>
      </c>
      <c r="R904" t="s">
        <v>2775</v>
      </c>
      <c r="S904">
        <v>3</v>
      </c>
      <c r="T904" t="s">
        <v>61</v>
      </c>
      <c r="U904">
        <v>255</v>
      </c>
      <c r="V904" t="s">
        <v>62</v>
      </c>
    </row>
    <row r="905" spans="1:22" x14ac:dyDescent="0.3">
      <c r="A905" t="s">
        <v>2776</v>
      </c>
      <c r="B905" t="s">
        <v>498</v>
      </c>
      <c r="C905">
        <v>25</v>
      </c>
      <c r="D905" t="s">
        <v>51</v>
      </c>
      <c r="E905" t="s">
        <v>131</v>
      </c>
      <c r="F905" t="s">
        <v>91</v>
      </c>
      <c r="G905" t="s">
        <v>2777</v>
      </c>
      <c r="H905" t="s">
        <v>529</v>
      </c>
      <c r="I905" t="s">
        <v>108</v>
      </c>
      <c r="J905" t="s">
        <v>30</v>
      </c>
      <c r="K905">
        <v>1</v>
      </c>
      <c r="L905">
        <v>11068</v>
      </c>
      <c r="M905">
        <v>5</v>
      </c>
      <c r="N905" t="s">
        <v>31</v>
      </c>
      <c r="O905" t="s">
        <v>102</v>
      </c>
      <c r="P905" t="s">
        <v>69</v>
      </c>
      <c r="S905">
        <v>4</v>
      </c>
      <c r="T905" t="s">
        <v>36</v>
      </c>
      <c r="U905">
        <v>231</v>
      </c>
      <c r="V905" t="s">
        <v>62</v>
      </c>
    </row>
    <row r="906" spans="1:22" x14ac:dyDescent="0.3">
      <c r="A906" t="s">
        <v>2778</v>
      </c>
      <c r="B906" t="s">
        <v>209</v>
      </c>
      <c r="C906">
        <v>30</v>
      </c>
      <c r="D906" t="s">
        <v>24</v>
      </c>
      <c r="E906" t="s">
        <v>131</v>
      </c>
      <c r="F906" t="s">
        <v>82</v>
      </c>
      <c r="G906" t="s">
        <v>1104</v>
      </c>
      <c r="H906" t="s">
        <v>458</v>
      </c>
      <c r="I906" t="s">
        <v>108</v>
      </c>
      <c r="J906" t="s">
        <v>30</v>
      </c>
      <c r="K906">
        <v>2</v>
      </c>
      <c r="L906">
        <v>66957</v>
      </c>
      <c r="M906">
        <v>10</v>
      </c>
      <c r="N906" t="s">
        <v>166</v>
      </c>
      <c r="O906" t="s">
        <v>102</v>
      </c>
      <c r="P906" t="s">
        <v>58</v>
      </c>
      <c r="Q906" t="s">
        <v>1001</v>
      </c>
      <c r="R906" t="s">
        <v>2779</v>
      </c>
      <c r="S906">
        <v>5</v>
      </c>
      <c r="T906" t="s">
        <v>61</v>
      </c>
      <c r="U906">
        <v>367</v>
      </c>
      <c r="V906" t="s">
        <v>79</v>
      </c>
    </row>
    <row r="907" spans="1:22" x14ac:dyDescent="0.3">
      <c r="A907" t="s">
        <v>2780</v>
      </c>
      <c r="B907" t="s">
        <v>344</v>
      </c>
      <c r="C907">
        <v>60</v>
      </c>
      <c r="D907" t="s">
        <v>51</v>
      </c>
      <c r="E907" t="s">
        <v>131</v>
      </c>
      <c r="F907" t="s">
        <v>91</v>
      </c>
      <c r="G907" t="s">
        <v>1321</v>
      </c>
      <c r="H907" t="s">
        <v>891</v>
      </c>
      <c r="I907" t="s">
        <v>108</v>
      </c>
      <c r="J907" t="s">
        <v>44</v>
      </c>
      <c r="K907">
        <v>1</v>
      </c>
      <c r="L907">
        <v>23424</v>
      </c>
      <c r="M907">
        <v>10</v>
      </c>
      <c r="N907" t="s">
        <v>31</v>
      </c>
      <c r="O907" t="s">
        <v>57</v>
      </c>
      <c r="P907" t="s">
        <v>33</v>
      </c>
      <c r="R907" t="s">
        <v>2781</v>
      </c>
      <c r="S907">
        <v>4</v>
      </c>
      <c r="T907" t="s">
        <v>96</v>
      </c>
      <c r="U907">
        <v>152</v>
      </c>
      <c r="V907" t="s">
        <v>62</v>
      </c>
    </row>
    <row r="908" spans="1:22" x14ac:dyDescent="0.3">
      <c r="A908" t="s">
        <v>2782</v>
      </c>
      <c r="B908" t="s">
        <v>547</v>
      </c>
      <c r="C908">
        <v>53</v>
      </c>
      <c r="D908" t="s">
        <v>51</v>
      </c>
      <c r="E908" t="s">
        <v>99</v>
      </c>
      <c r="F908" t="s">
        <v>65</v>
      </c>
      <c r="G908" t="s">
        <v>354</v>
      </c>
      <c r="H908" t="s">
        <v>449</v>
      </c>
      <c r="I908" t="s">
        <v>77</v>
      </c>
      <c r="J908" t="s">
        <v>30</v>
      </c>
      <c r="K908">
        <v>5</v>
      </c>
      <c r="L908">
        <v>73915</v>
      </c>
      <c r="M908">
        <v>5</v>
      </c>
      <c r="N908" t="s">
        <v>56</v>
      </c>
      <c r="O908" t="s">
        <v>32</v>
      </c>
      <c r="P908" t="s">
        <v>174</v>
      </c>
      <c r="Q908" t="s">
        <v>549</v>
      </c>
      <c r="R908" t="s">
        <v>2783</v>
      </c>
      <c r="S908">
        <v>1</v>
      </c>
      <c r="T908" t="s">
        <v>36</v>
      </c>
      <c r="U908">
        <v>443</v>
      </c>
      <c r="V908" t="s">
        <v>79</v>
      </c>
    </row>
    <row r="909" spans="1:22" x14ac:dyDescent="0.3">
      <c r="A909" t="s">
        <v>2784</v>
      </c>
      <c r="B909" t="s">
        <v>344</v>
      </c>
      <c r="C909">
        <v>28</v>
      </c>
      <c r="D909" t="s">
        <v>24</v>
      </c>
      <c r="E909" t="s">
        <v>25</v>
      </c>
      <c r="F909" t="s">
        <v>82</v>
      </c>
      <c r="G909" t="s">
        <v>2785</v>
      </c>
      <c r="H909" t="s">
        <v>206</v>
      </c>
      <c r="I909" t="s">
        <v>108</v>
      </c>
      <c r="J909" t="s">
        <v>44</v>
      </c>
      <c r="K909">
        <v>3</v>
      </c>
      <c r="M909">
        <v>10</v>
      </c>
      <c r="N909" t="s">
        <v>166</v>
      </c>
      <c r="O909" t="s">
        <v>86</v>
      </c>
      <c r="P909" t="s">
        <v>69</v>
      </c>
      <c r="Q909" t="s">
        <v>347</v>
      </c>
      <c r="R909" t="s">
        <v>2786</v>
      </c>
      <c r="S909">
        <v>3</v>
      </c>
      <c r="T909" t="s">
        <v>36</v>
      </c>
      <c r="U909">
        <v>95</v>
      </c>
      <c r="V909" t="s">
        <v>62</v>
      </c>
    </row>
    <row r="910" spans="1:22" x14ac:dyDescent="0.3">
      <c r="A910" t="s">
        <v>2787</v>
      </c>
      <c r="B910" t="s">
        <v>933</v>
      </c>
      <c r="C910">
        <v>21</v>
      </c>
      <c r="D910" t="s">
        <v>51</v>
      </c>
      <c r="E910" t="s">
        <v>52</v>
      </c>
      <c r="F910" t="s">
        <v>26</v>
      </c>
      <c r="G910" t="s">
        <v>446</v>
      </c>
      <c r="H910" t="s">
        <v>1362</v>
      </c>
      <c r="I910" t="s">
        <v>77</v>
      </c>
      <c r="J910" t="s">
        <v>30</v>
      </c>
      <c r="K910">
        <v>5</v>
      </c>
      <c r="L910">
        <v>18680</v>
      </c>
      <c r="M910">
        <v>0</v>
      </c>
      <c r="N910" t="s">
        <v>45</v>
      </c>
      <c r="O910" t="s">
        <v>133</v>
      </c>
      <c r="P910" t="s">
        <v>174</v>
      </c>
      <c r="Q910" t="s">
        <v>935</v>
      </c>
      <c r="R910" t="s">
        <v>2788</v>
      </c>
      <c r="S910">
        <v>3</v>
      </c>
      <c r="T910" t="s">
        <v>61</v>
      </c>
      <c r="U910">
        <v>319</v>
      </c>
      <c r="V910" t="s">
        <v>37</v>
      </c>
    </row>
    <row r="911" spans="1:22" x14ac:dyDescent="0.3">
      <c r="A911" t="s">
        <v>2789</v>
      </c>
      <c r="B911" t="s">
        <v>803</v>
      </c>
      <c r="C911">
        <v>39</v>
      </c>
      <c r="D911" t="s">
        <v>163</v>
      </c>
      <c r="E911" t="s">
        <v>229</v>
      </c>
      <c r="F911" t="s">
        <v>26</v>
      </c>
      <c r="G911" t="s">
        <v>2790</v>
      </c>
      <c r="H911" t="s">
        <v>107</v>
      </c>
      <c r="I911" t="s">
        <v>29</v>
      </c>
      <c r="J911" t="s">
        <v>30</v>
      </c>
      <c r="K911">
        <v>2</v>
      </c>
      <c r="L911">
        <v>45059</v>
      </c>
      <c r="M911">
        <v>0</v>
      </c>
      <c r="N911" t="s">
        <v>56</v>
      </c>
      <c r="O911" t="s">
        <v>133</v>
      </c>
      <c r="P911" t="s">
        <v>58</v>
      </c>
      <c r="Q911" t="s">
        <v>805</v>
      </c>
      <c r="R911" t="s">
        <v>2791</v>
      </c>
      <c r="S911">
        <v>3</v>
      </c>
      <c r="T911" t="s">
        <v>72</v>
      </c>
      <c r="U911">
        <v>333</v>
      </c>
      <c r="V911" t="s">
        <v>62</v>
      </c>
    </row>
    <row r="912" spans="1:22" x14ac:dyDescent="0.3">
      <c r="A912" t="s">
        <v>2792</v>
      </c>
      <c r="B912" t="s">
        <v>498</v>
      </c>
      <c r="C912">
        <v>38</v>
      </c>
      <c r="D912" t="s">
        <v>51</v>
      </c>
      <c r="E912" t="s">
        <v>26</v>
      </c>
      <c r="F912" t="s">
        <v>65</v>
      </c>
      <c r="G912" t="s">
        <v>1260</v>
      </c>
      <c r="H912" t="s">
        <v>1483</v>
      </c>
      <c r="I912" t="s">
        <v>93</v>
      </c>
      <c r="J912" t="s">
        <v>30</v>
      </c>
      <c r="K912">
        <v>5</v>
      </c>
      <c r="L912">
        <v>77981</v>
      </c>
      <c r="M912">
        <v>15</v>
      </c>
      <c r="N912" t="s">
        <v>31</v>
      </c>
      <c r="O912" t="s">
        <v>133</v>
      </c>
      <c r="P912" t="s">
        <v>69</v>
      </c>
      <c r="Q912" t="s">
        <v>500</v>
      </c>
      <c r="R912" t="s">
        <v>2793</v>
      </c>
      <c r="S912">
        <v>2</v>
      </c>
      <c r="T912" t="s">
        <v>96</v>
      </c>
      <c r="U912">
        <v>498</v>
      </c>
      <c r="V912" t="s">
        <v>37</v>
      </c>
    </row>
    <row r="913" spans="1:22" x14ac:dyDescent="0.3">
      <c r="A913" t="s">
        <v>2794</v>
      </c>
      <c r="B913" t="s">
        <v>650</v>
      </c>
      <c r="C913">
        <v>19</v>
      </c>
      <c r="D913" t="s">
        <v>51</v>
      </c>
      <c r="E913" t="s">
        <v>26</v>
      </c>
      <c r="F913" t="s">
        <v>65</v>
      </c>
      <c r="G913" t="s">
        <v>1582</v>
      </c>
      <c r="H913" t="s">
        <v>1583</v>
      </c>
      <c r="I913" t="s">
        <v>77</v>
      </c>
      <c r="J913" t="s">
        <v>30</v>
      </c>
      <c r="K913">
        <v>2</v>
      </c>
      <c r="L913">
        <v>18217</v>
      </c>
      <c r="M913">
        <v>0</v>
      </c>
      <c r="N913" t="s">
        <v>45</v>
      </c>
      <c r="O913" t="s">
        <v>102</v>
      </c>
      <c r="P913" t="s">
        <v>174</v>
      </c>
      <c r="Q913" t="s">
        <v>653</v>
      </c>
      <c r="R913" t="s">
        <v>2795</v>
      </c>
      <c r="S913">
        <v>3</v>
      </c>
      <c r="T913" t="s">
        <v>36</v>
      </c>
      <c r="U913">
        <v>438</v>
      </c>
      <c r="V913" t="s">
        <v>79</v>
      </c>
    </row>
    <row r="914" spans="1:22" x14ac:dyDescent="0.3">
      <c r="A914" t="s">
        <v>2796</v>
      </c>
      <c r="B914" t="s">
        <v>457</v>
      </c>
      <c r="C914">
        <v>48</v>
      </c>
      <c r="D914" t="s">
        <v>51</v>
      </c>
      <c r="E914" t="s">
        <v>142</v>
      </c>
      <c r="F914" t="s">
        <v>53</v>
      </c>
      <c r="G914" t="s">
        <v>179</v>
      </c>
      <c r="H914" t="s">
        <v>1829</v>
      </c>
      <c r="I914" t="s">
        <v>93</v>
      </c>
      <c r="J914" t="s">
        <v>44</v>
      </c>
      <c r="K914">
        <v>4</v>
      </c>
      <c r="L914">
        <v>66623</v>
      </c>
      <c r="M914">
        <v>5</v>
      </c>
      <c r="N914" t="s">
        <v>31</v>
      </c>
      <c r="O914" t="s">
        <v>133</v>
      </c>
      <c r="P914" t="s">
        <v>174</v>
      </c>
      <c r="Q914" t="s">
        <v>595</v>
      </c>
      <c r="R914" t="s">
        <v>2797</v>
      </c>
      <c r="S914">
        <v>1</v>
      </c>
      <c r="T914" t="s">
        <v>96</v>
      </c>
      <c r="U914">
        <v>317</v>
      </c>
      <c r="V914" t="s">
        <v>37</v>
      </c>
    </row>
    <row r="915" spans="1:22" x14ac:dyDescent="0.3">
      <c r="A915" t="s">
        <v>2798</v>
      </c>
      <c r="B915" t="s">
        <v>249</v>
      </c>
      <c r="C915">
        <v>37</v>
      </c>
      <c r="D915" t="s">
        <v>24</v>
      </c>
      <c r="E915" t="s">
        <v>52</v>
      </c>
      <c r="F915" t="s">
        <v>26</v>
      </c>
      <c r="G915" t="s">
        <v>1519</v>
      </c>
      <c r="H915" t="s">
        <v>1463</v>
      </c>
      <c r="I915" t="s">
        <v>77</v>
      </c>
      <c r="J915" t="s">
        <v>30</v>
      </c>
      <c r="L915">
        <v>28557</v>
      </c>
      <c r="M915">
        <v>15</v>
      </c>
      <c r="N915" t="s">
        <v>45</v>
      </c>
      <c r="O915" t="s">
        <v>68</v>
      </c>
      <c r="P915" t="s">
        <v>174</v>
      </c>
      <c r="Q915" t="s">
        <v>252</v>
      </c>
      <c r="R915" t="s">
        <v>2799</v>
      </c>
      <c r="S915">
        <v>1</v>
      </c>
      <c r="T915" t="s">
        <v>61</v>
      </c>
      <c r="U915">
        <v>314</v>
      </c>
      <c r="V915" t="s">
        <v>79</v>
      </c>
    </row>
    <row r="916" spans="1:22" x14ac:dyDescent="0.3">
      <c r="A916" t="s">
        <v>2800</v>
      </c>
      <c r="B916" t="s">
        <v>1686</v>
      </c>
      <c r="C916">
        <v>32</v>
      </c>
      <c r="D916" t="s">
        <v>24</v>
      </c>
      <c r="E916" t="s">
        <v>26</v>
      </c>
      <c r="F916" t="s">
        <v>82</v>
      </c>
      <c r="G916" t="s">
        <v>304</v>
      </c>
      <c r="H916" t="s">
        <v>305</v>
      </c>
      <c r="I916" t="s">
        <v>93</v>
      </c>
      <c r="J916" t="s">
        <v>30</v>
      </c>
      <c r="K916">
        <v>3</v>
      </c>
      <c r="L916">
        <v>39778</v>
      </c>
      <c r="M916">
        <v>10</v>
      </c>
      <c r="N916" t="s">
        <v>166</v>
      </c>
      <c r="O916" t="s">
        <v>32</v>
      </c>
      <c r="P916" t="s">
        <v>33</v>
      </c>
      <c r="Q916" t="s">
        <v>1687</v>
      </c>
      <c r="R916" t="s">
        <v>2801</v>
      </c>
      <c r="S916">
        <v>3</v>
      </c>
      <c r="T916" t="s">
        <v>72</v>
      </c>
      <c r="U916">
        <v>375</v>
      </c>
      <c r="V916" t="s">
        <v>79</v>
      </c>
    </row>
    <row r="917" spans="1:22" x14ac:dyDescent="0.3">
      <c r="A917" t="s">
        <v>2802</v>
      </c>
      <c r="B917" t="s">
        <v>90</v>
      </c>
      <c r="C917">
        <v>53</v>
      </c>
      <c r="D917" t="s">
        <v>51</v>
      </c>
      <c r="E917" t="s">
        <v>52</v>
      </c>
      <c r="F917" t="s">
        <v>26</v>
      </c>
      <c r="G917" t="s">
        <v>295</v>
      </c>
      <c r="H917" t="s">
        <v>1100</v>
      </c>
      <c r="I917" t="s">
        <v>29</v>
      </c>
      <c r="J917" t="s">
        <v>30</v>
      </c>
      <c r="K917">
        <v>2</v>
      </c>
      <c r="M917">
        <v>10</v>
      </c>
      <c r="N917" t="s">
        <v>31</v>
      </c>
      <c r="O917" t="s">
        <v>32</v>
      </c>
      <c r="P917" t="s">
        <v>174</v>
      </c>
      <c r="Q917" t="s">
        <v>94</v>
      </c>
      <c r="R917" t="s">
        <v>2803</v>
      </c>
      <c r="S917">
        <v>2</v>
      </c>
      <c r="T917" t="s">
        <v>61</v>
      </c>
      <c r="U917">
        <v>247</v>
      </c>
      <c r="V917" t="s">
        <v>62</v>
      </c>
    </row>
    <row r="918" spans="1:22" x14ac:dyDescent="0.3">
      <c r="A918" t="s">
        <v>2804</v>
      </c>
      <c r="B918" t="s">
        <v>74</v>
      </c>
      <c r="C918">
        <v>34</v>
      </c>
      <c r="D918" t="s">
        <v>24</v>
      </c>
      <c r="E918" t="s">
        <v>40</v>
      </c>
      <c r="F918" t="s">
        <v>91</v>
      </c>
      <c r="G918" t="s">
        <v>2805</v>
      </c>
      <c r="H918" t="s">
        <v>1731</v>
      </c>
      <c r="I918" t="s">
        <v>77</v>
      </c>
      <c r="J918" t="s">
        <v>30</v>
      </c>
      <c r="K918">
        <v>3</v>
      </c>
      <c r="L918">
        <v>28650</v>
      </c>
      <c r="M918">
        <v>0</v>
      </c>
      <c r="N918" t="s">
        <v>166</v>
      </c>
      <c r="O918" t="s">
        <v>173</v>
      </c>
      <c r="P918" t="s">
        <v>174</v>
      </c>
      <c r="Q918" t="s">
        <v>78</v>
      </c>
      <c r="R918" t="s">
        <v>2806</v>
      </c>
      <c r="S918">
        <v>1</v>
      </c>
      <c r="T918" t="s">
        <v>61</v>
      </c>
      <c r="U918">
        <v>405</v>
      </c>
      <c r="V918" t="s">
        <v>79</v>
      </c>
    </row>
    <row r="919" spans="1:22" x14ac:dyDescent="0.3">
      <c r="A919" t="s">
        <v>2807</v>
      </c>
      <c r="B919" t="s">
        <v>204</v>
      </c>
      <c r="C919">
        <v>56</v>
      </c>
      <c r="D919" t="s">
        <v>24</v>
      </c>
      <c r="E919" t="s">
        <v>131</v>
      </c>
      <c r="F919" t="s">
        <v>65</v>
      </c>
      <c r="G919" t="s">
        <v>1820</v>
      </c>
      <c r="H919" t="s">
        <v>1984</v>
      </c>
      <c r="I919" t="s">
        <v>43</v>
      </c>
      <c r="J919" t="s">
        <v>44</v>
      </c>
      <c r="K919">
        <v>5</v>
      </c>
      <c r="L919">
        <v>60197</v>
      </c>
      <c r="M919">
        <v>15</v>
      </c>
      <c r="N919" t="s">
        <v>45</v>
      </c>
      <c r="O919" t="s">
        <v>57</v>
      </c>
      <c r="P919" t="s">
        <v>58</v>
      </c>
      <c r="Q919" t="s">
        <v>207</v>
      </c>
      <c r="R919" t="s">
        <v>2808</v>
      </c>
      <c r="S919">
        <v>5</v>
      </c>
      <c r="T919" t="s">
        <v>96</v>
      </c>
      <c r="U919">
        <v>169</v>
      </c>
      <c r="V919" t="s">
        <v>37</v>
      </c>
    </row>
    <row r="920" spans="1:22" x14ac:dyDescent="0.3">
      <c r="A920" t="s">
        <v>2809</v>
      </c>
      <c r="B920" t="s">
        <v>1503</v>
      </c>
      <c r="C920">
        <v>54</v>
      </c>
      <c r="D920" t="s">
        <v>51</v>
      </c>
      <c r="E920" t="s">
        <v>40</v>
      </c>
      <c r="F920" t="s">
        <v>65</v>
      </c>
      <c r="G920" t="s">
        <v>1271</v>
      </c>
      <c r="H920" t="s">
        <v>1386</v>
      </c>
      <c r="I920" t="s">
        <v>93</v>
      </c>
      <c r="J920" t="s">
        <v>30</v>
      </c>
      <c r="K920">
        <v>2</v>
      </c>
      <c r="L920">
        <v>10656</v>
      </c>
      <c r="M920">
        <v>15</v>
      </c>
      <c r="N920" t="s">
        <v>56</v>
      </c>
      <c r="O920" t="s">
        <v>57</v>
      </c>
      <c r="P920" t="s">
        <v>58</v>
      </c>
      <c r="Q920" t="s">
        <v>252</v>
      </c>
      <c r="R920" t="s">
        <v>2810</v>
      </c>
      <c r="S920">
        <v>2</v>
      </c>
      <c r="T920" t="s">
        <v>61</v>
      </c>
      <c r="U920">
        <v>179</v>
      </c>
      <c r="V920" t="s">
        <v>79</v>
      </c>
    </row>
    <row r="921" spans="1:22" x14ac:dyDescent="0.3">
      <c r="A921" t="s">
        <v>2811</v>
      </c>
      <c r="B921" t="s">
        <v>344</v>
      </c>
      <c r="C921">
        <v>21</v>
      </c>
      <c r="D921" t="s">
        <v>51</v>
      </c>
      <c r="E921" t="s">
        <v>229</v>
      </c>
      <c r="F921" t="s">
        <v>65</v>
      </c>
      <c r="G921" t="s">
        <v>2812</v>
      </c>
      <c r="H921" t="s">
        <v>1156</v>
      </c>
      <c r="I921" t="s">
        <v>85</v>
      </c>
      <c r="J921" t="s">
        <v>30</v>
      </c>
      <c r="K921">
        <v>1</v>
      </c>
      <c r="M921">
        <v>10</v>
      </c>
      <c r="N921" t="s">
        <v>45</v>
      </c>
      <c r="O921" t="s">
        <v>46</v>
      </c>
      <c r="P921" t="s">
        <v>69</v>
      </c>
      <c r="Q921" t="s">
        <v>347</v>
      </c>
      <c r="R921" t="s">
        <v>2813</v>
      </c>
      <c r="S921">
        <v>4</v>
      </c>
      <c r="T921" t="s">
        <v>96</v>
      </c>
      <c r="U921">
        <v>166</v>
      </c>
      <c r="V921" t="s">
        <v>79</v>
      </c>
    </row>
    <row r="922" spans="1:22" x14ac:dyDescent="0.3">
      <c r="A922" t="s">
        <v>2814</v>
      </c>
      <c r="B922" t="s">
        <v>1008</v>
      </c>
      <c r="C922">
        <v>35</v>
      </c>
      <c r="D922" t="s">
        <v>24</v>
      </c>
      <c r="E922" t="s">
        <v>131</v>
      </c>
      <c r="F922" t="s">
        <v>82</v>
      </c>
      <c r="G922" t="s">
        <v>1961</v>
      </c>
      <c r="H922" t="s">
        <v>1804</v>
      </c>
      <c r="I922" t="s">
        <v>29</v>
      </c>
      <c r="J922" t="s">
        <v>30</v>
      </c>
      <c r="K922">
        <v>3</v>
      </c>
      <c r="L922">
        <v>52447</v>
      </c>
      <c r="M922">
        <v>5</v>
      </c>
      <c r="N922" t="s">
        <v>56</v>
      </c>
      <c r="O922" t="s">
        <v>32</v>
      </c>
      <c r="P922" t="s">
        <v>174</v>
      </c>
      <c r="Q922" t="s">
        <v>1011</v>
      </c>
      <c r="R922" t="s">
        <v>2815</v>
      </c>
      <c r="S922">
        <v>1</v>
      </c>
      <c r="T922" t="s">
        <v>36</v>
      </c>
      <c r="U922">
        <v>394</v>
      </c>
      <c r="V922" t="s">
        <v>37</v>
      </c>
    </row>
    <row r="923" spans="1:22" x14ac:dyDescent="0.3">
      <c r="A923" t="s">
        <v>2816</v>
      </c>
      <c r="B923" t="s">
        <v>476</v>
      </c>
      <c r="C923">
        <v>48</v>
      </c>
      <c r="D923" t="s">
        <v>24</v>
      </c>
      <c r="E923" t="s">
        <v>26</v>
      </c>
      <c r="F923" t="s">
        <v>91</v>
      </c>
      <c r="G923" t="s">
        <v>1009</v>
      </c>
      <c r="H923" t="s">
        <v>2076</v>
      </c>
      <c r="I923" t="s">
        <v>108</v>
      </c>
      <c r="J923" t="s">
        <v>30</v>
      </c>
      <c r="K923">
        <v>3</v>
      </c>
      <c r="L923">
        <v>72987</v>
      </c>
      <c r="M923">
        <v>0</v>
      </c>
      <c r="N923" t="s">
        <v>166</v>
      </c>
      <c r="O923" t="s">
        <v>68</v>
      </c>
      <c r="P923" t="s">
        <v>58</v>
      </c>
      <c r="Q923" t="s">
        <v>478</v>
      </c>
      <c r="R923" t="s">
        <v>2817</v>
      </c>
      <c r="S923">
        <v>1</v>
      </c>
      <c r="T923" t="s">
        <v>36</v>
      </c>
      <c r="U923">
        <v>449</v>
      </c>
      <c r="V923" t="s">
        <v>79</v>
      </c>
    </row>
    <row r="924" spans="1:22" x14ac:dyDescent="0.3">
      <c r="A924" t="s">
        <v>2818</v>
      </c>
      <c r="B924" t="s">
        <v>397</v>
      </c>
      <c r="C924">
        <v>46</v>
      </c>
      <c r="D924" t="s">
        <v>51</v>
      </c>
      <c r="E924" t="s">
        <v>40</v>
      </c>
      <c r="F924" t="s">
        <v>91</v>
      </c>
      <c r="G924" t="s">
        <v>970</v>
      </c>
      <c r="H924" t="s">
        <v>1190</v>
      </c>
      <c r="I924" t="s">
        <v>77</v>
      </c>
      <c r="J924" t="s">
        <v>44</v>
      </c>
      <c r="K924">
        <v>5</v>
      </c>
      <c r="L924">
        <v>55304</v>
      </c>
      <c r="M924">
        <v>0</v>
      </c>
      <c r="N924" t="s">
        <v>45</v>
      </c>
      <c r="O924" t="s">
        <v>86</v>
      </c>
      <c r="P924" t="s">
        <v>69</v>
      </c>
      <c r="Q924" t="s">
        <v>400</v>
      </c>
      <c r="R924" t="s">
        <v>2819</v>
      </c>
      <c r="S924">
        <v>4</v>
      </c>
      <c r="T924" t="s">
        <v>72</v>
      </c>
      <c r="U924">
        <v>472</v>
      </c>
      <c r="V924" t="s">
        <v>79</v>
      </c>
    </row>
    <row r="925" spans="1:22" x14ac:dyDescent="0.3">
      <c r="A925" t="s">
        <v>2820</v>
      </c>
      <c r="B925" t="s">
        <v>315</v>
      </c>
      <c r="C925">
        <v>26</v>
      </c>
      <c r="D925" t="s">
        <v>24</v>
      </c>
      <c r="E925" t="s">
        <v>26</v>
      </c>
      <c r="F925" t="s">
        <v>65</v>
      </c>
      <c r="G925" t="s">
        <v>763</v>
      </c>
      <c r="H925" t="s">
        <v>2070</v>
      </c>
      <c r="I925" t="s">
        <v>77</v>
      </c>
      <c r="J925" t="s">
        <v>30</v>
      </c>
      <c r="K925">
        <v>4</v>
      </c>
      <c r="L925">
        <v>21277</v>
      </c>
      <c r="M925">
        <v>5</v>
      </c>
      <c r="N925" t="s">
        <v>31</v>
      </c>
      <c r="O925" t="s">
        <v>46</v>
      </c>
      <c r="P925" t="s">
        <v>174</v>
      </c>
      <c r="Q925" t="s">
        <v>318</v>
      </c>
      <c r="R925" t="s">
        <v>2821</v>
      </c>
      <c r="S925">
        <v>3</v>
      </c>
      <c r="T925" t="s">
        <v>61</v>
      </c>
      <c r="U925">
        <v>285</v>
      </c>
      <c r="V925" t="s">
        <v>37</v>
      </c>
    </row>
    <row r="926" spans="1:22" x14ac:dyDescent="0.3">
      <c r="A926" t="s">
        <v>2822</v>
      </c>
      <c r="B926" t="s">
        <v>382</v>
      </c>
      <c r="C926">
        <v>22</v>
      </c>
      <c r="D926" t="s">
        <v>24</v>
      </c>
      <c r="E926" t="s">
        <v>52</v>
      </c>
      <c r="F926" t="s">
        <v>26</v>
      </c>
      <c r="G926" t="s">
        <v>2823</v>
      </c>
      <c r="H926" t="s">
        <v>2545</v>
      </c>
      <c r="I926" t="s">
        <v>43</v>
      </c>
      <c r="J926" t="s">
        <v>30</v>
      </c>
      <c r="K926">
        <v>5</v>
      </c>
      <c r="L926">
        <v>54425</v>
      </c>
      <c r="M926">
        <v>5</v>
      </c>
      <c r="N926" t="s">
        <v>45</v>
      </c>
      <c r="O926" t="s">
        <v>57</v>
      </c>
      <c r="P926" t="s">
        <v>174</v>
      </c>
      <c r="Q926" t="s">
        <v>385</v>
      </c>
      <c r="R926" t="s">
        <v>2824</v>
      </c>
      <c r="S926">
        <v>1</v>
      </c>
      <c r="T926" t="s">
        <v>72</v>
      </c>
      <c r="U926">
        <v>475</v>
      </c>
      <c r="V926" t="s">
        <v>62</v>
      </c>
    </row>
    <row r="927" spans="1:22" x14ac:dyDescent="0.3">
      <c r="A927" t="s">
        <v>2825</v>
      </c>
      <c r="B927" t="s">
        <v>498</v>
      </c>
      <c r="C927">
        <v>52</v>
      </c>
      <c r="D927" t="s">
        <v>24</v>
      </c>
      <c r="E927" t="s">
        <v>26</v>
      </c>
      <c r="F927" t="s">
        <v>26</v>
      </c>
      <c r="G927" t="s">
        <v>768</v>
      </c>
      <c r="H927" t="s">
        <v>2661</v>
      </c>
      <c r="I927" t="s">
        <v>43</v>
      </c>
      <c r="J927" t="s">
        <v>44</v>
      </c>
      <c r="K927">
        <v>3</v>
      </c>
      <c r="L927">
        <v>71916</v>
      </c>
      <c r="M927">
        <v>5</v>
      </c>
      <c r="N927" t="s">
        <v>31</v>
      </c>
      <c r="O927" t="s">
        <v>32</v>
      </c>
      <c r="P927" t="s">
        <v>174</v>
      </c>
      <c r="Q927" t="s">
        <v>500</v>
      </c>
      <c r="R927" t="s">
        <v>2826</v>
      </c>
      <c r="S927">
        <v>5</v>
      </c>
      <c r="T927" t="s">
        <v>96</v>
      </c>
      <c r="U927">
        <v>377</v>
      </c>
      <c r="V927" t="s">
        <v>37</v>
      </c>
    </row>
    <row r="928" spans="1:22" x14ac:dyDescent="0.3">
      <c r="A928" t="s">
        <v>2827</v>
      </c>
      <c r="B928" t="s">
        <v>1309</v>
      </c>
      <c r="C928">
        <v>44</v>
      </c>
      <c r="D928" t="s">
        <v>51</v>
      </c>
      <c r="E928" t="s">
        <v>25</v>
      </c>
      <c r="F928" t="s">
        <v>53</v>
      </c>
      <c r="G928" t="s">
        <v>667</v>
      </c>
      <c r="H928" t="s">
        <v>552</v>
      </c>
      <c r="I928" t="s">
        <v>43</v>
      </c>
      <c r="J928" t="s">
        <v>30</v>
      </c>
      <c r="K928">
        <v>5</v>
      </c>
      <c r="L928">
        <v>39971</v>
      </c>
      <c r="M928">
        <v>15</v>
      </c>
      <c r="N928" t="s">
        <v>56</v>
      </c>
      <c r="O928" t="s">
        <v>32</v>
      </c>
      <c r="P928" t="s">
        <v>58</v>
      </c>
      <c r="R928" t="s">
        <v>2828</v>
      </c>
      <c r="S928">
        <v>3</v>
      </c>
      <c r="T928" t="s">
        <v>36</v>
      </c>
      <c r="U928">
        <v>324</v>
      </c>
      <c r="V928" t="s">
        <v>62</v>
      </c>
    </row>
    <row r="929" spans="1:22" x14ac:dyDescent="0.3">
      <c r="A929" t="s">
        <v>2829</v>
      </c>
      <c r="B929" t="s">
        <v>105</v>
      </c>
      <c r="C929">
        <v>46</v>
      </c>
      <c r="D929" t="s">
        <v>51</v>
      </c>
      <c r="E929" t="s">
        <v>40</v>
      </c>
      <c r="F929" t="s">
        <v>65</v>
      </c>
      <c r="G929" t="s">
        <v>1902</v>
      </c>
      <c r="H929" t="s">
        <v>747</v>
      </c>
      <c r="I929" t="s">
        <v>108</v>
      </c>
      <c r="J929" t="s">
        <v>44</v>
      </c>
      <c r="K929">
        <v>5</v>
      </c>
      <c r="L929">
        <v>74461</v>
      </c>
      <c r="M929">
        <v>0</v>
      </c>
      <c r="N929" t="s">
        <v>31</v>
      </c>
      <c r="O929" t="s">
        <v>86</v>
      </c>
      <c r="P929" t="s">
        <v>33</v>
      </c>
      <c r="Q929" t="s">
        <v>110</v>
      </c>
      <c r="R929" t="s">
        <v>2830</v>
      </c>
      <c r="S929">
        <v>1</v>
      </c>
      <c r="T929" t="s">
        <v>36</v>
      </c>
      <c r="U929">
        <v>449</v>
      </c>
      <c r="V929" t="s">
        <v>62</v>
      </c>
    </row>
    <row r="930" spans="1:22" x14ac:dyDescent="0.3">
      <c r="A930" t="s">
        <v>2831</v>
      </c>
      <c r="B930" t="s">
        <v>527</v>
      </c>
      <c r="C930">
        <v>49</v>
      </c>
      <c r="D930" t="s">
        <v>51</v>
      </c>
      <c r="E930" t="s">
        <v>131</v>
      </c>
      <c r="F930" t="s">
        <v>26</v>
      </c>
      <c r="G930" t="s">
        <v>751</v>
      </c>
      <c r="H930" t="s">
        <v>1221</v>
      </c>
      <c r="I930" t="s">
        <v>43</v>
      </c>
      <c r="J930" t="s">
        <v>30</v>
      </c>
      <c r="K930">
        <v>3</v>
      </c>
      <c r="L930">
        <v>77472</v>
      </c>
      <c r="M930">
        <v>0</v>
      </c>
      <c r="N930" t="s">
        <v>31</v>
      </c>
      <c r="O930" t="s">
        <v>57</v>
      </c>
      <c r="P930" t="s">
        <v>174</v>
      </c>
      <c r="Q930" t="s">
        <v>530</v>
      </c>
      <c r="S930">
        <v>5</v>
      </c>
      <c r="T930" t="s">
        <v>36</v>
      </c>
      <c r="U930">
        <v>167</v>
      </c>
      <c r="V930" t="s">
        <v>79</v>
      </c>
    </row>
    <row r="931" spans="1:22" x14ac:dyDescent="0.3">
      <c r="A931" t="s">
        <v>2832</v>
      </c>
      <c r="B931" t="s">
        <v>555</v>
      </c>
      <c r="C931">
        <v>18</v>
      </c>
      <c r="D931" t="s">
        <v>51</v>
      </c>
      <c r="E931" t="s">
        <v>131</v>
      </c>
      <c r="F931" t="s">
        <v>53</v>
      </c>
      <c r="G931" t="s">
        <v>630</v>
      </c>
      <c r="H931" t="s">
        <v>1022</v>
      </c>
      <c r="I931" t="s">
        <v>43</v>
      </c>
      <c r="J931" t="s">
        <v>44</v>
      </c>
      <c r="K931">
        <v>2</v>
      </c>
      <c r="L931">
        <v>44384</v>
      </c>
      <c r="M931">
        <v>10</v>
      </c>
      <c r="N931" t="s">
        <v>56</v>
      </c>
      <c r="O931" t="s">
        <v>68</v>
      </c>
      <c r="P931" t="s">
        <v>33</v>
      </c>
      <c r="Q931" t="s">
        <v>558</v>
      </c>
      <c r="R931" t="s">
        <v>2833</v>
      </c>
      <c r="S931">
        <v>4</v>
      </c>
      <c r="T931" t="s">
        <v>61</v>
      </c>
      <c r="U931">
        <v>173</v>
      </c>
      <c r="V931" t="s">
        <v>37</v>
      </c>
    </row>
    <row r="932" spans="1:22" x14ac:dyDescent="0.3">
      <c r="A932" t="s">
        <v>2834</v>
      </c>
      <c r="B932" t="s">
        <v>235</v>
      </c>
      <c r="C932">
        <v>32</v>
      </c>
      <c r="D932" t="s">
        <v>24</v>
      </c>
      <c r="E932" t="s">
        <v>229</v>
      </c>
      <c r="F932" t="s">
        <v>53</v>
      </c>
      <c r="G932" t="s">
        <v>619</v>
      </c>
      <c r="H932" t="s">
        <v>2058</v>
      </c>
      <c r="I932" t="s">
        <v>85</v>
      </c>
      <c r="J932" t="s">
        <v>44</v>
      </c>
      <c r="K932">
        <v>3</v>
      </c>
      <c r="L932">
        <v>35262</v>
      </c>
      <c r="M932">
        <v>10</v>
      </c>
      <c r="N932" t="s">
        <v>45</v>
      </c>
      <c r="O932" t="s">
        <v>46</v>
      </c>
      <c r="P932" t="s">
        <v>69</v>
      </c>
      <c r="Q932" t="s">
        <v>871</v>
      </c>
      <c r="R932" t="s">
        <v>2835</v>
      </c>
      <c r="S932">
        <v>1</v>
      </c>
      <c r="T932" t="s">
        <v>96</v>
      </c>
      <c r="U932">
        <v>159</v>
      </c>
      <c r="V932" t="s">
        <v>79</v>
      </c>
    </row>
    <row r="933" spans="1:22" x14ac:dyDescent="0.3">
      <c r="A933" t="s">
        <v>2836</v>
      </c>
      <c r="B933" t="s">
        <v>113</v>
      </c>
      <c r="C933">
        <v>45</v>
      </c>
      <c r="D933" t="s">
        <v>24</v>
      </c>
      <c r="E933" t="s">
        <v>131</v>
      </c>
      <c r="F933" t="s">
        <v>65</v>
      </c>
      <c r="G933" t="s">
        <v>1656</v>
      </c>
      <c r="H933" t="s">
        <v>1176</v>
      </c>
      <c r="I933" t="s">
        <v>108</v>
      </c>
      <c r="J933" t="s">
        <v>44</v>
      </c>
      <c r="K933">
        <v>3</v>
      </c>
      <c r="M933">
        <v>5</v>
      </c>
      <c r="N933" t="s">
        <v>56</v>
      </c>
      <c r="O933" t="s">
        <v>102</v>
      </c>
      <c r="P933" t="s">
        <v>69</v>
      </c>
      <c r="Q933" t="s">
        <v>116</v>
      </c>
      <c r="R933" t="s">
        <v>2837</v>
      </c>
      <c r="S933">
        <v>4</v>
      </c>
      <c r="T933" t="s">
        <v>96</v>
      </c>
      <c r="U933">
        <v>344</v>
      </c>
      <c r="V933" t="s">
        <v>37</v>
      </c>
    </row>
    <row r="934" spans="1:22" x14ac:dyDescent="0.3">
      <c r="A934" t="s">
        <v>2838</v>
      </c>
      <c r="B934" t="s">
        <v>321</v>
      </c>
      <c r="C934">
        <v>59</v>
      </c>
      <c r="D934" t="s">
        <v>51</v>
      </c>
      <c r="E934" t="s">
        <v>52</v>
      </c>
      <c r="F934" t="s">
        <v>82</v>
      </c>
      <c r="G934" t="s">
        <v>2839</v>
      </c>
      <c r="H934" t="s">
        <v>1854</v>
      </c>
      <c r="I934" t="s">
        <v>77</v>
      </c>
      <c r="J934" t="s">
        <v>44</v>
      </c>
      <c r="K934">
        <v>5</v>
      </c>
      <c r="L934">
        <v>24368</v>
      </c>
      <c r="M934">
        <v>10</v>
      </c>
      <c r="N934" t="s">
        <v>56</v>
      </c>
      <c r="O934" t="s">
        <v>46</v>
      </c>
      <c r="P934" t="s">
        <v>174</v>
      </c>
      <c r="R934" t="s">
        <v>2840</v>
      </c>
      <c r="S934">
        <v>2</v>
      </c>
      <c r="T934" t="s">
        <v>61</v>
      </c>
      <c r="U934">
        <v>158</v>
      </c>
      <c r="V934" t="s">
        <v>37</v>
      </c>
    </row>
    <row r="935" spans="1:22" x14ac:dyDescent="0.3">
      <c r="A935" t="s">
        <v>2841</v>
      </c>
      <c r="B935" t="s">
        <v>803</v>
      </c>
      <c r="C935">
        <v>45</v>
      </c>
      <c r="D935" t="s">
        <v>24</v>
      </c>
      <c r="E935" t="s">
        <v>40</v>
      </c>
      <c r="F935" t="s">
        <v>26</v>
      </c>
      <c r="G935" t="s">
        <v>1019</v>
      </c>
      <c r="H935" t="s">
        <v>2842</v>
      </c>
      <c r="I935" t="s">
        <v>29</v>
      </c>
      <c r="J935" t="s">
        <v>30</v>
      </c>
      <c r="K935">
        <v>3</v>
      </c>
      <c r="L935">
        <v>28938</v>
      </c>
      <c r="M935">
        <v>15</v>
      </c>
      <c r="N935" t="s">
        <v>45</v>
      </c>
      <c r="O935" t="s">
        <v>102</v>
      </c>
      <c r="P935" t="s">
        <v>174</v>
      </c>
      <c r="Q935" t="s">
        <v>805</v>
      </c>
      <c r="R935" t="s">
        <v>2843</v>
      </c>
      <c r="S935">
        <v>1</v>
      </c>
      <c r="T935" t="s">
        <v>72</v>
      </c>
      <c r="U935">
        <v>125</v>
      </c>
      <c r="V935" t="s">
        <v>79</v>
      </c>
    </row>
    <row r="936" spans="1:22" x14ac:dyDescent="0.3">
      <c r="A936" t="s">
        <v>2844</v>
      </c>
      <c r="B936" t="s">
        <v>547</v>
      </c>
      <c r="C936">
        <v>21</v>
      </c>
      <c r="D936" t="s">
        <v>24</v>
      </c>
      <c r="E936" t="s">
        <v>131</v>
      </c>
      <c r="F936" t="s">
        <v>53</v>
      </c>
      <c r="G936" t="s">
        <v>2845</v>
      </c>
      <c r="H936" t="s">
        <v>1135</v>
      </c>
      <c r="I936" t="s">
        <v>43</v>
      </c>
      <c r="J936" t="s">
        <v>44</v>
      </c>
      <c r="K936">
        <v>3</v>
      </c>
      <c r="L936">
        <v>52811</v>
      </c>
      <c r="M936">
        <v>0</v>
      </c>
      <c r="N936" t="s">
        <v>45</v>
      </c>
      <c r="O936" t="s">
        <v>102</v>
      </c>
      <c r="P936" t="s">
        <v>69</v>
      </c>
      <c r="R936" t="s">
        <v>2846</v>
      </c>
      <c r="S936">
        <v>3</v>
      </c>
      <c r="T936" t="s">
        <v>61</v>
      </c>
      <c r="U936">
        <v>261</v>
      </c>
      <c r="V936" t="s">
        <v>37</v>
      </c>
    </row>
    <row r="937" spans="1:22" x14ac:dyDescent="0.3">
      <c r="A937" t="s">
        <v>2847</v>
      </c>
      <c r="B937" t="s">
        <v>119</v>
      </c>
      <c r="C937">
        <v>52</v>
      </c>
      <c r="D937" t="s">
        <v>51</v>
      </c>
      <c r="E937" t="s">
        <v>26</v>
      </c>
      <c r="F937" t="s">
        <v>91</v>
      </c>
      <c r="G937" t="s">
        <v>1034</v>
      </c>
      <c r="H937" t="s">
        <v>736</v>
      </c>
      <c r="I937" t="s">
        <v>85</v>
      </c>
      <c r="J937" t="s">
        <v>30</v>
      </c>
      <c r="K937">
        <v>1</v>
      </c>
      <c r="L937">
        <v>78656</v>
      </c>
      <c r="M937">
        <v>0</v>
      </c>
      <c r="N937" t="s">
        <v>45</v>
      </c>
      <c r="O937" t="s">
        <v>68</v>
      </c>
      <c r="P937" t="s">
        <v>174</v>
      </c>
      <c r="Q937" t="s">
        <v>122</v>
      </c>
      <c r="R937" t="s">
        <v>2848</v>
      </c>
      <c r="S937">
        <v>4</v>
      </c>
      <c r="T937" t="s">
        <v>96</v>
      </c>
      <c r="U937">
        <v>476</v>
      </c>
      <c r="V937" t="s">
        <v>37</v>
      </c>
    </row>
    <row r="938" spans="1:22" x14ac:dyDescent="0.3">
      <c r="A938" t="s">
        <v>2849</v>
      </c>
      <c r="B938" t="s">
        <v>808</v>
      </c>
      <c r="C938">
        <v>41</v>
      </c>
      <c r="D938" t="s">
        <v>24</v>
      </c>
      <c r="E938" t="s">
        <v>142</v>
      </c>
      <c r="F938" t="s">
        <v>53</v>
      </c>
      <c r="G938" t="s">
        <v>642</v>
      </c>
      <c r="H938" t="s">
        <v>367</v>
      </c>
      <c r="I938" t="s">
        <v>93</v>
      </c>
      <c r="J938" t="s">
        <v>44</v>
      </c>
      <c r="K938">
        <v>3</v>
      </c>
      <c r="L938">
        <v>72352</v>
      </c>
      <c r="M938">
        <v>5</v>
      </c>
      <c r="N938" t="s">
        <v>31</v>
      </c>
      <c r="O938" t="s">
        <v>133</v>
      </c>
      <c r="P938" t="s">
        <v>174</v>
      </c>
      <c r="R938" t="s">
        <v>2850</v>
      </c>
      <c r="S938">
        <v>1</v>
      </c>
      <c r="T938" t="s">
        <v>36</v>
      </c>
      <c r="U938">
        <v>477</v>
      </c>
      <c r="V938" t="s">
        <v>37</v>
      </c>
    </row>
    <row r="939" spans="1:22" x14ac:dyDescent="0.3">
      <c r="A939" t="s">
        <v>2851</v>
      </c>
      <c r="B939" t="s">
        <v>39</v>
      </c>
      <c r="C939">
        <v>54</v>
      </c>
      <c r="D939" t="s">
        <v>51</v>
      </c>
      <c r="E939" t="s">
        <v>26</v>
      </c>
      <c r="F939" t="s">
        <v>53</v>
      </c>
      <c r="G939" t="s">
        <v>172</v>
      </c>
      <c r="H939" t="s">
        <v>1010</v>
      </c>
      <c r="I939" t="s">
        <v>93</v>
      </c>
      <c r="J939" t="s">
        <v>44</v>
      </c>
      <c r="K939">
        <v>4</v>
      </c>
      <c r="L939">
        <v>48220</v>
      </c>
      <c r="M939">
        <v>15</v>
      </c>
      <c r="N939" t="s">
        <v>56</v>
      </c>
      <c r="O939" t="s">
        <v>68</v>
      </c>
      <c r="P939" t="s">
        <v>58</v>
      </c>
      <c r="R939" t="s">
        <v>2852</v>
      </c>
      <c r="S939">
        <v>4</v>
      </c>
      <c r="T939" t="s">
        <v>72</v>
      </c>
      <c r="U939">
        <v>59</v>
      </c>
      <c r="V939" t="s">
        <v>62</v>
      </c>
    </row>
    <row r="940" spans="1:22" x14ac:dyDescent="0.3">
      <c r="A940" t="s">
        <v>2853</v>
      </c>
      <c r="B940" t="s">
        <v>547</v>
      </c>
      <c r="C940">
        <v>29</v>
      </c>
      <c r="D940" t="s">
        <v>51</v>
      </c>
      <c r="E940" t="s">
        <v>52</v>
      </c>
      <c r="F940" t="s">
        <v>53</v>
      </c>
      <c r="G940" t="s">
        <v>1674</v>
      </c>
      <c r="H940" t="s">
        <v>2608</v>
      </c>
      <c r="I940" t="s">
        <v>85</v>
      </c>
      <c r="J940" t="s">
        <v>30</v>
      </c>
      <c r="K940">
        <v>3</v>
      </c>
      <c r="L940">
        <v>74785</v>
      </c>
      <c r="M940">
        <v>10</v>
      </c>
      <c r="N940" t="s">
        <v>56</v>
      </c>
      <c r="O940" t="s">
        <v>68</v>
      </c>
      <c r="P940" t="s">
        <v>58</v>
      </c>
      <c r="Q940" t="s">
        <v>549</v>
      </c>
      <c r="R940" t="s">
        <v>2854</v>
      </c>
      <c r="S940">
        <v>3</v>
      </c>
      <c r="T940" t="s">
        <v>36</v>
      </c>
      <c r="U940">
        <v>456</v>
      </c>
      <c r="V940" t="s">
        <v>79</v>
      </c>
    </row>
    <row r="941" spans="1:22" x14ac:dyDescent="0.3">
      <c r="A941" t="s">
        <v>2855</v>
      </c>
      <c r="B941" t="s">
        <v>2856</v>
      </c>
      <c r="C941">
        <v>28</v>
      </c>
      <c r="D941" t="s">
        <v>51</v>
      </c>
      <c r="E941" t="s">
        <v>131</v>
      </c>
      <c r="F941" t="s">
        <v>26</v>
      </c>
      <c r="G941" t="s">
        <v>1627</v>
      </c>
      <c r="H941" t="s">
        <v>800</v>
      </c>
      <c r="I941" t="s">
        <v>93</v>
      </c>
      <c r="J941" t="s">
        <v>44</v>
      </c>
      <c r="K941">
        <v>5</v>
      </c>
      <c r="L941">
        <v>49356</v>
      </c>
      <c r="M941">
        <v>10</v>
      </c>
      <c r="N941" t="s">
        <v>31</v>
      </c>
      <c r="O941" t="s">
        <v>86</v>
      </c>
      <c r="P941" t="s">
        <v>33</v>
      </c>
      <c r="R941" t="s">
        <v>2857</v>
      </c>
      <c r="S941">
        <v>1</v>
      </c>
      <c r="T941" t="s">
        <v>61</v>
      </c>
      <c r="U941">
        <v>357</v>
      </c>
      <c r="V941" t="s">
        <v>62</v>
      </c>
    </row>
    <row r="942" spans="1:22" x14ac:dyDescent="0.3">
      <c r="A942" t="s">
        <v>2858</v>
      </c>
      <c r="B942" t="s">
        <v>285</v>
      </c>
      <c r="C942">
        <v>37</v>
      </c>
      <c r="D942" t="s">
        <v>51</v>
      </c>
      <c r="E942" t="s">
        <v>25</v>
      </c>
      <c r="F942" t="s">
        <v>65</v>
      </c>
      <c r="G942" t="s">
        <v>389</v>
      </c>
      <c r="H942" t="s">
        <v>993</v>
      </c>
      <c r="I942" t="s">
        <v>108</v>
      </c>
      <c r="J942" t="s">
        <v>44</v>
      </c>
      <c r="K942">
        <v>4</v>
      </c>
      <c r="L942">
        <v>15997</v>
      </c>
      <c r="M942">
        <v>15</v>
      </c>
      <c r="N942" t="s">
        <v>166</v>
      </c>
      <c r="O942" t="s">
        <v>32</v>
      </c>
      <c r="P942" t="s">
        <v>33</v>
      </c>
      <c r="Q942" t="s">
        <v>300</v>
      </c>
      <c r="R942" t="s">
        <v>2859</v>
      </c>
      <c r="S942">
        <v>5</v>
      </c>
      <c r="T942" t="s">
        <v>72</v>
      </c>
      <c r="U942">
        <v>416</v>
      </c>
      <c r="V942" t="s">
        <v>79</v>
      </c>
    </row>
    <row r="943" spans="1:22" x14ac:dyDescent="0.3">
      <c r="A943" t="s">
        <v>2860</v>
      </c>
      <c r="B943" t="s">
        <v>222</v>
      </c>
      <c r="C943">
        <v>32</v>
      </c>
      <c r="D943" t="s">
        <v>51</v>
      </c>
      <c r="E943" t="s">
        <v>229</v>
      </c>
      <c r="F943" t="s">
        <v>82</v>
      </c>
      <c r="G943" t="s">
        <v>990</v>
      </c>
      <c r="H943" t="s">
        <v>399</v>
      </c>
      <c r="I943" t="s">
        <v>85</v>
      </c>
      <c r="J943" t="s">
        <v>44</v>
      </c>
      <c r="K943">
        <v>1</v>
      </c>
      <c r="L943">
        <v>35760</v>
      </c>
      <c r="M943">
        <v>5</v>
      </c>
      <c r="N943" t="s">
        <v>45</v>
      </c>
      <c r="O943" t="s">
        <v>281</v>
      </c>
      <c r="P943" t="s">
        <v>174</v>
      </c>
      <c r="Q943" t="s">
        <v>225</v>
      </c>
      <c r="R943" t="s">
        <v>2861</v>
      </c>
      <c r="S943">
        <v>2</v>
      </c>
      <c r="T943" t="s">
        <v>61</v>
      </c>
      <c r="U943">
        <v>277</v>
      </c>
      <c r="V943" t="s">
        <v>79</v>
      </c>
    </row>
    <row r="944" spans="1:22" x14ac:dyDescent="0.3">
      <c r="A944" t="s">
        <v>2862</v>
      </c>
      <c r="B944" t="s">
        <v>674</v>
      </c>
      <c r="C944">
        <v>45</v>
      </c>
      <c r="D944" t="s">
        <v>51</v>
      </c>
      <c r="E944" t="s">
        <v>229</v>
      </c>
      <c r="F944" t="s">
        <v>82</v>
      </c>
      <c r="G944" t="s">
        <v>523</v>
      </c>
      <c r="H944" t="s">
        <v>1403</v>
      </c>
      <c r="I944" t="s">
        <v>29</v>
      </c>
      <c r="J944" t="s">
        <v>44</v>
      </c>
      <c r="K944">
        <v>1</v>
      </c>
      <c r="M944">
        <v>15</v>
      </c>
      <c r="N944" t="s">
        <v>166</v>
      </c>
      <c r="O944" t="s">
        <v>68</v>
      </c>
      <c r="P944" t="s">
        <v>174</v>
      </c>
      <c r="Q944" t="s">
        <v>677</v>
      </c>
      <c r="R944" t="s">
        <v>2863</v>
      </c>
      <c r="S944">
        <v>2</v>
      </c>
      <c r="T944" t="s">
        <v>96</v>
      </c>
      <c r="U944">
        <v>67</v>
      </c>
      <c r="V944" t="s">
        <v>62</v>
      </c>
    </row>
    <row r="945" spans="1:22" x14ac:dyDescent="0.3">
      <c r="A945" t="s">
        <v>2864</v>
      </c>
      <c r="B945" t="s">
        <v>1014</v>
      </c>
      <c r="C945">
        <v>23</v>
      </c>
      <c r="D945" t="s">
        <v>51</v>
      </c>
      <c r="E945" t="s">
        <v>52</v>
      </c>
      <c r="F945" t="s">
        <v>53</v>
      </c>
      <c r="G945" t="s">
        <v>1167</v>
      </c>
      <c r="H945" t="s">
        <v>1583</v>
      </c>
      <c r="I945" t="s">
        <v>43</v>
      </c>
      <c r="J945" t="s">
        <v>30</v>
      </c>
      <c r="K945">
        <v>3</v>
      </c>
      <c r="M945">
        <v>15</v>
      </c>
      <c r="N945" t="s">
        <v>31</v>
      </c>
      <c r="O945" t="s">
        <v>281</v>
      </c>
      <c r="P945" t="s">
        <v>33</v>
      </c>
      <c r="Q945" t="s">
        <v>935</v>
      </c>
      <c r="R945" t="s">
        <v>2865</v>
      </c>
      <c r="S945">
        <v>3</v>
      </c>
      <c r="T945" t="s">
        <v>72</v>
      </c>
      <c r="U945">
        <v>108</v>
      </c>
      <c r="V945" t="s">
        <v>79</v>
      </c>
    </row>
    <row r="946" spans="1:22" x14ac:dyDescent="0.3">
      <c r="A946" t="s">
        <v>2866</v>
      </c>
      <c r="B946" t="s">
        <v>1008</v>
      </c>
      <c r="C946">
        <v>23</v>
      </c>
      <c r="D946" t="s">
        <v>51</v>
      </c>
      <c r="E946" t="s">
        <v>26</v>
      </c>
      <c r="F946" t="s">
        <v>26</v>
      </c>
      <c r="G946" t="s">
        <v>2867</v>
      </c>
      <c r="H946" t="s">
        <v>2100</v>
      </c>
      <c r="I946" t="s">
        <v>77</v>
      </c>
      <c r="J946" t="s">
        <v>30</v>
      </c>
      <c r="K946">
        <v>5</v>
      </c>
      <c r="L946">
        <v>50791</v>
      </c>
      <c r="M946">
        <v>10</v>
      </c>
      <c r="N946" t="s">
        <v>31</v>
      </c>
      <c r="O946" t="s">
        <v>281</v>
      </c>
      <c r="P946" t="s">
        <v>58</v>
      </c>
      <c r="Q946" t="s">
        <v>1011</v>
      </c>
      <c r="R946" t="s">
        <v>2868</v>
      </c>
      <c r="S946">
        <v>5</v>
      </c>
      <c r="T946" t="s">
        <v>61</v>
      </c>
      <c r="U946">
        <v>136</v>
      </c>
      <c r="V946" t="s">
        <v>37</v>
      </c>
    </row>
    <row r="947" spans="1:22" x14ac:dyDescent="0.3">
      <c r="A947" t="s">
        <v>2869</v>
      </c>
      <c r="B947" t="s">
        <v>1309</v>
      </c>
      <c r="C947">
        <v>28</v>
      </c>
      <c r="D947" t="s">
        <v>24</v>
      </c>
      <c r="E947" t="s">
        <v>40</v>
      </c>
      <c r="F947" t="s">
        <v>91</v>
      </c>
      <c r="G947" t="s">
        <v>2870</v>
      </c>
      <c r="H947" t="s">
        <v>1646</v>
      </c>
      <c r="I947" t="s">
        <v>93</v>
      </c>
      <c r="J947" t="s">
        <v>30</v>
      </c>
      <c r="K947">
        <v>3</v>
      </c>
      <c r="L947">
        <v>23179</v>
      </c>
      <c r="M947">
        <v>15</v>
      </c>
      <c r="N947" t="s">
        <v>45</v>
      </c>
      <c r="O947" t="s">
        <v>57</v>
      </c>
      <c r="P947" t="s">
        <v>58</v>
      </c>
      <c r="Q947" t="s">
        <v>1311</v>
      </c>
      <c r="R947" t="s">
        <v>2871</v>
      </c>
      <c r="S947">
        <v>5</v>
      </c>
      <c r="T947" t="s">
        <v>72</v>
      </c>
      <c r="U947">
        <v>271</v>
      </c>
      <c r="V947" t="s">
        <v>37</v>
      </c>
    </row>
    <row r="948" spans="1:22" x14ac:dyDescent="0.3">
      <c r="A948" t="s">
        <v>2872</v>
      </c>
      <c r="B948" t="s">
        <v>272</v>
      </c>
      <c r="C948">
        <v>18</v>
      </c>
      <c r="D948" t="s">
        <v>24</v>
      </c>
      <c r="E948" t="s">
        <v>131</v>
      </c>
      <c r="F948" t="s">
        <v>82</v>
      </c>
      <c r="G948" t="s">
        <v>1288</v>
      </c>
      <c r="H948" t="s">
        <v>363</v>
      </c>
      <c r="I948" t="s">
        <v>43</v>
      </c>
      <c r="J948" t="s">
        <v>44</v>
      </c>
      <c r="K948">
        <v>1</v>
      </c>
      <c r="L948">
        <v>14063</v>
      </c>
      <c r="M948">
        <v>5</v>
      </c>
      <c r="N948" t="s">
        <v>56</v>
      </c>
      <c r="O948" t="s">
        <v>46</v>
      </c>
      <c r="P948" t="s">
        <v>33</v>
      </c>
      <c r="Q948" t="s">
        <v>275</v>
      </c>
      <c r="R948" t="s">
        <v>2873</v>
      </c>
      <c r="S948">
        <v>2</v>
      </c>
      <c r="T948" t="s">
        <v>61</v>
      </c>
      <c r="U948">
        <v>286</v>
      </c>
      <c r="V948" t="s">
        <v>62</v>
      </c>
    </row>
    <row r="949" spans="1:22" x14ac:dyDescent="0.3">
      <c r="A949" t="s">
        <v>2874</v>
      </c>
      <c r="B949" t="s">
        <v>272</v>
      </c>
      <c r="C949">
        <v>49</v>
      </c>
      <c r="D949" t="s">
        <v>51</v>
      </c>
      <c r="E949" t="s">
        <v>229</v>
      </c>
      <c r="F949" t="s">
        <v>65</v>
      </c>
      <c r="G949" t="s">
        <v>114</v>
      </c>
      <c r="H949" t="s">
        <v>1557</v>
      </c>
      <c r="I949" t="s">
        <v>77</v>
      </c>
      <c r="J949" t="s">
        <v>30</v>
      </c>
      <c r="K949">
        <v>4</v>
      </c>
      <c r="L949">
        <v>62548</v>
      </c>
      <c r="M949">
        <v>10</v>
      </c>
      <c r="N949" t="s">
        <v>56</v>
      </c>
      <c r="O949" t="s">
        <v>68</v>
      </c>
      <c r="P949" t="s">
        <v>58</v>
      </c>
      <c r="Q949" t="s">
        <v>275</v>
      </c>
      <c r="R949" t="s">
        <v>2875</v>
      </c>
      <c r="S949">
        <v>4</v>
      </c>
      <c r="T949" t="s">
        <v>96</v>
      </c>
      <c r="U949">
        <v>477</v>
      </c>
      <c r="V949" t="s">
        <v>37</v>
      </c>
    </row>
    <row r="950" spans="1:22" x14ac:dyDescent="0.3">
      <c r="A950" t="s">
        <v>2876</v>
      </c>
      <c r="B950" t="s">
        <v>293</v>
      </c>
      <c r="C950">
        <v>45</v>
      </c>
      <c r="D950" t="s">
        <v>51</v>
      </c>
      <c r="E950" t="s">
        <v>131</v>
      </c>
      <c r="F950" t="s">
        <v>65</v>
      </c>
      <c r="G950" t="s">
        <v>867</v>
      </c>
      <c r="H950" t="s">
        <v>943</v>
      </c>
      <c r="I950" t="s">
        <v>29</v>
      </c>
      <c r="J950" t="s">
        <v>44</v>
      </c>
      <c r="K950">
        <v>3</v>
      </c>
      <c r="L950">
        <v>57563</v>
      </c>
      <c r="M950">
        <v>15</v>
      </c>
      <c r="N950" t="s">
        <v>45</v>
      </c>
      <c r="O950" t="s">
        <v>86</v>
      </c>
      <c r="P950" t="s">
        <v>58</v>
      </c>
      <c r="Q950" t="s">
        <v>1231</v>
      </c>
      <c r="R950" t="s">
        <v>2877</v>
      </c>
      <c r="S950">
        <v>3</v>
      </c>
      <c r="T950" t="s">
        <v>61</v>
      </c>
      <c r="U950">
        <v>157</v>
      </c>
      <c r="V950" t="s">
        <v>79</v>
      </c>
    </row>
    <row r="951" spans="1:22" x14ac:dyDescent="0.3">
      <c r="A951" t="s">
        <v>2878</v>
      </c>
      <c r="B951" t="s">
        <v>235</v>
      </c>
      <c r="C951">
        <v>52</v>
      </c>
      <c r="D951" t="s">
        <v>24</v>
      </c>
      <c r="E951" t="s">
        <v>229</v>
      </c>
      <c r="F951" t="s">
        <v>26</v>
      </c>
      <c r="G951" t="s">
        <v>2153</v>
      </c>
      <c r="H951" t="s">
        <v>1960</v>
      </c>
      <c r="I951" t="s">
        <v>77</v>
      </c>
      <c r="J951" t="s">
        <v>44</v>
      </c>
      <c r="K951">
        <v>3</v>
      </c>
      <c r="L951">
        <v>67770</v>
      </c>
      <c r="M951">
        <v>0</v>
      </c>
      <c r="N951" t="s">
        <v>45</v>
      </c>
      <c r="O951" t="s">
        <v>109</v>
      </c>
      <c r="P951" t="s">
        <v>33</v>
      </c>
      <c r="Q951" t="s">
        <v>871</v>
      </c>
      <c r="R951" t="s">
        <v>2879</v>
      </c>
      <c r="S951">
        <v>2</v>
      </c>
      <c r="T951" t="s">
        <v>36</v>
      </c>
      <c r="U951">
        <v>337</v>
      </c>
      <c r="V951" t="s">
        <v>62</v>
      </c>
    </row>
    <row r="952" spans="1:22" x14ac:dyDescent="0.3">
      <c r="A952" t="s">
        <v>2880</v>
      </c>
      <c r="B952" t="s">
        <v>198</v>
      </c>
      <c r="C952">
        <v>60</v>
      </c>
      <c r="D952" t="s">
        <v>163</v>
      </c>
      <c r="E952" t="s">
        <v>142</v>
      </c>
      <c r="F952" t="s">
        <v>53</v>
      </c>
      <c r="G952" t="s">
        <v>494</v>
      </c>
      <c r="H952" t="s">
        <v>351</v>
      </c>
      <c r="I952" t="s">
        <v>93</v>
      </c>
      <c r="J952" t="s">
        <v>30</v>
      </c>
      <c r="K952">
        <v>4</v>
      </c>
      <c r="L952">
        <v>68102</v>
      </c>
      <c r="M952">
        <v>10</v>
      </c>
      <c r="N952" t="s">
        <v>56</v>
      </c>
      <c r="O952" t="s">
        <v>32</v>
      </c>
      <c r="P952" t="s">
        <v>69</v>
      </c>
      <c r="Q952" t="s">
        <v>201</v>
      </c>
      <c r="R952" t="s">
        <v>2881</v>
      </c>
      <c r="S952">
        <v>4</v>
      </c>
      <c r="T952" t="s">
        <v>36</v>
      </c>
      <c r="U952">
        <v>447</v>
      </c>
      <c r="V952" t="s">
        <v>37</v>
      </c>
    </row>
    <row r="953" spans="1:22" x14ac:dyDescent="0.3">
      <c r="A953" t="s">
        <v>2882</v>
      </c>
      <c r="B953" t="s">
        <v>660</v>
      </c>
      <c r="C953">
        <v>30</v>
      </c>
      <c r="D953" t="s">
        <v>51</v>
      </c>
      <c r="E953" t="s">
        <v>52</v>
      </c>
      <c r="F953" t="s">
        <v>53</v>
      </c>
      <c r="G953" t="s">
        <v>2883</v>
      </c>
      <c r="H953" t="s">
        <v>942</v>
      </c>
      <c r="I953" t="s">
        <v>108</v>
      </c>
      <c r="J953" t="s">
        <v>30</v>
      </c>
      <c r="K953">
        <v>4</v>
      </c>
      <c r="L953">
        <v>59016</v>
      </c>
      <c r="M953">
        <v>5</v>
      </c>
      <c r="N953" t="s">
        <v>31</v>
      </c>
      <c r="O953" t="s">
        <v>86</v>
      </c>
      <c r="P953" t="s">
        <v>58</v>
      </c>
      <c r="Q953" t="s">
        <v>662</v>
      </c>
      <c r="R953" t="s">
        <v>2884</v>
      </c>
      <c r="S953">
        <v>4</v>
      </c>
      <c r="T953" t="s">
        <v>61</v>
      </c>
      <c r="U953">
        <v>226</v>
      </c>
      <c r="V953" t="s">
        <v>62</v>
      </c>
    </row>
    <row r="954" spans="1:22" x14ac:dyDescent="0.3">
      <c r="A954" t="s">
        <v>2885</v>
      </c>
      <c r="B954" t="s">
        <v>119</v>
      </c>
      <c r="C954">
        <v>23</v>
      </c>
      <c r="D954" t="s">
        <v>24</v>
      </c>
      <c r="E954" t="s">
        <v>142</v>
      </c>
      <c r="F954" t="s">
        <v>91</v>
      </c>
      <c r="G954" t="s">
        <v>1010</v>
      </c>
      <c r="H954" t="s">
        <v>1104</v>
      </c>
      <c r="I954" t="s">
        <v>108</v>
      </c>
      <c r="J954" t="s">
        <v>44</v>
      </c>
      <c r="K954">
        <v>2</v>
      </c>
      <c r="M954">
        <v>0</v>
      </c>
      <c r="N954" t="s">
        <v>166</v>
      </c>
      <c r="O954" t="s">
        <v>102</v>
      </c>
      <c r="P954" t="s">
        <v>174</v>
      </c>
      <c r="R954" t="s">
        <v>2886</v>
      </c>
      <c r="S954">
        <v>4</v>
      </c>
      <c r="T954" t="s">
        <v>96</v>
      </c>
      <c r="U954">
        <v>225</v>
      </c>
      <c r="V954" t="s">
        <v>37</v>
      </c>
    </row>
    <row r="955" spans="1:22" x14ac:dyDescent="0.3">
      <c r="A955" t="s">
        <v>2887</v>
      </c>
      <c r="B955" t="s">
        <v>141</v>
      </c>
      <c r="C955">
        <v>31</v>
      </c>
      <c r="D955" t="s">
        <v>24</v>
      </c>
      <c r="E955" t="s">
        <v>142</v>
      </c>
      <c r="F955" t="s">
        <v>26</v>
      </c>
      <c r="G955" t="s">
        <v>2888</v>
      </c>
      <c r="H955" t="s">
        <v>486</v>
      </c>
      <c r="I955" t="s">
        <v>43</v>
      </c>
      <c r="J955" t="s">
        <v>30</v>
      </c>
      <c r="K955">
        <v>2</v>
      </c>
      <c r="L955">
        <v>23500</v>
      </c>
      <c r="M955">
        <v>0</v>
      </c>
      <c r="N955" t="s">
        <v>166</v>
      </c>
      <c r="O955" t="s">
        <v>86</v>
      </c>
      <c r="P955" t="s">
        <v>58</v>
      </c>
      <c r="Q955" t="s">
        <v>144</v>
      </c>
      <c r="R955" t="s">
        <v>2889</v>
      </c>
      <c r="S955">
        <v>1</v>
      </c>
      <c r="T955" t="s">
        <v>61</v>
      </c>
      <c r="U955">
        <v>348</v>
      </c>
      <c r="V955" t="s">
        <v>79</v>
      </c>
    </row>
    <row r="956" spans="1:22" x14ac:dyDescent="0.3">
      <c r="A956" t="s">
        <v>2890</v>
      </c>
      <c r="B956" t="s">
        <v>1396</v>
      </c>
      <c r="C956">
        <v>37</v>
      </c>
      <c r="D956" t="s">
        <v>51</v>
      </c>
      <c r="E956" t="s">
        <v>131</v>
      </c>
      <c r="F956" t="s">
        <v>53</v>
      </c>
      <c r="G956" t="s">
        <v>2176</v>
      </c>
      <c r="H956" t="s">
        <v>1585</v>
      </c>
      <c r="I956" t="s">
        <v>85</v>
      </c>
      <c r="J956" t="s">
        <v>44</v>
      </c>
      <c r="K956">
        <v>4</v>
      </c>
      <c r="L956">
        <v>28528</v>
      </c>
      <c r="M956">
        <v>10</v>
      </c>
      <c r="N956" t="s">
        <v>166</v>
      </c>
      <c r="O956" t="s">
        <v>173</v>
      </c>
      <c r="P956" t="s">
        <v>69</v>
      </c>
      <c r="Q956" t="s">
        <v>1397</v>
      </c>
      <c r="S956">
        <v>3</v>
      </c>
      <c r="T956" t="s">
        <v>61</v>
      </c>
      <c r="U956">
        <v>463</v>
      </c>
      <c r="V956" t="s">
        <v>37</v>
      </c>
    </row>
    <row r="957" spans="1:22" x14ac:dyDescent="0.3">
      <c r="A957" t="s">
        <v>2891</v>
      </c>
      <c r="B957" t="s">
        <v>2016</v>
      </c>
      <c r="C957">
        <v>49</v>
      </c>
      <c r="D957" t="s">
        <v>51</v>
      </c>
      <c r="E957" t="s">
        <v>52</v>
      </c>
      <c r="F957" t="s">
        <v>65</v>
      </c>
      <c r="G957" t="s">
        <v>67</v>
      </c>
      <c r="H957" t="s">
        <v>763</v>
      </c>
      <c r="I957" t="s">
        <v>77</v>
      </c>
      <c r="J957" t="s">
        <v>30</v>
      </c>
      <c r="K957">
        <v>5</v>
      </c>
      <c r="L957">
        <v>41677</v>
      </c>
      <c r="M957">
        <v>5</v>
      </c>
      <c r="N957" t="s">
        <v>166</v>
      </c>
      <c r="O957" t="s">
        <v>109</v>
      </c>
      <c r="P957" t="s">
        <v>33</v>
      </c>
      <c r="Q957" t="s">
        <v>1792</v>
      </c>
      <c r="R957" t="s">
        <v>2892</v>
      </c>
      <c r="S957">
        <v>4</v>
      </c>
      <c r="T957" t="s">
        <v>61</v>
      </c>
      <c r="U957">
        <v>295</v>
      </c>
      <c r="V957" t="s">
        <v>62</v>
      </c>
    </row>
    <row r="958" spans="1:22" x14ac:dyDescent="0.3">
      <c r="A958" t="s">
        <v>2893</v>
      </c>
      <c r="B958" t="s">
        <v>136</v>
      </c>
      <c r="C958">
        <v>20</v>
      </c>
      <c r="D958" t="s">
        <v>24</v>
      </c>
      <c r="E958" t="s">
        <v>52</v>
      </c>
      <c r="F958" t="s">
        <v>26</v>
      </c>
      <c r="G958" t="s">
        <v>2099</v>
      </c>
      <c r="H958" t="s">
        <v>2100</v>
      </c>
      <c r="I958" t="s">
        <v>93</v>
      </c>
      <c r="J958" t="s">
        <v>30</v>
      </c>
      <c r="K958">
        <v>5</v>
      </c>
      <c r="L958">
        <v>65930</v>
      </c>
      <c r="M958">
        <v>5</v>
      </c>
      <c r="N958" t="s">
        <v>166</v>
      </c>
      <c r="O958" t="s">
        <v>32</v>
      </c>
      <c r="P958" t="s">
        <v>69</v>
      </c>
      <c r="Q958" t="s">
        <v>269</v>
      </c>
      <c r="R958" t="s">
        <v>2894</v>
      </c>
      <c r="S958">
        <v>3</v>
      </c>
      <c r="T958" t="s">
        <v>96</v>
      </c>
      <c r="U958">
        <v>88</v>
      </c>
      <c r="V958" t="s">
        <v>37</v>
      </c>
    </row>
    <row r="959" spans="1:22" x14ac:dyDescent="0.3">
      <c r="A959" t="s">
        <v>2895</v>
      </c>
      <c r="B959" t="s">
        <v>954</v>
      </c>
      <c r="C959">
        <v>31</v>
      </c>
      <c r="D959" t="s">
        <v>24</v>
      </c>
      <c r="E959" t="s">
        <v>52</v>
      </c>
      <c r="F959" t="s">
        <v>53</v>
      </c>
      <c r="G959" t="s">
        <v>520</v>
      </c>
      <c r="H959" t="s">
        <v>792</v>
      </c>
      <c r="I959" t="s">
        <v>108</v>
      </c>
      <c r="J959" t="s">
        <v>30</v>
      </c>
      <c r="K959">
        <v>1</v>
      </c>
      <c r="L959">
        <v>69356</v>
      </c>
      <c r="M959">
        <v>15</v>
      </c>
      <c r="N959" t="s">
        <v>45</v>
      </c>
      <c r="O959" t="s">
        <v>57</v>
      </c>
      <c r="P959" t="s">
        <v>33</v>
      </c>
      <c r="Q959" t="s">
        <v>536</v>
      </c>
      <c r="R959" t="s">
        <v>2896</v>
      </c>
      <c r="S959">
        <v>4</v>
      </c>
      <c r="T959" t="s">
        <v>96</v>
      </c>
      <c r="U959">
        <v>428</v>
      </c>
      <c r="V959" t="s">
        <v>79</v>
      </c>
    </row>
    <row r="960" spans="1:22" x14ac:dyDescent="0.3">
      <c r="A960" t="s">
        <v>2897</v>
      </c>
      <c r="B960" t="s">
        <v>484</v>
      </c>
      <c r="C960">
        <v>34</v>
      </c>
      <c r="D960" t="s">
        <v>51</v>
      </c>
      <c r="E960" t="s">
        <v>25</v>
      </c>
      <c r="F960" t="s">
        <v>65</v>
      </c>
      <c r="G960" t="s">
        <v>1202</v>
      </c>
      <c r="H960" t="s">
        <v>2498</v>
      </c>
      <c r="I960" t="s">
        <v>77</v>
      </c>
      <c r="J960" t="s">
        <v>30</v>
      </c>
      <c r="K960">
        <v>5</v>
      </c>
      <c r="L960">
        <v>11884</v>
      </c>
      <c r="M960">
        <v>10</v>
      </c>
      <c r="N960" t="s">
        <v>166</v>
      </c>
      <c r="O960" t="s">
        <v>46</v>
      </c>
      <c r="P960" t="s">
        <v>33</v>
      </c>
      <c r="Q960" t="s">
        <v>487</v>
      </c>
      <c r="R960" t="s">
        <v>2898</v>
      </c>
      <c r="S960">
        <v>3</v>
      </c>
      <c r="T960" t="s">
        <v>72</v>
      </c>
      <c r="U960">
        <v>303</v>
      </c>
      <c r="V960" t="s">
        <v>79</v>
      </c>
    </row>
    <row r="961" spans="1:22" x14ac:dyDescent="0.3">
      <c r="A961" t="s">
        <v>2899</v>
      </c>
      <c r="B961" t="s">
        <v>674</v>
      </c>
      <c r="C961">
        <v>45</v>
      </c>
      <c r="D961" t="s">
        <v>51</v>
      </c>
      <c r="E961" t="s">
        <v>40</v>
      </c>
      <c r="F961" t="s">
        <v>26</v>
      </c>
      <c r="G961" t="s">
        <v>362</v>
      </c>
      <c r="H961" t="s">
        <v>449</v>
      </c>
      <c r="I961" t="s">
        <v>108</v>
      </c>
      <c r="J961" t="s">
        <v>44</v>
      </c>
      <c r="K961">
        <v>5</v>
      </c>
      <c r="L961">
        <v>64049</v>
      </c>
      <c r="M961">
        <v>15</v>
      </c>
      <c r="N961" t="s">
        <v>56</v>
      </c>
      <c r="O961" t="s">
        <v>32</v>
      </c>
      <c r="P961" t="s">
        <v>174</v>
      </c>
      <c r="Q961" t="s">
        <v>677</v>
      </c>
      <c r="R961" t="s">
        <v>2900</v>
      </c>
      <c r="S961">
        <v>1</v>
      </c>
      <c r="T961" t="s">
        <v>72</v>
      </c>
      <c r="U961">
        <v>408</v>
      </c>
      <c r="V961" t="s">
        <v>62</v>
      </c>
    </row>
    <row r="962" spans="1:22" x14ac:dyDescent="0.3">
      <c r="A962" t="s">
        <v>2901</v>
      </c>
      <c r="B962" t="s">
        <v>674</v>
      </c>
      <c r="C962">
        <v>33</v>
      </c>
      <c r="D962" t="s">
        <v>24</v>
      </c>
      <c r="E962" t="s">
        <v>229</v>
      </c>
      <c r="F962" t="s">
        <v>65</v>
      </c>
      <c r="G962" t="s">
        <v>2029</v>
      </c>
      <c r="H962" t="s">
        <v>656</v>
      </c>
      <c r="I962" t="s">
        <v>29</v>
      </c>
      <c r="J962" t="s">
        <v>30</v>
      </c>
      <c r="K962">
        <v>5</v>
      </c>
      <c r="L962">
        <v>5295</v>
      </c>
      <c r="M962">
        <v>15</v>
      </c>
      <c r="N962" t="s">
        <v>45</v>
      </c>
      <c r="O962" t="s">
        <v>68</v>
      </c>
      <c r="P962" t="s">
        <v>69</v>
      </c>
      <c r="R962" t="s">
        <v>2902</v>
      </c>
      <c r="S962">
        <v>3</v>
      </c>
      <c r="T962" t="s">
        <v>72</v>
      </c>
      <c r="U962">
        <v>499</v>
      </c>
      <c r="V962" t="s">
        <v>79</v>
      </c>
    </row>
    <row r="963" spans="1:22" x14ac:dyDescent="0.3">
      <c r="A963" t="s">
        <v>2903</v>
      </c>
      <c r="B963" t="s">
        <v>2016</v>
      </c>
      <c r="C963">
        <v>47</v>
      </c>
      <c r="D963" t="s">
        <v>24</v>
      </c>
      <c r="E963" t="s">
        <v>142</v>
      </c>
      <c r="F963" t="s">
        <v>53</v>
      </c>
      <c r="G963" t="s">
        <v>1909</v>
      </c>
      <c r="H963" t="s">
        <v>1759</v>
      </c>
      <c r="I963" t="s">
        <v>29</v>
      </c>
      <c r="J963" t="s">
        <v>30</v>
      </c>
      <c r="K963">
        <v>5</v>
      </c>
      <c r="L963">
        <v>46770</v>
      </c>
      <c r="M963">
        <v>10</v>
      </c>
      <c r="N963" t="s">
        <v>56</v>
      </c>
      <c r="O963" t="s">
        <v>86</v>
      </c>
      <c r="P963" t="s">
        <v>33</v>
      </c>
      <c r="Q963" t="s">
        <v>1792</v>
      </c>
      <c r="S963">
        <v>2</v>
      </c>
      <c r="T963" t="s">
        <v>96</v>
      </c>
      <c r="U963">
        <v>309</v>
      </c>
      <c r="V963" t="s">
        <v>79</v>
      </c>
    </row>
    <row r="964" spans="1:22" x14ac:dyDescent="0.3">
      <c r="A964" t="s">
        <v>2904</v>
      </c>
      <c r="B964" t="s">
        <v>484</v>
      </c>
      <c r="C964">
        <v>22</v>
      </c>
      <c r="D964" t="s">
        <v>51</v>
      </c>
      <c r="E964" t="s">
        <v>142</v>
      </c>
      <c r="F964" t="s">
        <v>65</v>
      </c>
      <c r="G964" t="s">
        <v>768</v>
      </c>
      <c r="H964" t="s">
        <v>2176</v>
      </c>
      <c r="I964" t="s">
        <v>108</v>
      </c>
      <c r="J964" t="s">
        <v>30</v>
      </c>
      <c r="K964">
        <v>2</v>
      </c>
      <c r="L964">
        <v>55204</v>
      </c>
      <c r="M964">
        <v>15</v>
      </c>
      <c r="N964" t="s">
        <v>56</v>
      </c>
      <c r="O964" t="s">
        <v>46</v>
      </c>
      <c r="P964" t="s">
        <v>174</v>
      </c>
      <c r="Q964" t="s">
        <v>487</v>
      </c>
      <c r="S964">
        <v>5</v>
      </c>
      <c r="T964" t="s">
        <v>72</v>
      </c>
      <c r="U964">
        <v>206</v>
      </c>
      <c r="V964" t="s">
        <v>37</v>
      </c>
    </row>
    <row r="965" spans="1:22" x14ac:dyDescent="0.3">
      <c r="A965" t="s">
        <v>2905</v>
      </c>
      <c r="B965" t="s">
        <v>850</v>
      </c>
      <c r="C965">
        <v>60</v>
      </c>
      <c r="D965" t="s">
        <v>24</v>
      </c>
      <c r="E965" t="s">
        <v>229</v>
      </c>
      <c r="F965" t="s">
        <v>65</v>
      </c>
      <c r="G965" t="s">
        <v>1085</v>
      </c>
      <c r="H965" t="s">
        <v>2906</v>
      </c>
      <c r="I965" t="s">
        <v>29</v>
      </c>
      <c r="J965" t="s">
        <v>30</v>
      </c>
      <c r="K965">
        <v>5</v>
      </c>
      <c r="M965">
        <v>15</v>
      </c>
      <c r="N965" t="s">
        <v>31</v>
      </c>
      <c r="O965" t="s">
        <v>46</v>
      </c>
      <c r="P965" t="s">
        <v>33</v>
      </c>
      <c r="Q965" t="s">
        <v>258</v>
      </c>
      <c r="R965" t="s">
        <v>2907</v>
      </c>
      <c r="S965">
        <v>2</v>
      </c>
      <c r="T965" t="s">
        <v>96</v>
      </c>
      <c r="U965">
        <v>398</v>
      </c>
      <c r="V965" t="s">
        <v>62</v>
      </c>
    </row>
    <row r="966" spans="1:22" x14ac:dyDescent="0.3">
      <c r="A966" t="s">
        <v>2908</v>
      </c>
      <c r="B966" t="s">
        <v>645</v>
      </c>
      <c r="C966">
        <v>23</v>
      </c>
      <c r="D966" t="s">
        <v>51</v>
      </c>
      <c r="E966" t="s">
        <v>52</v>
      </c>
      <c r="F966" t="s">
        <v>26</v>
      </c>
      <c r="G966" t="s">
        <v>894</v>
      </c>
      <c r="H966" t="s">
        <v>230</v>
      </c>
      <c r="I966" t="s">
        <v>85</v>
      </c>
      <c r="J966" t="s">
        <v>44</v>
      </c>
      <c r="K966">
        <v>2</v>
      </c>
      <c r="L966">
        <v>71299</v>
      </c>
      <c r="M966">
        <v>5</v>
      </c>
      <c r="N966" t="s">
        <v>45</v>
      </c>
      <c r="O966" t="s">
        <v>32</v>
      </c>
      <c r="P966" t="s">
        <v>69</v>
      </c>
      <c r="Q966" t="s">
        <v>647</v>
      </c>
      <c r="R966" t="s">
        <v>2909</v>
      </c>
      <c r="S966">
        <v>3</v>
      </c>
      <c r="T966" t="s">
        <v>96</v>
      </c>
      <c r="U966">
        <v>148</v>
      </c>
      <c r="V966" t="s">
        <v>62</v>
      </c>
    </row>
    <row r="967" spans="1:22" x14ac:dyDescent="0.3">
      <c r="A967" t="s">
        <v>2910</v>
      </c>
      <c r="B967" t="s">
        <v>1396</v>
      </c>
      <c r="C967">
        <v>31</v>
      </c>
      <c r="D967" t="s">
        <v>163</v>
      </c>
      <c r="E967" t="s">
        <v>229</v>
      </c>
      <c r="F967" t="s">
        <v>53</v>
      </c>
      <c r="G967" t="s">
        <v>1065</v>
      </c>
      <c r="H967" t="s">
        <v>641</v>
      </c>
      <c r="I967" t="s">
        <v>77</v>
      </c>
      <c r="J967" t="s">
        <v>44</v>
      </c>
      <c r="K967">
        <v>2</v>
      </c>
      <c r="L967">
        <v>68359</v>
      </c>
      <c r="M967">
        <v>0</v>
      </c>
      <c r="N967" t="s">
        <v>45</v>
      </c>
      <c r="O967" t="s">
        <v>133</v>
      </c>
      <c r="P967" t="s">
        <v>58</v>
      </c>
      <c r="Q967" t="s">
        <v>1397</v>
      </c>
      <c r="R967" t="s">
        <v>2911</v>
      </c>
      <c r="S967">
        <v>5</v>
      </c>
      <c r="T967" t="s">
        <v>72</v>
      </c>
      <c r="U967">
        <v>461</v>
      </c>
      <c r="V967" t="s">
        <v>79</v>
      </c>
    </row>
    <row r="968" spans="1:22" x14ac:dyDescent="0.3">
      <c r="A968" t="s">
        <v>2912</v>
      </c>
      <c r="B968" t="s">
        <v>321</v>
      </c>
      <c r="C968">
        <v>38</v>
      </c>
      <c r="D968" t="s">
        <v>24</v>
      </c>
      <c r="E968" t="s">
        <v>99</v>
      </c>
      <c r="F968" t="s">
        <v>65</v>
      </c>
      <c r="G968" t="s">
        <v>969</v>
      </c>
      <c r="H968" t="s">
        <v>2913</v>
      </c>
      <c r="I968" t="s">
        <v>43</v>
      </c>
      <c r="J968" t="s">
        <v>44</v>
      </c>
      <c r="K968">
        <v>2</v>
      </c>
      <c r="L968">
        <v>72566</v>
      </c>
      <c r="M968">
        <v>0</v>
      </c>
      <c r="N968" t="s">
        <v>31</v>
      </c>
      <c r="O968" t="s">
        <v>68</v>
      </c>
      <c r="P968" t="s">
        <v>69</v>
      </c>
      <c r="Q968" t="s">
        <v>324</v>
      </c>
      <c r="R968" t="s">
        <v>2914</v>
      </c>
      <c r="S968">
        <v>3</v>
      </c>
      <c r="T968" t="s">
        <v>72</v>
      </c>
      <c r="U968">
        <v>468</v>
      </c>
      <c r="V968" t="s">
        <v>79</v>
      </c>
    </row>
    <row r="969" spans="1:22" x14ac:dyDescent="0.3">
      <c r="A969" t="s">
        <v>2915</v>
      </c>
      <c r="B969" t="s">
        <v>471</v>
      </c>
      <c r="C969">
        <v>22</v>
      </c>
      <c r="D969" t="s">
        <v>51</v>
      </c>
      <c r="E969" t="s">
        <v>25</v>
      </c>
      <c r="F969" t="s">
        <v>65</v>
      </c>
      <c r="G969" t="s">
        <v>463</v>
      </c>
      <c r="H969" t="s">
        <v>2542</v>
      </c>
      <c r="I969" t="s">
        <v>85</v>
      </c>
      <c r="J969" t="s">
        <v>30</v>
      </c>
      <c r="K969">
        <v>5</v>
      </c>
      <c r="L969">
        <v>23687</v>
      </c>
      <c r="M969">
        <v>10</v>
      </c>
      <c r="N969" t="s">
        <v>56</v>
      </c>
      <c r="O969" t="s">
        <v>68</v>
      </c>
      <c r="P969" t="s">
        <v>69</v>
      </c>
      <c r="Q969" t="s">
        <v>495</v>
      </c>
      <c r="R969" t="s">
        <v>2916</v>
      </c>
      <c r="S969">
        <v>4</v>
      </c>
      <c r="T969" t="s">
        <v>61</v>
      </c>
      <c r="U969">
        <v>199</v>
      </c>
      <c r="V969" t="s">
        <v>37</v>
      </c>
    </row>
    <row r="970" spans="1:22" x14ac:dyDescent="0.3">
      <c r="A970" t="s">
        <v>2917</v>
      </c>
      <c r="B970" t="s">
        <v>946</v>
      </c>
      <c r="C970">
        <v>30</v>
      </c>
      <c r="D970" t="s">
        <v>51</v>
      </c>
      <c r="E970" t="s">
        <v>52</v>
      </c>
      <c r="F970" t="s">
        <v>53</v>
      </c>
      <c r="G970" t="s">
        <v>857</v>
      </c>
      <c r="H970" t="s">
        <v>2918</v>
      </c>
      <c r="I970" t="s">
        <v>77</v>
      </c>
      <c r="J970" t="s">
        <v>30</v>
      </c>
      <c r="K970">
        <v>2</v>
      </c>
      <c r="L970">
        <v>64442</v>
      </c>
      <c r="M970">
        <v>15</v>
      </c>
      <c r="N970" t="s">
        <v>45</v>
      </c>
      <c r="O970" t="s">
        <v>86</v>
      </c>
      <c r="P970" t="s">
        <v>69</v>
      </c>
      <c r="Q970" t="s">
        <v>983</v>
      </c>
      <c r="R970" t="s">
        <v>2919</v>
      </c>
      <c r="S970">
        <v>3</v>
      </c>
      <c r="T970" t="s">
        <v>96</v>
      </c>
      <c r="U970">
        <v>238</v>
      </c>
      <c r="V970" t="s">
        <v>79</v>
      </c>
    </row>
    <row r="971" spans="1:22" x14ac:dyDescent="0.3">
      <c r="A971" t="s">
        <v>2920</v>
      </c>
      <c r="B971" t="s">
        <v>2572</v>
      </c>
      <c r="C971">
        <v>35</v>
      </c>
      <c r="D971" t="s">
        <v>24</v>
      </c>
      <c r="E971" t="s">
        <v>52</v>
      </c>
      <c r="F971" t="s">
        <v>82</v>
      </c>
      <c r="G971" t="s">
        <v>538</v>
      </c>
      <c r="H971" t="s">
        <v>2485</v>
      </c>
      <c r="I971" t="s">
        <v>93</v>
      </c>
      <c r="J971" t="s">
        <v>30</v>
      </c>
      <c r="K971">
        <v>3</v>
      </c>
      <c r="L971">
        <v>70942</v>
      </c>
      <c r="M971">
        <v>15</v>
      </c>
      <c r="N971" t="s">
        <v>56</v>
      </c>
      <c r="O971" t="s">
        <v>133</v>
      </c>
      <c r="P971" t="s">
        <v>69</v>
      </c>
      <c r="Q971" t="s">
        <v>400</v>
      </c>
      <c r="R971" t="s">
        <v>2921</v>
      </c>
      <c r="S971">
        <v>2</v>
      </c>
      <c r="T971" t="s">
        <v>72</v>
      </c>
      <c r="U971">
        <v>386</v>
      </c>
      <c r="V971" t="s">
        <v>79</v>
      </c>
    </row>
    <row r="972" spans="1:22" x14ac:dyDescent="0.3">
      <c r="A972" t="s">
        <v>2922</v>
      </c>
      <c r="B972" t="s">
        <v>113</v>
      </c>
      <c r="C972">
        <v>39</v>
      </c>
      <c r="D972" t="s">
        <v>51</v>
      </c>
      <c r="E972" t="s">
        <v>52</v>
      </c>
      <c r="F972" t="s">
        <v>65</v>
      </c>
      <c r="G972" t="s">
        <v>686</v>
      </c>
      <c r="H972" t="s">
        <v>548</v>
      </c>
      <c r="I972" t="s">
        <v>93</v>
      </c>
      <c r="J972" t="s">
        <v>44</v>
      </c>
      <c r="K972">
        <v>1</v>
      </c>
      <c r="L972">
        <v>76074</v>
      </c>
      <c r="M972">
        <v>15</v>
      </c>
      <c r="N972" t="s">
        <v>166</v>
      </c>
      <c r="O972" t="s">
        <v>46</v>
      </c>
      <c r="P972" t="s">
        <v>58</v>
      </c>
      <c r="Q972" t="s">
        <v>116</v>
      </c>
      <c r="R972" t="s">
        <v>2923</v>
      </c>
      <c r="S972">
        <v>4</v>
      </c>
      <c r="T972" t="s">
        <v>96</v>
      </c>
      <c r="U972">
        <v>271</v>
      </c>
      <c r="V972" t="s">
        <v>79</v>
      </c>
    </row>
    <row r="973" spans="1:22" x14ac:dyDescent="0.3">
      <c r="A973" t="s">
        <v>2924</v>
      </c>
      <c r="B973" t="s">
        <v>527</v>
      </c>
      <c r="C973">
        <v>37</v>
      </c>
      <c r="D973" t="s">
        <v>24</v>
      </c>
      <c r="E973" t="s">
        <v>26</v>
      </c>
      <c r="F973" t="s">
        <v>82</v>
      </c>
      <c r="G973" t="s">
        <v>676</v>
      </c>
      <c r="H973" t="s">
        <v>2228</v>
      </c>
      <c r="I973" t="s">
        <v>77</v>
      </c>
      <c r="J973" t="s">
        <v>30</v>
      </c>
      <c r="K973">
        <v>4</v>
      </c>
      <c r="L973">
        <v>25213</v>
      </c>
      <c r="M973">
        <v>10</v>
      </c>
      <c r="N973" t="s">
        <v>166</v>
      </c>
      <c r="O973" t="s">
        <v>102</v>
      </c>
      <c r="P973" t="s">
        <v>174</v>
      </c>
      <c r="Q973" t="s">
        <v>530</v>
      </c>
      <c r="R973" t="s">
        <v>2925</v>
      </c>
      <c r="S973">
        <v>1</v>
      </c>
      <c r="T973" t="s">
        <v>61</v>
      </c>
      <c r="U973">
        <v>275</v>
      </c>
      <c r="V973" t="s">
        <v>37</v>
      </c>
    </row>
    <row r="974" spans="1:22" x14ac:dyDescent="0.3">
      <c r="A974" t="s">
        <v>2926</v>
      </c>
      <c r="B974" t="s">
        <v>105</v>
      </c>
      <c r="C974">
        <v>56</v>
      </c>
      <c r="D974" t="s">
        <v>24</v>
      </c>
      <c r="E974" t="s">
        <v>229</v>
      </c>
      <c r="F974" t="s">
        <v>26</v>
      </c>
      <c r="G974" t="s">
        <v>2906</v>
      </c>
      <c r="H974" t="s">
        <v>1544</v>
      </c>
      <c r="I974" t="s">
        <v>93</v>
      </c>
      <c r="J974" t="s">
        <v>44</v>
      </c>
      <c r="K974">
        <v>4</v>
      </c>
      <c r="L974">
        <v>21281</v>
      </c>
      <c r="M974">
        <v>15</v>
      </c>
      <c r="N974" t="s">
        <v>45</v>
      </c>
      <c r="O974" t="s">
        <v>109</v>
      </c>
      <c r="P974" t="s">
        <v>58</v>
      </c>
      <c r="Q974" t="s">
        <v>110</v>
      </c>
      <c r="R974" t="s">
        <v>2927</v>
      </c>
      <c r="S974">
        <v>1</v>
      </c>
      <c r="T974" t="s">
        <v>61</v>
      </c>
      <c r="U974">
        <v>361</v>
      </c>
      <c r="V974" t="s">
        <v>37</v>
      </c>
    </row>
    <row r="975" spans="1:22" x14ac:dyDescent="0.3">
      <c r="A975" t="s">
        <v>2928</v>
      </c>
      <c r="B975" t="s">
        <v>933</v>
      </c>
      <c r="C975">
        <v>57</v>
      </c>
      <c r="D975" t="s">
        <v>51</v>
      </c>
      <c r="E975" t="s">
        <v>25</v>
      </c>
      <c r="F975" t="s">
        <v>82</v>
      </c>
      <c r="G975" t="s">
        <v>2929</v>
      </c>
      <c r="H975" t="s">
        <v>223</v>
      </c>
      <c r="I975" t="s">
        <v>43</v>
      </c>
      <c r="J975" t="s">
        <v>30</v>
      </c>
      <c r="K975">
        <v>1</v>
      </c>
      <c r="L975">
        <v>25459</v>
      </c>
      <c r="M975">
        <v>10</v>
      </c>
      <c r="N975" t="s">
        <v>166</v>
      </c>
      <c r="O975" t="s">
        <v>133</v>
      </c>
      <c r="P975" t="s">
        <v>33</v>
      </c>
      <c r="Q975" t="s">
        <v>935</v>
      </c>
      <c r="R975" t="s">
        <v>2930</v>
      </c>
      <c r="S975">
        <v>2</v>
      </c>
      <c r="T975" t="s">
        <v>72</v>
      </c>
      <c r="U975">
        <v>495</v>
      </c>
      <c r="V975" t="s">
        <v>62</v>
      </c>
    </row>
    <row r="976" spans="1:22" x14ac:dyDescent="0.3">
      <c r="A976" t="s">
        <v>2931</v>
      </c>
      <c r="B976" t="s">
        <v>674</v>
      </c>
      <c r="C976">
        <v>26</v>
      </c>
      <c r="D976" t="s">
        <v>24</v>
      </c>
      <c r="E976" t="s">
        <v>131</v>
      </c>
      <c r="F976" t="s">
        <v>91</v>
      </c>
      <c r="G976" t="s">
        <v>1791</v>
      </c>
      <c r="H976" t="s">
        <v>1656</v>
      </c>
      <c r="I976" t="s">
        <v>108</v>
      </c>
      <c r="J976" t="s">
        <v>44</v>
      </c>
      <c r="K976">
        <v>3</v>
      </c>
      <c r="L976">
        <v>31997</v>
      </c>
      <c r="M976">
        <v>15</v>
      </c>
      <c r="N976" t="s">
        <v>45</v>
      </c>
      <c r="O976" t="s">
        <v>133</v>
      </c>
      <c r="P976" t="s">
        <v>174</v>
      </c>
      <c r="Q976" t="s">
        <v>677</v>
      </c>
      <c r="R976" t="s">
        <v>2932</v>
      </c>
      <c r="S976">
        <v>4</v>
      </c>
      <c r="T976" t="s">
        <v>96</v>
      </c>
      <c r="U976">
        <v>173</v>
      </c>
      <c r="V976" t="s">
        <v>37</v>
      </c>
    </row>
    <row r="977" spans="1:22" x14ac:dyDescent="0.3">
      <c r="A977" t="s">
        <v>2933</v>
      </c>
      <c r="B977" t="s">
        <v>617</v>
      </c>
      <c r="C977">
        <v>45</v>
      </c>
      <c r="D977" t="s">
        <v>51</v>
      </c>
      <c r="E977" t="s">
        <v>26</v>
      </c>
      <c r="F977" t="s">
        <v>82</v>
      </c>
      <c r="G977" t="s">
        <v>441</v>
      </c>
      <c r="H977" t="s">
        <v>2934</v>
      </c>
      <c r="I977" t="s">
        <v>85</v>
      </c>
      <c r="J977" t="s">
        <v>44</v>
      </c>
      <c r="K977">
        <v>2</v>
      </c>
      <c r="L977">
        <v>75790</v>
      </c>
      <c r="M977">
        <v>10</v>
      </c>
      <c r="N977" t="s">
        <v>56</v>
      </c>
      <c r="O977" t="s">
        <v>86</v>
      </c>
      <c r="P977" t="s">
        <v>69</v>
      </c>
      <c r="R977" t="s">
        <v>2935</v>
      </c>
      <c r="S977">
        <v>5</v>
      </c>
      <c r="T977" t="s">
        <v>72</v>
      </c>
      <c r="U977">
        <v>335</v>
      </c>
      <c r="V977" t="s">
        <v>62</v>
      </c>
    </row>
    <row r="978" spans="1:22" x14ac:dyDescent="0.3">
      <c r="A978" t="s">
        <v>2936</v>
      </c>
      <c r="B978" t="s">
        <v>1443</v>
      </c>
      <c r="C978">
        <v>40</v>
      </c>
      <c r="D978" t="s">
        <v>24</v>
      </c>
      <c r="E978" t="s">
        <v>142</v>
      </c>
      <c r="F978" t="s">
        <v>26</v>
      </c>
      <c r="G978" t="s">
        <v>2714</v>
      </c>
      <c r="H978" t="s">
        <v>1302</v>
      </c>
      <c r="I978" t="s">
        <v>108</v>
      </c>
      <c r="J978" t="s">
        <v>44</v>
      </c>
      <c r="K978">
        <v>4</v>
      </c>
      <c r="L978">
        <v>6865</v>
      </c>
      <c r="M978">
        <v>5</v>
      </c>
      <c r="N978" t="s">
        <v>56</v>
      </c>
      <c r="O978" t="s">
        <v>68</v>
      </c>
      <c r="P978" t="s">
        <v>174</v>
      </c>
      <c r="Q978" t="s">
        <v>1444</v>
      </c>
      <c r="R978" t="s">
        <v>2937</v>
      </c>
      <c r="S978">
        <v>3</v>
      </c>
      <c r="T978" t="s">
        <v>72</v>
      </c>
      <c r="U978">
        <v>211</v>
      </c>
      <c r="V978" t="s">
        <v>37</v>
      </c>
    </row>
    <row r="979" spans="1:22" x14ac:dyDescent="0.3">
      <c r="A979" t="s">
        <v>2938</v>
      </c>
      <c r="B979" t="s">
        <v>338</v>
      </c>
      <c r="C979">
        <v>18</v>
      </c>
      <c r="D979" t="s">
        <v>51</v>
      </c>
      <c r="E979" t="s">
        <v>229</v>
      </c>
      <c r="F979" t="s">
        <v>53</v>
      </c>
      <c r="G979" t="s">
        <v>768</v>
      </c>
      <c r="H979" t="s">
        <v>1791</v>
      </c>
      <c r="I979" t="s">
        <v>29</v>
      </c>
      <c r="J979" t="s">
        <v>44</v>
      </c>
      <c r="K979">
        <v>4</v>
      </c>
      <c r="L979">
        <v>58574</v>
      </c>
      <c r="M979">
        <v>15</v>
      </c>
      <c r="N979" t="s">
        <v>31</v>
      </c>
      <c r="O979" t="s">
        <v>46</v>
      </c>
      <c r="P979" t="s">
        <v>174</v>
      </c>
      <c r="Q979" t="s">
        <v>341</v>
      </c>
      <c r="R979" t="s">
        <v>2939</v>
      </c>
      <c r="S979">
        <v>4</v>
      </c>
      <c r="T979" t="s">
        <v>61</v>
      </c>
      <c r="U979">
        <v>410</v>
      </c>
      <c r="V979" t="s">
        <v>62</v>
      </c>
    </row>
    <row r="980" spans="1:22" x14ac:dyDescent="0.3">
      <c r="A980" t="s">
        <v>2940</v>
      </c>
      <c r="B980" t="s">
        <v>1340</v>
      </c>
      <c r="C980">
        <v>57</v>
      </c>
      <c r="D980" t="s">
        <v>24</v>
      </c>
      <c r="E980" t="s">
        <v>52</v>
      </c>
      <c r="F980" t="s">
        <v>26</v>
      </c>
      <c r="G980" t="s">
        <v>1363</v>
      </c>
      <c r="H980" t="s">
        <v>987</v>
      </c>
      <c r="I980" t="s">
        <v>93</v>
      </c>
      <c r="J980" t="s">
        <v>30</v>
      </c>
      <c r="K980">
        <v>4</v>
      </c>
      <c r="L980">
        <v>62292</v>
      </c>
      <c r="M980">
        <v>5</v>
      </c>
      <c r="N980" t="s">
        <v>31</v>
      </c>
      <c r="O980" t="s">
        <v>86</v>
      </c>
      <c r="P980" t="s">
        <v>33</v>
      </c>
      <c r="Q980" t="s">
        <v>1342</v>
      </c>
      <c r="R980" t="s">
        <v>2941</v>
      </c>
      <c r="S980">
        <v>5</v>
      </c>
      <c r="T980" t="s">
        <v>96</v>
      </c>
      <c r="U980">
        <v>204</v>
      </c>
      <c r="V980" t="s">
        <v>79</v>
      </c>
    </row>
    <row r="981" spans="1:22" x14ac:dyDescent="0.3">
      <c r="A981" t="s">
        <v>2942</v>
      </c>
      <c r="B981" t="s">
        <v>461</v>
      </c>
      <c r="C981">
        <v>37</v>
      </c>
      <c r="D981" t="s">
        <v>24</v>
      </c>
      <c r="E981" t="s">
        <v>25</v>
      </c>
      <c r="F981" t="s">
        <v>26</v>
      </c>
      <c r="G981" t="s">
        <v>2943</v>
      </c>
      <c r="H981" t="s">
        <v>345</v>
      </c>
      <c r="I981" t="s">
        <v>29</v>
      </c>
      <c r="J981" t="s">
        <v>30</v>
      </c>
      <c r="K981">
        <v>2</v>
      </c>
      <c r="L981">
        <v>14972</v>
      </c>
      <c r="M981">
        <v>15</v>
      </c>
      <c r="N981" t="s">
        <v>45</v>
      </c>
      <c r="O981" t="s">
        <v>173</v>
      </c>
      <c r="P981" t="s">
        <v>69</v>
      </c>
      <c r="Q981" t="s">
        <v>563</v>
      </c>
      <c r="R981" t="s">
        <v>2944</v>
      </c>
      <c r="S981">
        <v>3</v>
      </c>
      <c r="T981" t="s">
        <v>61</v>
      </c>
      <c r="U981">
        <v>326</v>
      </c>
      <c r="V981" t="s">
        <v>37</v>
      </c>
    </row>
    <row r="982" spans="1:22" x14ac:dyDescent="0.3">
      <c r="A982" t="s">
        <v>2945</v>
      </c>
      <c r="B982" t="s">
        <v>461</v>
      </c>
      <c r="C982">
        <v>34</v>
      </c>
      <c r="D982" t="s">
        <v>24</v>
      </c>
      <c r="E982" t="s">
        <v>40</v>
      </c>
      <c r="F982" t="s">
        <v>53</v>
      </c>
      <c r="G982" t="s">
        <v>2946</v>
      </c>
      <c r="H982" t="s">
        <v>820</v>
      </c>
      <c r="I982" t="s">
        <v>85</v>
      </c>
      <c r="J982" t="s">
        <v>30</v>
      </c>
      <c r="K982">
        <v>4</v>
      </c>
      <c r="L982">
        <v>42408</v>
      </c>
      <c r="M982">
        <v>15</v>
      </c>
      <c r="N982" t="s">
        <v>31</v>
      </c>
      <c r="O982" t="s">
        <v>133</v>
      </c>
      <c r="P982" t="s">
        <v>69</v>
      </c>
      <c r="Q982" t="s">
        <v>563</v>
      </c>
      <c r="R982" t="s">
        <v>2947</v>
      </c>
      <c r="S982">
        <v>2</v>
      </c>
      <c r="T982" t="s">
        <v>72</v>
      </c>
      <c r="U982">
        <v>89</v>
      </c>
      <c r="V982" t="s">
        <v>62</v>
      </c>
    </row>
    <row r="983" spans="1:22" x14ac:dyDescent="0.3">
      <c r="A983" t="s">
        <v>2948</v>
      </c>
      <c r="B983" t="s">
        <v>182</v>
      </c>
      <c r="C983">
        <v>27</v>
      </c>
      <c r="D983" t="s">
        <v>163</v>
      </c>
      <c r="E983" t="s">
        <v>131</v>
      </c>
      <c r="F983" t="s">
        <v>91</v>
      </c>
      <c r="G983" t="s">
        <v>1256</v>
      </c>
      <c r="H983" t="s">
        <v>83</v>
      </c>
      <c r="I983" t="s">
        <v>85</v>
      </c>
      <c r="J983" t="s">
        <v>30</v>
      </c>
      <c r="K983">
        <v>3</v>
      </c>
      <c r="L983">
        <v>50369</v>
      </c>
      <c r="M983">
        <v>0</v>
      </c>
      <c r="N983" t="s">
        <v>166</v>
      </c>
      <c r="O983" t="s">
        <v>173</v>
      </c>
      <c r="P983" t="s">
        <v>174</v>
      </c>
      <c r="Q983" t="s">
        <v>186</v>
      </c>
      <c r="R983" t="s">
        <v>2949</v>
      </c>
      <c r="S983">
        <v>4</v>
      </c>
      <c r="T983" t="s">
        <v>36</v>
      </c>
      <c r="U983">
        <v>72</v>
      </c>
      <c r="V983" t="s">
        <v>62</v>
      </c>
    </row>
    <row r="984" spans="1:22" x14ac:dyDescent="0.3">
      <c r="A984" t="s">
        <v>2950</v>
      </c>
      <c r="B984" t="s">
        <v>767</v>
      </c>
      <c r="C984">
        <v>42</v>
      </c>
      <c r="D984" t="s">
        <v>24</v>
      </c>
      <c r="E984" t="s">
        <v>131</v>
      </c>
      <c r="F984" t="s">
        <v>82</v>
      </c>
      <c r="G984" t="s">
        <v>652</v>
      </c>
      <c r="H984" t="s">
        <v>184</v>
      </c>
      <c r="I984" t="s">
        <v>77</v>
      </c>
      <c r="J984" t="s">
        <v>30</v>
      </c>
      <c r="K984">
        <v>3</v>
      </c>
      <c r="L984">
        <v>71533</v>
      </c>
      <c r="M984">
        <v>10</v>
      </c>
      <c r="N984" t="s">
        <v>166</v>
      </c>
      <c r="O984" t="s">
        <v>57</v>
      </c>
      <c r="P984" t="s">
        <v>33</v>
      </c>
      <c r="Q984" t="s">
        <v>769</v>
      </c>
      <c r="R984" t="s">
        <v>2951</v>
      </c>
      <c r="S984">
        <v>4</v>
      </c>
      <c r="T984" t="s">
        <v>96</v>
      </c>
      <c r="U984">
        <v>79</v>
      </c>
      <c r="V984" t="s">
        <v>79</v>
      </c>
    </row>
    <row r="985" spans="1:22" x14ac:dyDescent="0.3">
      <c r="A985" t="s">
        <v>2952</v>
      </c>
      <c r="B985" t="s">
        <v>90</v>
      </c>
      <c r="C985">
        <v>54</v>
      </c>
      <c r="D985" t="s">
        <v>24</v>
      </c>
      <c r="E985" t="s">
        <v>229</v>
      </c>
      <c r="F985" t="s">
        <v>65</v>
      </c>
      <c r="G985" t="s">
        <v>1791</v>
      </c>
      <c r="H985" t="s">
        <v>2953</v>
      </c>
      <c r="I985" t="s">
        <v>43</v>
      </c>
      <c r="J985" t="s">
        <v>30</v>
      </c>
      <c r="K985">
        <v>5</v>
      </c>
      <c r="L985">
        <v>23782</v>
      </c>
      <c r="M985">
        <v>15</v>
      </c>
      <c r="N985" t="s">
        <v>56</v>
      </c>
      <c r="O985" t="s">
        <v>86</v>
      </c>
      <c r="P985" t="s">
        <v>174</v>
      </c>
      <c r="Q985" t="s">
        <v>94</v>
      </c>
      <c r="R985" t="s">
        <v>2954</v>
      </c>
      <c r="S985">
        <v>1</v>
      </c>
      <c r="T985" t="s">
        <v>36</v>
      </c>
      <c r="U985">
        <v>90</v>
      </c>
      <c r="V985" t="s">
        <v>79</v>
      </c>
    </row>
    <row r="986" spans="1:22" x14ac:dyDescent="0.3">
      <c r="A986" t="s">
        <v>2955</v>
      </c>
      <c r="B986" t="s">
        <v>309</v>
      </c>
      <c r="C986">
        <v>32</v>
      </c>
      <c r="D986" t="s">
        <v>183</v>
      </c>
      <c r="E986" t="s">
        <v>26</v>
      </c>
      <c r="F986" t="s">
        <v>53</v>
      </c>
      <c r="G986" t="s">
        <v>938</v>
      </c>
      <c r="H986" t="s">
        <v>1714</v>
      </c>
      <c r="I986" t="s">
        <v>108</v>
      </c>
      <c r="J986" t="s">
        <v>30</v>
      </c>
      <c r="K986">
        <v>4</v>
      </c>
      <c r="L986">
        <v>55079</v>
      </c>
      <c r="M986">
        <v>10</v>
      </c>
      <c r="N986" t="s">
        <v>166</v>
      </c>
      <c r="O986" t="s">
        <v>57</v>
      </c>
      <c r="P986" t="s">
        <v>69</v>
      </c>
      <c r="R986" t="s">
        <v>2956</v>
      </c>
      <c r="S986">
        <v>3</v>
      </c>
      <c r="T986" t="s">
        <v>96</v>
      </c>
      <c r="U986">
        <v>276</v>
      </c>
      <c r="V986" t="s">
        <v>79</v>
      </c>
    </row>
    <row r="987" spans="1:22" x14ac:dyDescent="0.3">
      <c r="A987" t="s">
        <v>2957</v>
      </c>
      <c r="B987" t="s">
        <v>333</v>
      </c>
      <c r="C987">
        <v>21</v>
      </c>
      <c r="D987" t="s">
        <v>24</v>
      </c>
      <c r="E987" t="s">
        <v>131</v>
      </c>
      <c r="F987" t="s">
        <v>26</v>
      </c>
      <c r="G987" t="s">
        <v>1529</v>
      </c>
      <c r="H987" t="s">
        <v>2958</v>
      </c>
      <c r="I987" t="s">
        <v>93</v>
      </c>
      <c r="J987" t="s">
        <v>44</v>
      </c>
      <c r="K987">
        <v>2</v>
      </c>
      <c r="L987">
        <v>39783</v>
      </c>
      <c r="M987">
        <v>0</v>
      </c>
      <c r="N987" t="s">
        <v>45</v>
      </c>
      <c r="O987" t="s">
        <v>57</v>
      </c>
      <c r="P987" t="s">
        <v>174</v>
      </c>
      <c r="Q987" t="s">
        <v>336</v>
      </c>
      <c r="R987" t="s">
        <v>2959</v>
      </c>
      <c r="S987">
        <v>4</v>
      </c>
      <c r="T987" t="s">
        <v>96</v>
      </c>
      <c r="U987">
        <v>144</v>
      </c>
      <c r="V987" t="s">
        <v>79</v>
      </c>
    </row>
    <row r="988" spans="1:22" x14ac:dyDescent="0.3">
      <c r="A988" t="s">
        <v>2960</v>
      </c>
      <c r="B988" t="s">
        <v>309</v>
      </c>
      <c r="C988">
        <v>25</v>
      </c>
      <c r="D988" t="s">
        <v>24</v>
      </c>
      <c r="E988" t="s">
        <v>99</v>
      </c>
      <c r="F988" t="s">
        <v>91</v>
      </c>
      <c r="G988" t="s">
        <v>2488</v>
      </c>
      <c r="H988" t="s">
        <v>529</v>
      </c>
      <c r="I988" t="s">
        <v>85</v>
      </c>
      <c r="J988" t="s">
        <v>44</v>
      </c>
      <c r="K988">
        <v>4</v>
      </c>
      <c r="L988">
        <v>23800</v>
      </c>
      <c r="M988">
        <v>15</v>
      </c>
      <c r="N988" t="s">
        <v>166</v>
      </c>
      <c r="O988" t="s">
        <v>57</v>
      </c>
      <c r="P988" t="s">
        <v>33</v>
      </c>
      <c r="R988" t="s">
        <v>2961</v>
      </c>
      <c r="S988">
        <v>2</v>
      </c>
      <c r="T988" t="s">
        <v>36</v>
      </c>
      <c r="U988">
        <v>260</v>
      </c>
      <c r="V988" t="s">
        <v>79</v>
      </c>
    </row>
    <row r="989" spans="1:22" x14ac:dyDescent="0.3">
      <c r="A989" t="s">
        <v>2962</v>
      </c>
      <c r="B989" t="s">
        <v>946</v>
      </c>
      <c r="C989">
        <v>42</v>
      </c>
      <c r="D989" t="s">
        <v>51</v>
      </c>
      <c r="E989" t="s">
        <v>40</v>
      </c>
      <c r="F989" t="s">
        <v>26</v>
      </c>
      <c r="G989" t="s">
        <v>274</v>
      </c>
      <c r="H989" t="s">
        <v>724</v>
      </c>
      <c r="I989" t="s">
        <v>77</v>
      </c>
      <c r="J989" t="s">
        <v>30</v>
      </c>
      <c r="K989">
        <v>2</v>
      </c>
      <c r="L989">
        <v>5445</v>
      </c>
      <c r="M989">
        <v>10</v>
      </c>
      <c r="N989" t="s">
        <v>31</v>
      </c>
      <c r="O989" t="s">
        <v>46</v>
      </c>
      <c r="P989" t="s">
        <v>33</v>
      </c>
      <c r="R989" t="s">
        <v>2963</v>
      </c>
      <c r="S989">
        <v>3</v>
      </c>
      <c r="T989" t="s">
        <v>96</v>
      </c>
      <c r="U989">
        <v>63</v>
      </c>
      <c r="V989" t="s">
        <v>37</v>
      </c>
    </row>
    <row r="990" spans="1:22" x14ac:dyDescent="0.3">
      <c r="A990" t="s">
        <v>2964</v>
      </c>
      <c r="B990" t="s">
        <v>555</v>
      </c>
      <c r="C990">
        <v>26</v>
      </c>
      <c r="D990" t="s">
        <v>24</v>
      </c>
      <c r="E990" t="s">
        <v>40</v>
      </c>
      <c r="F990" t="s">
        <v>82</v>
      </c>
      <c r="G990" t="s">
        <v>2965</v>
      </c>
      <c r="H990" t="s">
        <v>930</v>
      </c>
      <c r="I990" t="s">
        <v>43</v>
      </c>
      <c r="J990" t="s">
        <v>30</v>
      </c>
      <c r="K990">
        <v>2</v>
      </c>
      <c r="L990">
        <v>32271</v>
      </c>
      <c r="M990">
        <v>15</v>
      </c>
      <c r="N990" t="s">
        <v>45</v>
      </c>
      <c r="O990" t="s">
        <v>173</v>
      </c>
      <c r="P990" t="s">
        <v>174</v>
      </c>
      <c r="Q990" t="s">
        <v>558</v>
      </c>
      <c r="R990" t="s">
        <v>2966</v>
      </c>
      <c r="S990">
        <v>3</v>
      </c>
      <c r="T990" t="s">
        <v>36</v>
      </c>
      <c r="U990">
        <v>302</v>
      </c>
      <c r="V990" t="s">
        <v>79</v>
      </c>
    </row>
    <row r="991" spans="1:22" x14ac:dyDescent="0.3">
      <c r="A991" t="s">
        <v>2967</v>
      </c>
      <c r="B991" t="s">
        <v>1848</v>
      </c>
      <c r="C991">
        <v>30</v>
      </c>
      <c r="D991" t="s">
        <v>24</v>
      </c>
      <c r="E991" t="s">
        <v>131</v>
      </c>
      <c r="F991" t="s">
        <v>82</v>
      </c>
      <c r="G991" t="s">
        <v>642</v>
      </c>
      <c r="H991" t="s">
        <v>1635</v>
      </c>
      <c r="I991" t="s">
        <v>43</v>
      </c>
      <c r="J991" t="s">
        <v>30</v>
      </c>
      <c r="K991">
        <v>4</v>
      </c>
      <c r="L991">
        <v>52503</v>
      </c>
      <c r="M991">
        <v>15</v>
      </c>
      <c r="N991" t="s">
        <v>166</v>
      </c>
      <c r="O991" t="s">
        <v>109</v>
      </c>
      <c r="P991" t="s">
        <v>33</v>
      </c>
      <c r="Q991" t="s">
        <v>506</v>
      </c>
      <c r="R991" t="s">
        <v>2968</v>
      </c>
      <c r="S991">
        <v>5</v>
      </c>
      <c r="T991" t="s">
        <v>61</v>
      </c>
      <c r="U991">
        <v>76</v>
      </c>
      <c r="V991" t="s">
        <v>79</v>
      </c>
    </row>
    <row r="992" spans="1:22" x14ac:dyDescent="0.3">
      <c r="A992" t="s">
        <v>2969</v>
      </c>
      <c r="B992" t="s">
        <v>611</v>
      </c>
      <c r="C992">
        <v>52</v>
      </c>
      <c r="D992" t="s">
        <v>51</v>
      </c>
      <c r="E992" t="s">
        <v>142</v>
      </c>
      <c r="F992" t="s">
        <v>26</v>
      </c>
      <c r="G992" t="s">
        <v>230</v>
      </c>
      <c r="H992" t="s">
        <v>727</v>
      </c>
      <c r="I992" t="s">
        <v>43</v>
      </c>
      <c r="J992" t="s">
        <v>44</v>
      </c>
      <c r="K992">
        <v>3</v>
      </c>
      <c r="L992">
        <v>65776</v>
      </c>
      <c r="M992">
        <v>0</v>
      </c>
      <c r="N992" t="s">
        <v>166</v>
      </c>
      <c r="O992" t="s">
        <v>86</v>
      </c>
      <c r="P992" t="s">
        <v>69</v>
      </c>
      <c r="Q992" t="s">
        <v>614</v>
      </c>
      <c r="R992" t="s">
        <v>2970</v>
      </c>
      <c r="S992">
        <v>4</v>
      </c>
      <c r="T992" t="s">
        <v>36</v>
      </c>
      <c r="U992">
        <v>387</v>
      </c>
      <c r="V992" t="s">
        <v>37</v>
      </c>
    </row>
    <row r="993" spans="1:22" x14ac:dyDescent="0.3">
      <c r="A993" t="s">
        <v>2971</v>
      </c>
      <c r="B993" t="s">
        <v>198</v>
      </c>
      <c r="C993">
        <v>43</v>
      </c>
      <c r="D993" t="s">
        <v>24</v>
      </c>
      <c r="E993" t="s">
        <v>26</v>
      </c>
      <c r="F993" t="s">
        <v>26</v>
      </c>
      <c r="G993" t="s">
        <v>2257</v>
      </c>
      <c r="H993" t="s">
        <v>901</v>
      </c>
      <c r="I993" t="s">
        <v>77</v>
      </c>
      <c r="J993" t="s">
        <v>44</v>
      </c>
      <c r="K993">
        <v>2</v>
      </c>
      <c r="L993">
        <v>73327</v>
      </c>
      <c r="M993">
        <v>15</v>
      </c>
      <c r="N993" t="s">
        <v>56</v>
      </c>
      <c r="O993" t="s">
        <v>133</v>
      </c>
      <c r="P993" t="s">
        <v>58</v>
      </c>
      <c r="Q993" t="s">
        <v>201</v>
      </c>
      <c r="R993" t="s">
        <v>2972</v>
      </c>
      <c r="S993">
        <v>4</v>
      </c>
      <c r="T993" t="s">
        <v>96</v>
      </c>
      <c r="U993">
        <v>446</v>
      </c>
      <c r="V993" t="s">
        <v>37</v>
      </c>
    </row>
    <row r="994" spans="1:22" x14ac:dyDescent="0.3">
      <c r="A994" t="s">
        <v>2973</v>
      </c>
      <c r="B994" t="s">
        <v>424</v>
      </c>
      <c r="C994">
        <v>57</v>
      </c>
      <c r="D994" t="s">
        <v>24</v>
      </c>
      <c r="E994" t="s">
        <v>26</v>
      </c>
      <c r="F994" t="s">
        <v>65</v>
      </c>
      <c r="G994" t="s">
        <v>2228</v>
      </c>
      <c r="H994" t="s">
        <v>1841</v>
      </c>
      <c r="I994" t="s">
        <v>93</v>
      </c>
      <c r="J994" t="s">
        <v>30</v>
      </c>
      <c r="K994">
        <v>4</v>
      </c>
      <c r="L994">
        <v>63930</v>
      </c>
      <c r="M994">
        <v>5</v>
      </c>
      <c r="N994" t="s">
        <v>166</v>
      </c>
      <c r="O994" t="s">
        <v>281</v>
      </c>
      <c r="P994" t="s">
        <v>69</v>
      </c>
      <c r="Q994" t="s">
        <v>427</v>
      </c>
      <c r="R994" t="s">
        <v>2974</v>
      </c>
      <c r="S994">
        <v>4</v>
      </c>
      <c r="T994" t="s">
        <v>36</v>
      </c>
      <c r="U994">
        <v>370</v>
      </c>
      <c r="V994" t="s">
        <v>62</v>
      </c>
    </row>
    <row r="995" spans="1:22" x14ac:dyDescent="0.3">
      <c r="A995" t="s">
        <v>2975</v>
      </c>
      <c r="B995" t="s">
        <v>327</v>
      </c>
      <c r="C995">
        <v>34</v>
      </c>
      <c r="D995" t="s">
        <v>51</v>
      </c>
      <c r="E995" t="s">
        <v>142</v>
      </c>
      <c r="F995" t="s">
        <v>65</v>
      </c>
      <c r="G995" t="s">
        <v>1635</v>
      </c>
      <c r="H995" t="s">
        <v>1741</v>
      </c>
      <c r="I995" t="s">
        <v>77</v>
      </c>
      <c r="J995" t="s">
        <v>44</v>
      </c>
      <c r="K995">
        <v>3</v>
      </c>
      <c r="M995">
        <v>15</v>
      </c>
      <c r="N995" t="s">
        <v>31</v>
      </c>
      <c r="O995" t="s">
        <v>109</v>
      </c>
      <c r="P995" t="s">
        <v>33</v>
      </c>
      <c r="Q995" t="s">
        <v>330</v>
      </c>
      <c r="R995" t="s">
        <v>2976</v>
      </c>
      <c r="S995">
        <v>2</v>
      </c>
      <c r="T995" t="s">
        <v>72</v>
      </c>
      <c r="U995">
        <v>258</v>
      </c>
      <c r="V995" t="s">
        <v>37</v>
      </c>
    </row>
    <row r="996" spans="1:22" x14ac:dyDescent="0.3">
      <c r="A996" t="s">
        <v>2977</v>
      </c>
      <c r="B996" t="s">
        <v>98</v>
      </c>
      <c r="C996">
        <v>40</v>
      </c>
      <c r="D996" t="s">
        <v>24</v>
      </c>
      <c r="E996" t="s">
        <v>131</v>
      </c>
      <c r="F996" t="s">
        <v>53</v>
      </c>
      <c r="G996" t="s">
        <v>950</v>
      </c>
      <c r="H996" t="s">
        <v>1722</v>
      </c>
      <c r="I996" t="s">
        <v>93</v>
      </c>
      <c r="J996" t="s">
        <v>30</v>
      </c>
      <c r="K996">
        <v>1</v>
      </c>
      <c r="L996">
        <v>44611</v>
      </c>
      <c r="M996">
        <v>10</v>
      </c>
      <c r="N996" t="s">
        <v>56</v>
      </c>
      <c r="O996" t="s">
        <v>133</v>
      </c>
      <c r="P996" t="s">
        <v>174</v>
      </c>
      <c r="Q996" t="s">
        <v>103</v>
      </c>
      <c r="R996" t="s">
        <v>2978</v>
      </c>
      <c r="S996">
        <v>4</v>
      </c>
      <c r="T996" t="s">
        <v>61</v>
      </c>
      <c r="U996">
        <v>379</v>
      </c>
      <c r="V996" t="s">
        <v>37</v>
      </c>
    </row>
    <row r="997" spans="1:22" x14ac:dyDescent="0.3">
      <c r="A997" t="s">
        <v>2979</v>
      </c>
      <c r="B997" t="s">
        <v>2980</v>
      </c>
      <c r="C997">
        <v>48</v>
      </c>
      <c r="D997" t="s">
        <v>163</v>
      </c>
      <c r="E997" t="s">
        <v>25</v>
      </c>
      <c r="F997" t="s">
        <v>26</v>
      </c>
      <c r="G997" t="s">
        <v>2981</v>
      </c>
      <c r="H997" t="s">
        <v>1434</v>
      </c>
      <c r="I997" t="s">
        <v>93</v>
      </c>
      <c r="J997" t="s">
        <v>44</v>
      </c>
      <c r="K997">
        <v>5</v>
      </c>
      <c r="L997">
        <v>17119</v>
      </c>
      <c r="M997">
        <v>5</v>
      </c>
      <c r="N997" t="s">
        <v>45</v>
      </c>
      <c r="O997" t="s">
        <v>281</v>
      </c>
      <c r="P997" t="s">
        <v>69</v>
      </c>
      <c r="Q997" t="s">
        <v>862</v>
      </c>
      <c r="R997" t="s">
        <v>2982</v>
      </c>
      <c r="S997">
        <v>1</v>
      </c>
      <c r="T997" t="s">
        <v>96</v>
      </c>
      <c r="U997">
        <v>262</v>
      </c>
      <c r="V997" t="s">
        <v>37</v>
      </c>
    </row>
    <row r="998" spans="1:22" x14ac:dyDescent="0.3">
      <c r="A998" t="s">
        <v>2983</v>
      </c>
      <c r="B998" t="s">
        <v>321</v>
      </c>
      <c r="C998">
        <v>35</v>
      </c>
      <c r="D998" t="s">
        <v>51</v>
      </c>
      <c r="E998" t="s">
        <v>40</v>
      </c>
      <c r="F998" t="s">
        <v>82</v>
      </c>
      <c r="G998" t="s">
        <v>894</v>
      </c>
      <c r="H998" t="s">
        <v>121</v>
      </c>
      <c r="I998" t="s">
        <v>85</v>
      </c>
      <c r="J998" t="s">
        <v>30</v>
      </c>
      <c r="K998">
        <v>3</v>
      </c>
      <c r="L998">
        <v>18921</v>
      </c>
      <c r="M998">
        <v>0</v>
      </c>
      <c r="N998" t="s">
        <v>31</v>
      </c>
      <c r="O998" t="s">
        <v>109</v>
      </c>
      <c r="P998" t="s">
        <v>33</v>
      </c>
      <c r="Q998" t="s">
        <v>324</v>
      </c>
      <c r="R998" t="s">
        <v>2984</v>
      </c>
      <c r="S998">
        <v>2</v>
      </c>
      <c r="T998" t="s">
        <v>61</v>
      </c>
      <c r="U998">
        <v>475</v>
      </c>
      <c r="V998" t="s">
        <v>62</v>
      </c>
    </row>
    <row r="999" spans="1:22" x14ac:dyDescent="0.3">
      <c r="A999" t="s">
        <v>2985</v>
      </c>
      <c r="B999" t="s">
        <v>90</v>
      </c>
      <c r="C999">
        <v>19</v>
      </c>
      <c r="D999" t="s">
        <v>24</v>
      </c>
      <c r="E999" t="s">
        <v>131</v>
      </c>
      <c r="F999" t="s">
        <v>82</v>
      </c>
      <c r="G999" t="s">
        <v>1755</v>
      </c>
      <c r="H999" t="s">
        <v>1073</v>
      </c>
      <c r="I999" t="s">
        <v>93</v>
      </c>
      <c r="J999" t="s">
        <v>44</v>
      </c>
      <c r="K999">
        <v>1</v>
      </c>
      <c r="L999">
        <v>26381</v>
      </c>
      <c r="M999">
        <v>5</v>
      </c>
      <c r="N999" t="s">
        <v>166</v>
      </c>
      <c r="O999" t="s">
        <v>109</v>
      </c>
      <c r="P999" t="s">
        <v>69</v>
      </c>
      <c r="Q999" t="s">
        <v>94</v>
      </c>
      <c r="R999" t="s">
        <v>2986</v>
      </c>
      <c r="S999">
        <v>1</v>
      </c>
      <c r="T999" t="s">
        <v>61</v>
      </c>
      <c r="U999">
        <v>402</v>
      </c>
      <c r="V999" t="s">
        <v>79</v>
      </c>
    </row>
    <row r="1000" spans="1:22" x14ac:dyDescent="0.3">
      <c r="A1000" t="s">
        <v>2987</v>
      </c>
      <c r="B1000" t="s">
        <v>2132</v>
      </c>
      <c r="C1000">
        <v>37</v>
      </c>
      <c r="D1000" t="s">
        <v>51</v>
      </c>
      <c r="E1000" t="s">
        <v>229</v>
      </c>
      <c r="F1000" t="s">
        <v>82</v>
      </c>
      <c r="G1000" t="s">
        <v>2498</v>
      </c>
      <c r="H1000" t="s">
        <v>100</v>
      </c>
      <c r="I1000" t="s">
        <v>29</v>
      </c>
      <c r="J1000" t="s">
        <v>30</v>
      </c>
      <c r="K1000">
        <v>1</v>
      </c>
      <c r="M1000">
        <v>15</v>
      </c>
      <c r="N1000" t="s">
        <v>166</v>
      </c>
      <c r="O1000" t="s">
        <v>32</v>
      </c>
      <c r="P1000" t="s">
        <v>174</v>
      </c>
      <c r="Q1000" t="s">
        <v>785</v>
      </c>
      <c r="R1000" t="s">
        <v>2988</v>
      </c>
      <c r="S1000">
        <v>4</v>
      </c>
      <c r="T1000" t="s">
        <v>61</v>
      </c>
      <c r="U1000">
        <v>148</v>
      </c>
      <c r="V1000" t="s">
        <v>62</v>
      </c>
    </row>
    <row r="1001" spans="1:22" x14ac:dyDescent="0.3">
      <c r="A1001" t="s">
        <v>2989</v>
      </c>
      <c r="B1001" t="s">
        <v>222</v>
      </c>
      <c r="C1001">
        <v>38</v>
      </c>
      <c r="D1001" t="s">
        <v>163</v>
      </c>
      <c r="E1001" t="s">
        <v>25</v>
      </c>
      <c r="F1001" t="s">
        <v>91</v>
      </c>
      <c r="G1001" t="s">
        <v>1773</v>
      </c>
      <c r="H1001" t="s">
        <v>1240</v>
      </c>
      <c r="I1001" t="s">
        <v>43</v>
      </c>
      <c r="J1001" t="s">
        <v>44</v>
      </c>
      <c r="K1001">
        <v>2</v>
      </c>
      <c r="L1001">
        <v>36824</v>
      </c>
      <c r="M1001">
        <v>0</v>
      </c>
      <c r="N1001" t="s">
        <v>166</v>
      </c>
      <c r="O1001" t="s">
        <v>281</v>
      </c>
      <c r="P1001" t="s">
        <v>174</v>
      </c>
      <c r="Q1001" t="s">
        <v>225</v>
      </c>
      <c r="R1001" t="s">
        <v>2990</v>
      </c>
      <c r="S1001">
        <v>2</v>
      </c>
      <c r="T1001" t="s">
        <v>61</v>
      </c>
      <c r="U1001">
        <v>192</v>
      </c>
      <c r="V1001" t="s">
        <v>79</v>
      </c>
    </row>
    <row r="1002" spans="1:22" x14ac:dyDescent="0.3">
      <c r="A1002" t="s">
        <v>2991</v>
      </c>
      <c r="B1002" t="s">
        <v>424</v>
      </c>
      <c r="C1002">
        <v>20</v>
      </c>
      <c r="D1002" t="s">
        <v>51</v>
      </c>
      <c r="E1002" t="s">
        <v>40</v>
      </c>
      <c r="F1002" t="s">
        <v>91</v>
      </c>
      <c r="G1002" t="s">
        <v>2946</v>
      </c>
      <c r="H1002" t="s">
        <v>775</v>
      </c>
      <c r="I1002" t="s">
        <v>29</v>
      </c>
      <c r="J1002" t="s">
        <v>30</v>
      </c>
      <c r="K1002">
        <v>2</v>
      </c>
      <c r="L1002">
        <v>12627</v>
      </c>
      <c r="M1002">
        <v>0</v>
      </c>
      <c r="N1002" t="s">
        <v>56</v>
      </c>
      <c r="O1002" t="s">
        <v>68</v>
      </c>
      <c r="P1002" t="s">
        <v>33</v>
      </c>
      <c r="Q1002" t="s">
        <v>427</v>
      </c>
      <c r="R1002" t="s">
        <v>2992</v>
      </c>
      <c r="S1002">
        <v>4</v>
      </c>
      <c r="T1002" t="s">
        <v>72</v>
      </c>
      <c r="U1002">
        <v>398</v>
      </c>
      <c r="V1002" t="s">
        <v>62</v>
      </c>
    </row>
    <row r="1003" spans="1:22" x14ac:dyDescent="0.3">
      <c r="A1003" t="s">
        <v>2993</v>
      </c>
      <c r="B1003" t="s">
        <v>1690</v>
      </c>
      <c r="C1003">
        <v>50</v>
      </c>
      <c r="D1003" t="s">
        <v>24</v>
      </c>
      <c r="E1003" t="s">
        <v>131</v>
      </c>
      <c r="F1003" t="s">
        <v>26</v>
      </c>
      <c r="G1003" t="s">
        <v>877</v>
      </c>
      <c r="H1003" t="s">
        <v>256</v>
      </c>
      <c r="I1003" t="s">
        <v>93</v>
      </c>
      <c r="J1003" t="s">
        <v>44</v>
      </c>
      <c r="K1003">
        <v>2</v>
      </c>
      <c r="L1003">
        <v>66521</v>
      </c>
      <c r="M1003">
        <v>10</v>
      </c>
      <c r="N1003" t="s">
        <v>56</v>
      </c>
      <c r="O1003" t="s">
        <v>281</v>
      </c>
      <c r="P1003" t="s">
        <v>33</v>
      </c>
      <c r="Q1003" t="s">
        <v>87</v>
      </c>
      <c r="R1003" t="s">
        <v>2994</v>
      </c>
      <c r="S1003">
        <v>2</v>
      </c>
      <c r="T1003" t="s">
        <v>61</v>
      </c>
      <c r="U1003">
        <v>340</v>
      </c>
      <c r="V1003" t="s">
        <v>62</v>
      </c>
    </row>
    <row r="1004" spans="1:22" x14ac:dyDescent="0.3">
      <c r="A1004" t="s">
        <v>2995</v>
      </c>
      <c r="B1004" t="s">
        <v>50</v>
      </c>
      <c r="C1004">
        <v>20</v>
      </c>
      <c r="D1004" t="s">
        <v>51</v>
      </c>
      <c r="E1004" t="s">
        <v>131</v>
      </c>
      <c r="F1004" t="s">
        <v>26</v>
      </c>
      <c r="G1004" t="s">
        <v>1735</v>
      </c>
      <c r="H1004" t="s">
        <v>2415</v>
      </c>
      <c r="I1004" t="s">
        <v>77</v>
      </c>
      <c r="J1004" t="s">
        <v>44</v>
      </c>
      <c r="K1004">
        <v>2</v>
      </c>
      <c r="L1004">
        <v>59196</v>
      </c>
      <c r="M1004">
        <v>10</v>
      </c>
      <c r="N1004" t="s">
        <v>56</v>
      </c>
      <c r="O1004" t="s">
        <v>68</v>
      </c>
      <c r="P1004" t="s">
        <v>58</v>
      </c>
      <c r="Q1004" t="s">
        <v>59</v>
      </c>
      <c r="R1004" t="s">
        <v>2996</v>
      </c>
      <c r="S1004">
        <v>5</v>
      </c>
      <c r="T1004" t="s">
        <v>61</v>
      </c>
      <c r="U1004">
        <v>425</v>
      </c>
      <c r="V1004" t="s">
        <v>62</v>
      </c>
    </row>
    <row r="1005" spans="1:22" x14ac:dyDescent="0.3">
      <c r="A1005" t="s">
        <v>2997</v>
      </c>
      <c r="B1005" t="s">
        <v>1876</v>
      </c>
      <c r="C1005">
        <v>39</v>
      </c>
      <c r="D1005" t="s">
        <v>24</v>
      </c>
      <c r="E1005" t="s">
        <v>25</v>
      </c>
      <c r="F1005" t="s">
        <v>65</v>
      </c>
      <c r="G1005" t="s">
        <v>55</v>
      </c>
      <c r="H1005" t="s">
        <v>523</v>
      </c>
      <c r="I1005" t="s">
        <v>77</v>
      </c>
      <c r="J1005" t="s">
        <v>44</v>
      </c>
      <c r="K1005">
        <v>3</v>
      </c>
      <c r="L1005">
        <v>76351</v>
      </c>
      <c r="M1005">
        <v>0</v>
      </c>
      <c r="N1005" t="s">
        <v>166</v>
      </c>
      <c r="O1005" t="s">
        <v>173</v>
      </c>
      <c r="P1005" t="s">
        <v>69</v>
      </c>
      <c r="Q1005" t="s">
        <v>1427</v>
      </c>
      <c r="R1005" t="s">
        <v>2998</v>
      </c>
      <c r="S1005">
        <v>5</v>
      </c>
      <c r="T1005" t="s">
        <v>61</v>
      </c>
      <c r="U1005">
        <v>72</v>
      </c>
      <c r="V1005" t="s">
        <v>37</v>
      </c>
    </row>
    <row r="1006" spans="1:22" x14ac:dyDescent="0.3">
      <c r="A1006" t="s">
        <v>2999</v>
      </c>
      <c r="B1006" t="s">
        <v>156</v>
      </c>
      <c r="C1006">
        <v>20</v>
      </c>
      <c r="D1006" t="s">
        <v>24</v>
      </c>
      <c r="E1006" t="s">
        <v>52</v>
      </c>
      <c r="F1006" t="s">
        <v>82</v>
      </c>
      <c r="G1006" t="s">
        <v>3000</v>
      </c>
      <c r="H1006" t="s">
        <v>280</v>
      </c>
      <c r="I1006" t="s">
        <v>108</v>
      </c>
      <c r="J1006" t="s">
        <v>30</v>
      </c>
      <c r="K1006">
        <v>1</v>
      </c>
      <c r="L1006">
        <v>32095</v>
      </c>
      <c r="M1006">
        <v>5</v>
      </c>
      <c r="N1006" t="s">
        <v>45</v>
      </c>
      <c r="O1006" t="s">
        <v>32</v>
      </c>
      <c r="P1006" t="s">
        <v>33</v>
      </c>
      <c r="R1006" t="s">
        <v>3001</v>
      </c>
      <c r="S1006">
        <v>2</v>
      </c>
      <c r="T1006" t="s">
        <v>96</v>
      </c>
      <c r="U1006">
        <v>68</v>
      </c>
      <c r="V1006" t="s">
        <v>79</v>
      </c>
    </row>
    <row r="1007" spans="1:22" x14ac:dyDescent="0.3">
      <c r="A1007" t="s">
        <v>3002</v>
      </c>
      <c r="B1007" t="s">
        <v>589</v>
      </c>
      <c r="C1007">
        <v>20</v>
      </c>
      <c r="D1007" t="s">
        <v>163</v>
      </c>
      <c r="E1007" t="s">
        <v>26</v>
      </c>
      <c r="F1007" t="s">
        <v>91</v>
      </c>
      <c r="G1007" t="s">
        <v>1134</v>
      </c>
      <c r="H1007" t="s">
        <v>2396</v>
      </c>
      <c r="I1007" t="s">
        <v>43</v>
      </c>
      <c r="J1007" t="s">
        <v>30</v>
      </c>
      <c r="K1007">
        <v>2</v>
      </c>
      <c r="L1007">
        <v>26558</v>
      </c>
      <c r="M1007">
        <v>10</v>
      </c>
      <c r="N1007" t="s">
        <v>56</v>
      </c>
      <c r="O1007" t="s">
        <v>102</v>
      </c>
      <c r="P1007" t="s">
        <v>174</v>
      </c>
      <c r="Q1007" t="s">
        <v>591</v>
      </c>
      <c r="R1007" t="s">
        <v>3003</v>
      </c>
      <c r="S1007">
        <v>4</v>
      </c>
      <c r="T1007" t="s">
        <v>72</v>
      </c>
      <c r="U1007">
        <v>438</v>
      </c>
      <c r="V1007" t="s">
        <v>79</v>
      </c>
    </row>
    <row r="1008" spans="1:22" x14ac:dyDescent="0.3">
      <c r="A1008" t="s">
        <v>3004</v>
      </c>
      <c r="B1008" t="s">
        <v>23</v>
      </c>
      <c r="C1008">
        <v>18</v>
      </c>
      <c r="D1008" t="s">
        <v>51</v>
      </c>
      <c r="E1008" t="s">
        <v>229</v>
      </c>
      <c r="F1008" t="s">
        <v>65</v>
      </c>
      <c r="G1008" t="s">
        <v>2013</v>
      </c>
      <c r="H1008" t="s">
        <v>115</v>
      </c>
      <c r="I1008" t="s">
        <v>108</v>
      </c>
      <c r="J1008" t="s">
        <v>30</v>
      </c>
      <c r="K1008">
        <v>1</v>
      </c>
      <c r="L1008">
        <v>38174</v>
      </c>
      <c r="M1008">
        <v>15</v>
      </c>
      <c r="N1008" t="s">
        <v>56</v>
      </c>
      <c r="O1008" t="s">
        <v>57</v>
      </c>
      <c r="P1008" t="s">
        <v>174</v>
      </c>
      <c r="R1008" t="s">
        <v>3005</v>
      </c>
      <c r="S1008">
        <v>4</v>
      </c>
      <c r="T1008" t="s">
        <v>96</v>
      </c>
      <c r="U1008">
        <v>171</v>
      </c>
      <c r="V1008" t="s">
        <v>37</v>
      </c>
    </row>
    <row r="1009" spans="1:22" x14ac:dyDescent="0.3">
      <c r="A1009" t="s">
        <v>3006</v>
      </c>
      <c r="B1009" t="s">
        <v>3007</v>
      </c>
      <c r="C1009">
        <v>33</v>
      </c>
      <c r="D1009" t="s">
        <v>24</v>
      </c>
      <c r="E1009" t="s">
        <v>229</v>
      </c>
      <c r="F1009" t="s">
        <v>91</v>
      </c>
      <c r="G1009" t="s">
        <v>1600</v>
      </c>
      <c r="H1009" t="s">
        <v>686</v>
      </c>
      <c r="I1009" t="s">
        <v>93</v>
      </c>
      <c r="J1009" t="s">
        <v>30</v>
      </c>
      <c r="K1009">
        <v>4</v>
      </c>
      <c r="L1009">
        <v>46711</v>
      </c>
      <c r="M1009">
        <v>0</v>
      </c>
      <c r="N1009" t="s">
        <v>45</v>
      </c>
      <c r="O1009" t="s">
        <v>68</v>
      </c>
      <c r="P1009" t="s">
        <v>174</v>
      </c>
      <c r="Q1009" t="s">
        <v>1048</v>
      </c>
      <c r="R1009" t="s">
        <v>3008</v>
      </c>
      <c r="S1009">
        <v>2</v>
      </c>
      <c r="T1009" t="s">
        <v>72</v>
      </c>
      <c r="U1009">
        <v>346</v>
      </c>
      <c r="V1009" t="s">
        <v>37</v>
      </c>
    </row>
    <row r="1010" spans="1:22" x14ac:dyDescent="0.3">
      <c r="A1010" t="s">
        <v>3009</v>
      </c>
      <c r="B1010" t="s">
        <v>130</v>
      </c>
      <c r="C1010">
        <v>34</v>
      </c>
      <c r="D1010" t="s">
        <v>51</v>
      </c>
      <c r="E1010" t="s">
        <v>99</v>
      </c>
      <c r="F1010" t="s">
        <v>26</v>
      </c>
      <c r="G1010" t="s">
        <v>861</v>
      </c>
      <c r="H1010" t="s">
        <v>357</v>
      </c>
      <c r="I1010" t="s">
        <v>85</v>
      </c>
      <c r="J1010" t="s">
        <v>44</v>
      </c>
      <c r="K1010">
        <v>3</v>
      </c>
      <c r="L1010">
        <v>7488</v>
      </c>
      <c r="M1010">
        <v>10</v>
      </c>
      <c r="N1010" t="s">
        <v>31</v>
      </c>
      <c r="O1010" t="s">
        <v>281</v>
      </c>
      <c r="P1010" t="s">
        <v>58</v>
      </c>
      <c r="Q1010" t="s">
        <v>1355</v>
      </c>
      <c r="R1010" t="s">
        <v>3010</v>
      </c>
      <c r="S1010">
        <v>4</v>
      </c>
      <c r="T1010" t="s">
        <v>36</v>
      </c>
      <c r="U1010">
        <v>465</v>
      </c>
      <c r="V1010" t="s">
        <v>62</v>
      </c>
    </row>
    <row r="1011" spans="1:22" x14ac:dyDescent="0.3">
      <c r="A1011" t="s">
        <v>3011</v>
      </c>
      <c r="B1011" t="s">
        <v>338</v>
      </c>
      <c r="C1011">
        <v>33</v>
      </c>
      <c r="D1011" t="s">
        <v>24</v>
      </c>
      <c r="E1011" t="s">
        <v>131</v>
      </c>
      <c r="F1011" t="s">
        <v>91</v>
      </c>
      <c r="G1011" t="s">
        <v>1221</v>
      </c>
      <c r="H1011" t="s">
        <v>490</v>
      </c>
      <c r="I1011" t="s">
        <v>93</v>
      </c>
      <c r="J1011" t="s">
        <v>44</v>
      </c>
      <c r="K1011">
        <v>3</v>
      </c>
      <c r="L1011">
        <v>7807</v>
      </c>
      <c r="M1011">
        <v>15</v>
      </c>
      <c r="N1011" t="s">
        <v>56</v>
      </c>
      <c r="O1011" t="s">
        <v>57</v>
      </c>
      <c r="P1011" t="s">
        <v>58</v>
      </c>
      <c r="Q1011" t="s">
        <v>341</v>
      </c>
      <c r="R1011" t="s">
        <v>3012</v>
      </c>
      <c r="S1011">
        <v>1</v>
      </c>
      <c r="T1011" t="s">
        <v>96</v>
      </c>
      <c r="U1011">
        <v>188</v>
      </c>
      <c r="V1011" t="s">
        <v>62</v>
      </c>
    </row>
    <row r="1012" spans="1:22" x14ac:dyDescent="0.3">
      <c r="A1012" t="s">
        <v>3013</v>
      </c>
      <c r="B1012" t="s">
        <v>461</v>
      </c>
      <c r="C1012">
        <v>57</v>
      </c>
      <c r="D1012" t="s">
        <v>163</v>
      </c>
      <c r="E1012" t="s">
        <v>142</v>
      </c>
      <c r="F1012" t="s">
        <v>26</v>
      </c>
      <c r="G1012" t="s">
        <v>3014</v>
      </c>
      <c r="H1012" t="s">
        <v>901</v>
      </c>
      <c r="I1012" t="s">
        <v>43</v>
      </c>
      <c r="J1012" t="s">
        <v>44</v>
      </c>
      <c r="K1012">
        <v>2</v>
      </c>
      <c r="L1012">
        <v>15686</v>
      </c>
      <c r="M1012">
        <v>0</v>
      </c>
      <c r="N1012" t="s">
        <v>56</v>
      </c>
      <c r="O1012" t="s">
        <v>46</v>
      </c>
      <c r="P1012" t="s">
        <v>33</v>
      </c>
      <c r="Q1012" t="s">
        <v>563</v>
      </c>
      <c r="R1012" t="s">
        <v>3015</v>
      </c>
      <c r="S1012">
        <v>1</v>
      </c>
      <c r="T1012" t="s">
        <v>36</v>
      </c>
      <c r="U1012">
        <v>463</v>
      </c>
      <c r="V1012" t="s">
        <v>79</v>
      </c>
    </row>
    <row r="1013" spans="1:22" x14ac:dyDescent="0.3">
      <c r="A1013" t="s">
        <v>3016</v>
      </c>
      <c r="B1013" t="s">
        <v>606</v>
      </c>
      <c r="C1013">
        <v>20</v>
      </c>
      <c r="D1013" t="s">
        <v>51</v>
      </c>
      <c r="E1013" t="s">
        <v>99</v>
      </c>
      <c r="F1013" t="s">
        <v>65</v>
      </c>
      <c r="G1013" t="s">
        <v>571</v>
      </c>
      <c r="H1013" t="s">
        <v>572</v>
      </c>
      <c r="I1013" t="s">
        <v>77</v>
      </c>
      <c r="J1013" t="s">
        <v>30</v>
      </c>
      <c r="K1013">
        <v>3</v>
      </c>
      <c r="L1013">
        <v>79524</v>
      </c>
      <c r="M1013">
        <v>0</v>
      </c>
      <c r="N1013" t="s">
        <v>56</v>
      </c>
      <c r="O1013" t="s">
        <v>46</v>
      </c>
      <c r="P1013" t="s">
        <v>69</v>
      </c>
      <c r="Q1013" t="s">
        <v>608</v>
      </c>
      <c r="R1013" t="s">
        <v>3017</v>
      </c>
      <c r="S1013">
        <v>2</v>
      </c>
      <c r="T1013" t="s">
        <v>72</v>
      </c>
      <c r="U1013">
        <v>157</v>
      </c>
      <c r="V1013" t="s">
        <v>37</v>
      </c>
    </row>
    <row r="1014" spans="1:22" x14ac:dyDescent="0.3">
      <c r="A1014" t="s">
        <v>3018</v>
      </c>
      <c r="B1014" t="s">
        <v>601</v>
      </c>
      <c r="C1014">
        <v>28</v>
      </c>
      <c r="D1014" t="s">
        <v>24</v>
      </c>
      <c r="E1014" t="s">
        <v>26</v>
      </c>
      <c r="F1014" t="s">
        <v>65</v>
      </c>
      <c r="G1014" t="s">
        <v>1734</v>
      </c>
      <c r="H1014" t="s">
        <v>2415</v>
      </c>
      <c r="I1014" t="s">
        <v>108</v>
      </c>
      <c r="J1014" t="s">
        <v>44</v>
      </c>
      <c r="K1014">
        <v>1</v>
      </c>
      <c r="L1014">
        <v>52471</v>
      </c>
      <c r="M1014">
        <v>15</v>
      </c>
      <c r="N1014" t="s">
        <v>31</v>
      </c>
      <c r="O1014" t="s">
        <v>68</v>
      </c>
      <c r="P1014" t="s">
        <v>174</v>
      </c>
      <c r="R1014" t="s">
        <v>3019</v>
      </c>
      <c r="S1014">
        <v>1</v>
      </c>
      <c r="T1014" t="s">
        <v>61</v>
      </c>
      <c r="U1014">
        <v>370</v>
      </c>
      <c r="V1014" t="s">
        <v>62</v>
      </c>
    </row>
    <row r="1015" spans="1:22" x14ac:dyDescent="0.3">
      <c r="A1015" t="s">
        <v>3020</v>
      </c>
      <c r="B1015" t="s">
        <v>509</v>
      </c>
      <c r="C1015">
        <v>25</v>
      </c>
      <c r="D1015" t="s">
        <v>24</v>
      </c>
      <c r="E1015" t="s">
        <v>52</v>
      </c>
      <c r="F1015" t="s">
        <v>65</v>
      </c>
      <c r="G1015" t="s">
        <v>3021</v>
      </c>
      <c r="H1015" t="s">
        <v>1015</v>
      </c>
      <c r="I1015" t="s">
        <v>29</v>
      </c>
      <c r="J1015" t="s">
        <v>44</v>
      </c>
      <c r="K1015">
        <v>2</v>
      </c>
      <c r="L1015">
        <v>56010</v>
      </c>
      <c r="M1015">
        <v>10</v>
      </c>
      <c r="N1015" t="s">
        <v>45</v>
      </c>
      <c r="O1015" t="s">
        <v>173</v>
      </c>
      <c r="P1015" t="s">
        <v>33</v>
      </c>
      <c r="Q1015" t="s">
        <v>512</v>
      </c>
      <c r="R1015" t="s">
        <v>3022</v>
      </c>
      <c r="S1015">
        <v>2</v>
      </c>
      <c r="T1015" t="s">
        <v>36</v>
      </c>
      <c r="U1015">
        <v>96</v>
      </c>
      <c r="V1015" t="s">
        <v>37</v>
      </c>
    </row>
    <row r="1016" spans="1:22" x14ac:dyDescent="0.3">
      <c r="A1016" t="s">
        <v>3023</v>
      </c>
      <c r="B1016" t="s">
        <v>3024</v>
      </c>
      <c r="C1016">
        <v>25</v>
      </c>
      <c r="D1016" t="s">
        <v>24</v>
      </c>
      <c r="E1016" t="s">
        <v>131</v>
      </c>
      <c r="F1016" t="s">
        <v>91</v>
      </c>
      <c r="G1016" t="s">
        <v>3025</v>
      </c>
      <c r="H1016" t="s">
        <v>2687</v>
      </c>
      <c r="I1016" t="s">
        <v>43</v>
      </c>
      <c r="J1016" t="s">
        <v>30</v>
      </c>
      <c r="K1016">
        <v>2</v>
      </c>
      <c r="L1016">
        <v>41919</v>
      </c>
      <c r="M1016">
        <v>15</v>
      </c>
      <c r="N1016" t="s">
        <v>166</v>
      </c>
      <c r="O1016" t="s">
        <v>173</v>
      </c>
      <c r="P1016" t="s">
        <v>58</v>
      </c>
      <c r="Q1016" t="s">
        <v>1311</v>
      </c>
      <c r="R1016" t="s">
        <v>3026</v>
      </c>
      <c r="S1016">
        <v>5</v>
      </c>
      <c r="T1016" t="s">
        <v>96</v>
      </c>
      <c r="U1016">
        <v>156</v>
      </c>
      <c r="V1016" t="s">
        <v>37</v>
      </c>
    </row>
    <row r="1017" spans="1:22" x14ac:dyDescent="0.3">
      <c r="A1017" t="s">
        <v>3027</v>
      </c>
      <c r="B1017" t="s">
        <v>684</v>
      </c>
      <c r="C1017">
        <v>29</v>
      </c>
      <c r="D1017" t="s">
        <v>24</v>
      </c>
      <c r="E1017" t="s">
        <v>25</v>
      </c>
      <c r="F1017" t="s">
        <v>65</v>
      </c>
      <c r="G1017" t="s">
        <v>1302</v>
      </c>
      <c r="H1017" t="s">
        <v>881</v>
      </c>
      <c r="I1017" t="s">
        <v>77</v>
      </c>
      <c r="J1017" t="s">
        <v>44</v>
      </c>
      <c r="K1017">
        <v>2</v>
      </c>
      <c r="L1017">
        <v>31776</v>
      </c>
      <c r="M1017">
        <v>10</v>
      </c>
      <c r="N1017" t="s">
        <v>56</v>
      </c>
      <c r="O1017" t="s">
        <v>57</v>
      </c>
      <c r="P1017" t="s">
        <v>69</v>
      </c>
      <c r="Q1017" t="s">
        <v>785</v>
      </c>
      <c r="R1017" t="s">
        <v>3028</v>
      </c>
      <c r="S1017">
        <v>1</v>
      </c>
      <c r="T1017" t="s">
        <v>72</v>
      </c>
      <c r="U1017">
        <v>342</v>
      </c>
      <c r="V1017" t="s">
        <v>79</v>
      </c>
    </row>
    <row r="1018" spans="1:22" x14ac:dyDescent="0.3">
      <c r="A1018" t="s">
        <v>3029</v>
      </c>
      <c r="B1018" t="s">
        <v>637</v>
      </c>
      <c r="C1018">
        <v>49</v>
      </c>
      <c r="D1018" t="s">
        <v>24</v>
      </c>
      <c r="E1018" t="s">
        <v>52</v>
      </c>
      <c r="F1018" t="s">
        <v>91</v>
      </c>
      <c r="G1018" t="s">
        <v>2153</v>
      </c>
      <c r="H1018" t="s">
        <v>774</v>
      </c>
      <c r="I1018" t="s">
        <v>43</v>
      </c>
      <c r="J1018" t="s">
        <v>30</v>
      </c>
      <c r="K1018">
        <v>1</v>
      </c>
      <c r="L1018">
        <v>67334</v>
      </c>
      <c r="M1018">
        <v>0</v>
      </c>
      <c r="N1018" t="s">
        <v>45</v>
      </c>
      <c r="O1018" t="s">
        <v>133</v>
      </c>
      <c r="P1018" t="s">
        <v>174</v>
      </c>
      <c r="Q1018" t="s">
        <v>2248</v>
      </c>
      <c r="R1018" t="s">
        <v>3030</v>
      </c>
      <c r="S1018">
        <v>3</v>
      </c>
      <c r="T1018" t="s">
        <v>72</v>
      </c>
      <c r="U1018">
        <v>439</v>
      </c>
      <c r="V1018" t="s">
        <v>62</v>
      </c>
    </row>
    <row r="1019" spans="1:22" x14ac:dyDescent="0.3">
      <c r="A1019" t="s">
        <v>3031</v>
      </c>
      <c r="B1019" t="s">
        <v>309</v>
      </c>
      <c r="C1019">
        <v>31</v>
      </c>
      <c r="D1019" t="s">
        <v>24</v>
      </c>
      <c r="E1019" t="s">
        <v>99</v>
      </c>
      <c r="F1019" t="s">
        <v>26</v>
      </c>
      <c r="G1019" t="s">
        <v>1719</v>
      </c>
      <c r="H1019" t="s">
        <v>84</v>
      </c>
      <c r="I1019" t="s">
        <v>77</v>
      </c>
      <c r="J1019" t="s">
        <v>30</v>
      </c>
      <c r="K1019">
        <v>5</v>
      </c>
      <c r="L1019">
        <v>5178</v>
      </c>
      <c r="M1019">
        <v>0</v>
      </c>
      <c r="N1019" t="s">
        <v>166</v>
      </c>
      <c r="O1019" t="s">
        <v>281</v>
      </c>
      <c r="P1019" t="s">
        <v>174</v>
      </c>
      <c r="Q1019" t="s">
        <v>312</v>
      </c>
      <c r="R1019" t="s">
        <v>3032</v>
      </c>
      <c r="S1019">
        <v>3</v>
      </c>
      <c r="T1019" t="s">
        <v>96</v>
      </c>
      <c r="U1019">
        <v>102</v>
      </c>
      <c r="V1019" t="s">
        <v>79</v>
      </c>
    </row>
    <row r="1020" spans="1:22" x14ac:dyDescent="0.3">
      <c r="A1020" t="s">
        <v>3033</v>
      </c>
      <c r="B1020" t="s">
        <v>503</v>
      </c>
      <c r="C1020">
        <v>51</v>
      </c>
      <c r="D1020" t="s">
        <v>24</v>
      </c>
      <c r="E1020" t="s">
        <v>142</v>
      </c>
      <c r="F1020" t="s">
        <v>91</v>
      </c>
      <c r="G1020" t="s">
        <v>3034</v>
      </c>
      <c r="H1020" t="s">
        <v>651</v>
      </c>
      <c r="I1020" t="s">
        <v>85</v>
      </c>
      <c r="J1020" t="s">
        <v>30</v>
      </c>
      <c r="K1020">
        <v>3</v>
      </c>
      <c r="L1020">
        <v>68079</v>
      </c>
      <c r="M1020">
        <v>10</v>
      </c>
      <c r="N1020" t="s">
        <v>31</v>
      </c>
      <c r="O1020" t="s">
        <v>86</v>
      </c>
      <c r="P1020" t="s">
        <v>174</v>
      </c>
      <c r="Q1020" t="s">
        <v>506</v>
      </c>
      <c r="S1020">
        <v>3</v>
      </c>
      <c r="T1020" t="s">
        <v>96</v>
      </c>
      <c r="U1020">
        <v>232</v>
      </c>
      <c r="V1020" t="s">
        <v>37</v>
      </c>
    </row>
    <row r="1021" spans="1:22" x14ac:dyDescent="0.3">
      <c r="A1021" t="s">
        <v>3035</v>
      </c>
      <c r="B1021" t="s">
        <v>440</v>
      </c>
      <c r="C1021">
        <v>24</v>
      </c>
      <c r="D1021" t="s">
        <v>51</v>
      </c>
      <c r="E1021" t="s">
        <v>99</v>
      </c>
      <c r="F1021" t="s">
        <v>82</v>
      </c>
      <c r="G1021" t="s">
        <v>2090</v>
      </c>
      <c r="H1021" t="s">
        <v>413</v>
      </c>
      <c r="I1021" t="s">
        <v>93</v>
      </c>
      <c r="J1021" t="s">
        <v>44</v>
      </c>
      <c r="K1021">
        <v>3</v>
      </c>
      <c r="L1021">
        <v>45070</v>
      </c>
      <c r="M1021">
        <v>0</v>
      </c>
      <c r="N1021" t="s">
        <v>166</v>
      </c>
      <c r="O1021" t="s">
        <v>173</v>
      </c>
      <c r="P1021" t="s">
        <v>174</v>
      </c>
      <c r="Q1021" t="s">
        <v>437</v>
      </c>
      <c r="R1021" t="s">
        <v>3036</v>
      </c>
      <c r="S1021">
        <v>4</v>
      </c>
      <c r="T1021" t="s">
        <v>61</v>
      </c>
      <c r="U1021">
        <v>56</v>
      </c>
      <c r="V1021" t="s">
        <v>62</v>
      </c>
    </row>
    <row r="1022" spans="1:22" x14ac:dyDescent="0.3">
      <c r="A1022" t="s">
        <v>3037</v>
      </c>
      <c r="B1022" t="s">
        <v>2572</v>
      </c>
      <c r="C1022">
        <v>48</v>
      </c>
      <c r="D1022" t="s">
        <v>24</v>
      </c>
      <c r="E1022" t="s">
        <v>26</v>
      </c>
      <c r="F1022" t="s">
        <v>26</v>
      </c>
      <c r="G1022" t="s">
        <v>477</v>
      </c>
      <c r="H1022" t="s">
        <v>624</v>
      </c>
      <c r="I1022" t="s">
        <v>93</v>
      </c>
      <c r="J1022" t="s">
        <v>30</v>
      </c>
      <c r="K1022">
        <v>4</v>
      </c>
      <c r="L1022">
        <v>9637</v>
      </c>
      <c r="M1022">
        <v>15</v>
      </c>
      <c r="N1022" t="s">
        <v>31</v>
      </c>
      <c r="O1022" t="s">
        <v>109</v>
      </c>
      <c r="P1022" t="s">
        <v>58</v>
      </c>
      <c r="Q1022" t="s">
        <v>400</v>
      </c>
      <c r="R1022" t="s">
        <v>3038</v>
      </c>
      <c r="S1022">
        <v>4</v>
      </c>
      <c r="T1022" t="s">
        <v>36</v>
      </c>
      <c r="U1022">
        <v>466</v>
      </c>
      <c r="V1022" t="s">
        <v>62</v>
      </c>
    </row>
    <row r="1023" spans="1:22" x14ac:dyDescent="0.3">
      <c r="A1023" t="s">
        <v>3039</v>
      </c>
      <c r="B1023" t="s">
        <v>767</v>
      </c>
      <c r="C1023">
        <v>39</v>
      </c>
      <c r="D1023" t="s">
        <v>51</v>
      </c>
      <c r="E1023" t="s">
        <v>229</v>
      </c>
      <c r="F1023" t="s">
        <v>26</v>
      </c>
      <c r="G1023" t="s">
        <v>521</v>
      </c>
      <c r="H1023" t="s">
        <v>1005</v>
      </c>
      <c r="I1023" t="s">
        <v>93</v>
      </c>
      <c r="J1023" t="s">
        <v>44</v>
      </c>
      <c r="K1023">
        <v>1</v>
      </c>
      <c r="L1023">
        <v>26692</v>
      </c>
      <c r="M1023">
        <v>15</v>
      </c>
      <c r="N1023" t="s">
        <v>56</v>
      </c>
      <c r="O1023" t="s">
        <v>102</v>
      </c>
      <c r="P1023" t="s">
        <v>58</v>
      </c>
      <c r="Q1023" t="s">
        <v>769</v>
      </c>
      <c r="S1023">
        <v>5</v>
      </c>
      <c r="T1023" t="s">
        <v>61</v>
      </c>
      <c r="U1023">
        <v>458</v>
      </c>
      <c r="V1023" t="s">
        <v>37</v>
      </c>
    </row>
    <row r="1024" spans="1:22" x14ac:dyDescent="0.3">
      <c r="A1024" t="s">
        <v>3040</v>
      </c>
      <c r="B1024" t="s">
        <v>216</v>
      </c>
      <c r="C1024">
        <v>22</v>
      </c>
      <c r="D1024" t="s">
        <v>24</v>
      </c>
      <c r="E1024" t="s">
        <v>142</v>
      </c>
      <c r="F1024" t="s">
        <v>53</v>
      </c>
      <c r="G1024" t="s">
        <v>3041</v>
      </c>
      <c r="H1024" t="s">
        <v>1549</v>
      </c>
      <c r="I1024" t="s">
        <v>85</v>
      </c>
      <c r="J1024" t="s">
        <v>44</v>
      </c>
      <c r="K1024">
        <v>2</v>
      </c>
      <c r="L1024">
        <v>57358</v>
      </c>
      <c r="M1024">
        <v>5</v>
      </c>
      <c r="N1024" t="s">
        <v>31</v>
      </c>
      <c r="O1024" t="s">
        <v>133</v>
      </c>
      <c r="P1024" t="s">
        <v>58</v>
      </c>
      <c r="Q1024" t="s">
        <v>219</v>
      </c>
      <c r="R1024" t="s">
        <v>3042</v>
      </c>
      <c r="S1024">
        <v>4</v>
      </c>
      <c r="T1024" t="s">
        <v>61</v>
      </c>
      <c r="U1024">
        <v>312</v>
      </c>
      <c r="V1024" t="s">
        <v>62</v>
      </c>
    </row>
    <row r="1025" spans="1:22" x14ac:dyDescent="0.3">
      <c r="A1025" t="s">
        <v>3043</v>
      </c>
      <c r="B1025" t="s">
        <v>1443</v>
      </c>
      <c r="C1025">
        <v>47</v>
      </c>
      <c r="D1025" t="s">
        <v>183</v>
      </c>
      <c r="E1025" t="s">
        <v>131</v>
      </c>
      <c r="F1025" t="s">
        <v>53</v>
      </c>
      <c r="G1025" t="s">
        <v>523</v>
      </c>
      <c r="H1025" t="s">
        <v>524</v>
      </c>
      <c r="I1025" t="s">
        <v>29</v>
      </c>
      <c r="J1025" t="s">
        <v>30</v>
      </c>
      <c r="K1025">
        <v>2</v>
      </c>
      <c r="M1025">
        <v>15</v>
      </c>
      <c r="N1025" t="s">
        <v>166</v>
      </c>
      <c r="O1025" t="s">
        <v>57</v>
      </c>
      <c r="P1025" t="s">
        <v>69</v>
      </c>
      <c r="Q1025" t="s">
        <v>1444</v>
      </c>
      <c r="R1025" t="s">
        <v>3044</v>
      </c>
      <c r="S1025">
        <v>2</v>
      </c>
      <c r="T1025" t="s">
        <v>36</v>
      </c>
      <c r="U1025">
        <v>452</v>
      </c>
      <c r="V1025" t="s">
        <v>37</v>
      </c>
    </row>
    <row r="1026" spans="1:22" x14ac:dyDescent="0.3">
      <c r="A1026" t="s">
        <v>3045</v>
      </c>
      <c r="B1026" t="s">
        <v>440</v>
      </c>
      <c r="C1026">
        <v>57</v>
      </c>
      <c r="D1026" t="s">
        <v>51</v>
      </c>
      <c r="E1026" t="s">
        <v>142</v>
      </c>
      <c r="F1026" t="s">
        <v>65</v>
      </c>
      <c r="G1026" t="s">
        <v>363</v>
      </c>
      <c r="H1026" t="s">
        <v>1829</v>
      </c>
      <c r="I1026" t="s">
        <v>43</v>
      </c>
      <c r="J1026" t="s">
        <v>44</v>
      </c>
      <c r="K1026">
        <v>5</v>
      </c>
      <c r="L1026">
        <v>46777</v>
      </c>
      <c r="M1026">
        <v>15</v>
      </c>
      <c r="N1026" t="s">
        <v>45</v>
      </c>
      <c r="O1026" t="s">
        <v>133</v>
      </c>
      <c r="P1026" t="s">
        <v>33</v>
      </c>
      <c r="Q1026" t="s">
        <v>437</v>
      </c>
      <c r="R1026" t="s">
        <v>3046</v>
      </c>
      <c r="S1026">
        <v>3</v>
      </c>
      <c r="T1026" t="s">
        <v>36</v>
      </c>
      <c r="U1026">
        <v>216</v>
      </c>
      <c r="V1026" t="s">
        <v>62</v>
      </c>
    </row>
    <row r="1027" spans="1:22" x14ac:dyDescent="0.3">
      <c r="A1027" t="s">
        <v>3047</v>
      </c>
      <c r="B1027" t="s">
        <v>293</v>
      </c>
      <c r="C1027">
        <v>22</v>
      </c>
      <c r="D1027" t="s">
        <v>24</v>
      </c>
      <c r="E1027" t="s">
        <v>142</v>
      </c>
      <c r="F1027" t="s">
        <v>91</v>
      </c>
      <c r="G1027" t="s">
        <v>3048</v>
      </c>
      <c r="H1027" t="s">
        <v>2384</v>
      </c>
      <c r="I1027" t="s">
        <v>77</v>
      </c>
      <c r="J1027" t="s">
        <v>30</v>
      </c>
      <c r="K1027">
        <v>1</v>
      </c>
      <c r="L1027">
        <v>23046</v>
      </c>
      <c r="M1027">
        <v>15</v>
      </c>
      <c r="N1027" t="s">
        <v>56</v>
      </c>
      <c r="O1027" t="s">
        <v>68</v>
      </c>
      <c r="P1027" t="s">
        <v>58</v>
      </c>
      <c r="Q1027" t="s">
        <v>1231</v>
      </c>
      <c r="R1027" t="s">
        <v>3049</v>
      </c>
      <c r="S1027">
        <v>2</v>
      </c>
      <c r="T1027" t="s">
        <v>36</v>
      </c>
      <c r="U1027">
        <v>63</v>
      </c>
      <c r="V1027" t="s">
        <v>79</v>
      </c>
    </row>
    <row r="1028" spans="1:22" x14ac:dyDescent="0.3">
      <c r="A1028" t="s">
        <v>3050</v>
      </c>
      <c r="B1028" t="s">
        <v>503</v>
      </c>
      <c r="C1028">
        <v>24</v>
      </c>
      <c r="D1028" t="s">
        <v>24</v>
      </c>
      <c r="E1028" t="s">
        <v>26</v>
      </c>
      <c r="F1028" t="s">
        <v>91</v>
      </c>
      <c r="G1028" t="s">
        <v>846</v>
      </c>
      <c r="H1028" t="s">
        <v>1434</v>
      </c>
      <c r="I1028" t="s">
        <v>29</v>
      </c>
      <c r="J1028" t="s">
        <v>44</v>
      </c>
      <c r="K1028">
        <v>4</v>
      </c>
      <c r="L1028">
        <v>48894</v>
      </c>
      <c r="M1028">
        <v>5</v>
      </c>
      <c r="N1028" t="s">
        <v>31</v>
      </c>
      <c r="O1028" t="s">
        <v>173</v>
      </c>
      <c r="P1028" t="s">
        <v>69</v>
      </c>
      <c r="Q1028" t="s">
        <v>506</v>
      </c>
      <c r="R1028" t="s">
        <v>3051</v>
      </c>
      <c r="S1028">
        <v>1</v>
      </c>
      <c r="T1028" t="s">
        <v>36</v>
      </c>
      <c r="U1028">
        <v>347</v>
      </c>
      <c r="V1028" t="s">
        <v>62</v>
      </c>
    </row>
    <row r="1029" spans="1:22" x14ac:dyDescent="0.3">
      <c r="A1029" t="s">
        <v>3052</v>
      </c>
      <c r="B1029" t="s">
        <v>650</v>
      </c>
      <c r="C1029">
        <v>33</v>
      </c>
      <c r="D1029" t="s">
        <v>51</v>
      </c>
      <c r="E1029" t="s">
        <v>229</v>
      </c>
      <c r="F1029" t="s">
        <v>65</v>
      </c>
      <c r="G1029" t="s">
        <v>1646</v>
      </c>
      <c r="H1029" t="s">
        <v>1372</v>
      </c>
      <c r="I1029" t="s">
        <v>108</v>
      </c>
      <c r="J1029" t="s">
        <v>30</v>
      </c>
      <c r="K1029">
        <v>2</v>
      </c>
      <c r="L1029">
        <v>22872</v>
      </c>
      <c r="M1029">
        <v>10</v>
      </c>
      <c r="N1029" t="s">
        <v>45</v>
      </c>
      <c r="O1029" t="s">
        <v>46</v>
      </c>
      <c r="P1029" t="s">
        <v>174</v>
      </c>
      <c r="Q1029" t="s">
        <v>653</v>
      </c>
      <c r="R1029" t="s">
        <v>3053</v>
      </c>
      <c r="S1029">
        <v>5</v>
      </c>
      <c r="T1029" t="s">
        <v>96</v>
      </c>
      <c r="U1029">
        <v>337</v>
      </c>
      <c r="V1029" t="s">
        <v>79</v>
      </c>
    </row>
    <row r="1030" spans="1:22" x14ac:dyDescent="0.3">
      <c r="A1030" t="s">
        <v>3054</v>
      </c>
      <c r="B1030" t="s">
        <v>162</v>
      </c>
      <c r="C1030">
        <v>41</v>
      </c>
      <c r="D1030" t="s">
        <v>51</v>
      </c>
      <c r="E1030" t="s">
        <v>99</v>
      </c>
      <c r="F1030" t="s">
        <v>53</v>
      </c>
      <c r="G1030" t="s">
        <v>763</v>
      </c>
      <c r="H1030" t="s">
        <v>3055</v>
      </c>
      <c r="I1030" t="s">
        <v>43</v>
      </c>
      <c r="J1030" t="s">
        <v>30</v>
      </c>
      <c r="L1030">
        <v>36719</v>
      </c>
      <c r="M1030">
        <v>0</v>
      </c>
      <c r="N1030" t="s">
        <v>56</v>
      </c>
      <c r="O1030" t="s">
        <v>68</v>
      </c>
      <c r="P1030" t="s">
        <v>33</v>
      </c>
      <c r="Q1030" t="s">
        <v>167</v>
      </c>
      <c r="R1030" t="s">
        <v>3056</v>
      </c>
      <c r="S1030">
        <v>1</v>
      </c>
      <c r="T1030" t="s">
        <v>61</v>
      </c>
      <c r="U1030">
        <v>419</v>
      </c>
      <c r="V1030" t="s">
        <v>62</v>
      </c>
    </row>
    <row r="1031" spans="1:22" x14ac:dyDescent="0.3">
      <c r="A1031" t="s">
        <v>3057</v>
      </c>
      <c r="B1031" t="s">
        <v>457</v>
      </c>
      <c r="C1031">
        <v>27</v>
      </c>
      <c r="D1031" t="s">
        <v>24</v>
      </c>
      <c r="E1031" t="s">
        <v>26</v>
      </c>
      <c r="F1031" t="s">
        <v>91</v>
      </c>
      <c r="G1031" t="s">
        <v>1740</v>
      </c>
      <c r="H1031" t="s">
        <v>1341</v>
      </c>
      <c r="I1031" t="s">
        <v>85</v>
      </c>
      <c r="J1031" t="s">
        <v>30</v>
      </c>
      <c r="K1031">
        <v>5</v>
      </c>
      <c r="L1031">
        <v>61767</v>
      </c>
      <c r="M1031">
        <v>15</v>
      </c>
      <c r="N1031" t="s">
        <v>56</v>
      </c>
      <c r="O1031" t="s">
        <v>57</v>
      </c>
      <c r="P1031" t="s">
        <v>69</v>
      </c>
      <c r="Q1031" t="s">
        <v>595</v>
      </c>
      <c r="R1031" t="s">
        <v>3058</v>
      </c>
      <c r="S1031">
        <v>3</v>
      </c>
      <c r="T1031" t="s">
        <v>96</v>
      </c>
      <c r="U1031">
        <v>476</v>
      </c>
      <c r="V1031" t="s">
        <v>37</v>
      </c>
    </row>
    <row r="1032" spans="1:22" x14ac:dyDescent="0.3">
      <c r="A1032" t="s">
        <v>3059</v>
      </c>
      <c r="B1032" t="s">
        <v>762</v>
      </c>
      <c r="C1032">
        <v>55</v>
      </c>
      <c r="D1032" t="s">
        <v>51</v>
      </c>
      <c r="E1032" t="s">
        <v>26</v>
      </c>
      <c r="F1032" t="s">
        <v>82</v>
      </c>
      <c r="G1032" t="s">
        <v>1406</v>
      </c>
      <c r="H1032" t="s">
        <v>1790</v>
      </c>
      <c r="I1032" t="s">
        <v>93</v>
      </c>
      <c r="J1032" t="s">
        <v>30</v>
      </c>
      <c r="K1032">
        <v>2</v>
      </c>
      <c r="M1032">
        <v>0</v>
      </c>
      <c r="N1032" t="s">
        <v>31</v>
      </c>
      <c r="O1032" t="s">
        <v>133</v>
      </c>
      <c r="P1032" t="s">
        <v>33</v>
      </c>
      <c r="S1032">
        <v>5</v>
      </c>
      <c r="T1032" t="s">
        <v>96</v>
      </c>
      <c r="U1032">
        <v>116</v>
      </c>
      <c r="V1032" t="s">
        <v>79</v>
      </c>
    </row>
    <row r="1033" spans="1:22" x14ac:dyDescent="0.3">
      <c r="A1033" t="s">
        <v>3060</v>
      </c>
      <c r="B1033" t="s">
        <v>64</v>
      </c>
      <c r="C1033">
        <v>57</v>
      </c>
      <c r="D1033" t="s">
        <v>51</v>
      </c>
      <c r="E1033" t="s">
        <v>131</v>
      </c>
      <c r="F1033" t="s">
        <v>65</v>
      </c>
      <c r="G1033" t="s">
        <v>1000</v>
      </c>
      <c r="H1033" t="s">
        <v>2518</v>
      </c>
      <c r="I1033" t="s">
        <v>108</v>
      </c>
      <c r="J1033" t="s">
        <v>30</v>
      </c>
      <c r="K1033">
        <v>1</v>
      </c>
      <c r="L1033">
        <v>41740</v>
      </c>
      <c r="M1033">
        <v>10</v>
      </c>
      <c r="N1033" t="s">
        <v>31</v>
      </c>
      <c r="O1033" t="s">
        <v>281</v>
      </c>
      <c r="P1033" t="s">
        <v>33</v>
      </c>
      <c r="Q1033" t="s">
        <v>70</v>
      </c>
      <c r="S1033">
        <v>3</v>
      </c>
      <c r="T1033" t="s">
        <v>96</v>
      </c>
      <c r="U1033">
        <v>225</v>
      </c>
      <c r="V1033" t="s">
        <v>37</v>
      </c>
    </row>
    <row r="1034" spans="1:22" x14ac:dyDescent="0.3">
      <c r="A1034" t="s">
        <v>3061</v>
      </c>
      <c r="B1034" t="s">
        <v>1045</v>
      </c>
      <c r="C1034">
        <v>58</v>
      </c>
      <c r="D1034" t="s">
        <v>24</v>
      </c>
      <c r="E1034" t="s">
        <v>142</v>
      </c>
      <c r="F1034" t="s">
        <v>53</v>
      </c>
      <c r="G1034" t="s">
        <v>375</v>
      </c>
      <c r="H1034" t="s">
        <v>1310</v>
      </c>
      <c r="I1034" t="s">
        <v>29</v>
      </c>
      <c r="J1034" t="s">
        <v>44</v>
      </c>
      <c r="K1034">
        <v>2</v>
      </c>
      <c r="L1034">
        <v>77971</v>
      </c>
      <c r="M1034">
        <v>15</v>
      </c>
      <c r="N1034" t="s">
        <v>45</v>
      </c>
      <c r="O1034" t="s">
        <v>133</v>
      </c>
      <c r="P1034" t="s">
        <v>58</v>
      </c>
      <c r="Q1034" t="s">
        <v>1048</v>
      </c>
      <c r="R1034" t="s">
        <v>3062</v>
      </c>
      <c r="S1034">
        <v>5</v>
      </c>
      <c r="T1034" t="s">
        <v>36</v>
      </c>
      <c r="U1034">
        <v>194</v>
      </c>
      <c r="V1034" t="s">
        <v>37</v>
      </c>
    </row>
    <row r="1035" spans="1:22" x14ac:dyDescent="0.3">
      <c r="A1035" t="s">
        <v>3063</v>
      </c>
      <c r="B1035" t="s">
        <v>803</v>
      </c>
      <c r="C1035">
        <v>21</v>
      </c>
      <c r="D1035" t="s">
        <v>24</v>
      </c>
      <c r="E1035" t="s">
        <v>99</v>
      </c>
      <c r="F1035" t="s">
        <v>26</v>
      </c>
      <c r="G1035" t="s">
        <v>1037</v>
      </c>
      <c r="H1035" t="s">
        <v>3064</v>
      </c>
      <c r="I1035" t="s">
        <v>43</v>
      </c>
      <c r="J1035" t="s">
        <v>44</v>
      </c>
      <c r="L1035">
        <v>52114</v>
      </c>
      <c r="M1035">
        <v>15</v>
      </c>
      <c r="N1035" t="s">
        <v>166</v>
      </c>
      <c r="O1035" t="s">
        <v>86</v>
      </c>
      <c r="P1035" t="s">
        <v>33</v>
      </c>
      <c r="Q1035" t="s">
        <v>805</v>
      </c>
      <c r="R1035" t="s">
        <v>3065</v>
      </c>
      <c r="S1035">
        <v>5</v>
      </c>
      <c r="T1035" t="s">
        <v>96</v>
      </c>
      <c r="U1035">
        <v>336</v>
      </c>
      <c r="V1035" t="s">
        <v>37</v>
      </c>
    </row>
    <row r="1036" spans="1:22" x14ac:dyDescent="0.3">
      <c r="A1036" t="s">
        <v>3066</v>
      </c>
      <c r="B1036" t="s">
        <v>645</v>
      </c>
      <c r="C1036">
        <v>20</v>
      </c>
      <c r="D1036" t="s">
        <v>51</v>
      </c>
      <c r="E1036" t="s">
        <v>131</v>
      </c>
      <c r="F1036" t="s">
        <v>53</v>
      </c>
      <c r="G1036" t="s">
        <v>3067</v>
      </c>
      <c r="H1036" t="s">
        <v>328</v>
      </c>
      <c r="I1036" t="s">
        <v>77</v>
      </c>
      <c r="J1036" t="s">
        <v>30</v>
      </c>
      <c r="K1036">
        <v>5</v>
      </c>
      <c r="L1036">
        <v>53752</v>
      </c>
      <c r="M1036">
        <v>0</v>
      </c>
      <c r="N1036" t="s">
        <v>45</v>
      </c>
      <c r="O1036" t="s">
        <v>281</v>
      </c>
      <c r="P1036" t="s">
        <v>58</v>
      </c>
      <c r="Q1036" t="s">
        <v>647</v>
      </c>
      <c r="R1036" t="s">
        <v>3068</v>
      </c>
      <c r="S1036">
        <v>4</v>
      </c>
      <c r="T1036" t="s">
        <v>61</v>
      </c>
      <c r="U1036">
        <v>142</v>
      </c>
      <c r="V1036" t="s">
        <v>62</v>
      </c>
    </row>
    <row r="1037" spans="1:22" x14ac:dyDescent="0.3">
      <c r="A1037" t="s">
        <v>3069</v>
      </c>
      <c r="B1037" t="s">
        <v>130</v>
      </c>
      <c r="C1037">
        <v>49</v>
      </c>
      <c r="D1037" t="s">
        <v>51</v>
      </c>
      <c r="E1037" t="s">
        <v>229</v>
      </c>
      <c r="F1037" t="s">
        <v>82</v>
      </c>
      <c r="G1037" t="s">
        <v>1267</v>
      </c>
      <c r="H1037" t="s">
        <v>2373</v>
      </c>
      <c r="I1037" t="s">
        <v>108</v>
      </c>
      <c r="J1037" t="s">
        <v>30</v>
      </c>
      <c r="K1037">
        <v>4</v>
      </c>
      <c r="L1037">
        <v>61972</v>
      </c>
      <c r="M1037">
        <v>15</v>
      </c>
      <c r="N1037" t="s">
        <v>31</v>
      </c>
      <c r="O1037" t="s">
        <v>86</v>
      </c>
      <c r="P1037" t="s">
        <v>69</v>
      </c>
      <c r="Q1037" t="s">
        <v>1355</v>
      </c>
      <c r="R1037" t="s">
        <v>3070</v>
      </c>
      <c r="S1037">
        <v>3</v>
      </c>
      <c r="T1037" t="s">
        <v>61</v>
      </c>
      <c r="U1037">
        <v>140</v>
      </c>
      <c r="V1037" t="s">
        <v>62</v>
      </c>
    </row>
    <row r="1038" spans="1:22" x14ac:dyDescent="0.3">
      <c r="A1038" t="s">
        <v>3071</v>
      </c>
      <c r="B1038" t="s">
        <v>249</v>
      </c>
      <c r="C1038">
        <v>26</v>
      </c>
      <c r="D1038" t="s">
        <v>24</v>
      </c>
      <c r="E1038" t="s">
        <v>26</v>
      </c>
      <c r="F1038" t="s">
        <v>26</v>
      </c>
      <c r="G1038" t="s">
        <v>286</v>
      </c>
      <c r="H1038" t="s">
        <v>287</v>
      </c>
      <c r="I1038" t="s">
        <v>43</v>
      </c>
      <c r="J1038" t="s">
        <v>30</v>
      </c>
      <c r="K1038">
        <v>1</v>
      </c>
      <c r="L1038">
        <v>41294</v>
      </c>
      <c r="M1038">
        <v>15</v>
      </c>
      <c r="N1038" t="s">
        <v>56</v>
      </c>
      <c r="O1038" t="s">
        <v>32</v>
      </c>
      <c r="P1038" t="s">
        <v>174</v>
      </c>
      <c r="Q1038" t="s">
        <v>252</v>
      </c>
      <c r="R1038" t="s">
        <v>3072</v>
      </c>
      <c r="S1038">
        <v>5</v>
      </c>
      <c r="T1038" t="s">
        <v>36</v>
      </c>
      <c r="U1038">
        <v>460</v>
      </c>
      <c r="V1038" t="s">
        <v>79</v>
      </c>
    </row>
    <row r="1039" spans="1:22" x14ac:dyDescent="0.3">
      <c r="A1039" t="s">
        <v>3073</v>
      </c>
      <c r="B1039" t="s">
        <v>457</v>
      </c>
      <c r="C1039">
        <v>53</v>
      </c>
      <c r="D1039" t="s">
        <v>51</v>
      </c>
      <c r="E1039" t="s">
        <v>99</v>
      </c>
      <c r="F1039" t="s">
        <v>91</v>
      </c>
      <c r="G1039" t="s">
        <v>299</v>
      </c>
      <c r="H1039" t="s">
        <v>878</v>
      </c>
      <c r="I1039" t="s">
        <v>43</v>
      </c>
      <c r="J1039" t="s">
        <v>44</v>
      </c>
      <c r="K1039">
        <v>2</v>
      </c>
      <c r="L1039">
        <v>20853</v>
      </c>
      <c r="M1039">
        <v>10</v>
      </c>
      <c r="N1039" t="s">
        <v>56</v>
      </c>
      <c r="O1039" t="s">
        <v>32</v>
      </c>
      <c r="P1039" t="s">
        <v>33</v>
      </c>
      <c r="Q1039" t="s">
        <v>595</v>
      </c>
      <c r="R1039" t="s">
        <v>3074</v>
      </c>
      <c r="S1039">
        <v>1</v>
      </c>
      <c r="T1039" t="s">
        <v>96</v>
      </c>
      <c r="U1039">
        <v>135</v>
      </c>
      <c r="V1039" t="s">
        <v>37</v>
      </c>
    </row>
    <row r="1040" spans="1:22" x14ac:dyDescent="0.3">
      <c r="A1040" t="s">
        <v>3075</v>
      </c>
      <c r="B1040" t="s">
        <v>193</v>
      </c>
      <c r="C1040">
        <v>59</v>
      </c>
      <c r="D1040" t="s">
        <v>24</v>
      </c>
      <c r="E1040" t="s">
        <v>25</v>
      </c>
      <c r="F1040" t="s">
        <v>82</v>
      </c>
      <c r="G1040" t="s">
        <v>2133</v>
      </c>
      <c r="H1040" t="s">
        <v>810</v>
      </c>
      <c r="I1040" t="s">
        <v>29</v>
      </c>
      <c r="J1040" t="s">
        <v>30</v>
      </c>
      <c r="K1040">
        <v>3</v>
      </c>
      <c r="L1040">
        <v>43617</v>
      </c>
      <c r="M1040">
        <v>10</v>
      </c>
      <c r="N1040" t="s">
        <v>166</v>
      </c>
      <c r="O1040" t="s">
        <v>32</v>
      </c>
      <c r="P1040" t="s">
        <v>58</v>
      </c>
      <c r="R1040" t="s">
        <v>3076</v>
      </c>
      <c r="S1040">
        <v>4</v>
      </c>
      <c r="T1040" t="s">
        <v>61</v>
      </c>
      <c r="U1040">
        <v>448</v>
      </c>
      <c r="V1040" t="s">
        <v>62</v>
      </c>
    </row>
    <row r="1041" spans="1:22" x14ac:dyDescent="0.3">
      <c r="A1041" t="s">
        <v>3077</v>
      </c>
      <c r="B1041" t="s">
        <v>235</v>
      </c>
      <c r="C1041">
        <v>54</v>
      </c>
      <c r="D1041" t="s">
        <v>24</v>
      </c>
      <c r="E1041" t="s">
        <v>229</v>
      </c>
      <c r="F1041" t="s">
        <v>26</v>
      </c>
      <c r="G1041" t="s">
        <v>224</v>
      </c>
      <c r="H1041" t="s">
        <v>1114</v>
      </c>
      <c r="I1041" t="s">
        <v>108</v>
      </c>
      <c r="J1041" t="s">
        <v>44</v>
      </c>
      <c r="K1041">
        <v>4</v>
      </c>
      <c r="L1041">
        <v>19888</v>
      </c>
      <c r="M1041">
        <v>10</v>
      </c>
      <c r="N1041" t="s">
        <v>45</v>
      </c>
      <c r="O1041" t="s">
        <v>133</v>
      </c>
      <c r="P1041" t="s">
        <v>33</v>
      </c>
      <c r="Q1041" t="s">
        <v>871</v>
      </c>
      <c r="R1041" t="s">
        <v>3078</v>
      </c>
      <c r="S1041">
        <v>2</v>
      </c>
      <c r="T1041" t="s">
        <v>96</v>
      </c>
      <c r="U1041">
        <v>452</v>
      </c>
      <c r="V1041" t="s">
        <v>37</v>
      </c>
    </row>
    <row r="1042" spans="1:22" x14ac:dyDescent="0.3">
      <c r="A1042" t="s">
        <v>3079</v>
      </c>
      <c r="B1042" t="s">
        <v>156</v>
      </c>
      <c r="C1042">
        <v>42</v>
      </c>
      <c r="D1042" t="s">
        <v>51</v>
      </c>
      <c r="E1042" t="s">
        <v>99</v>
      </c>
      <c r="F1042" t="s">
        <v>91</v>
      </c>
      <c r="G1042" t="s">
        <v>171</v>
      </c>
      <c r="H1042" t="s">
        <v>172</v>
      </c>
      <c r="I1042" t="s">
        <v>93</v>
      </c>
      <c r="J1042" t="s">
        <v>44</v>
      </c>
      <c r="K1042">
        <v>4</v>
      </c>
      <c r="L1042">
        <v>29751</v>
      </c>
      <c r="M1042">
        <v>10</v>
      </c>
      <c r="N1042" t="s">
        <v>31</v>
      </c>
      <c r="O1042" t="s">
        <v>86</v>
      </c>
      <c r="P1042" t="s">
        <v>58</v>
      </c>
      <c r="Q1042" t="s">
        <v>159</v>
      </c>
      <c r="R1042" t="s">
        <v>3080</v>
      </c>
      <c r="S1042">
        <v>2</v>
      </c>
      <c r="T1042" t="s">
        <v>96</v>
      </c>
      <c r="U1042">
        <v>378</v>
      </c>
      <c r="V1042" t="s">
        <v>37</v>
      </c>
    </row>
    <row r="1043" spans="1:22" x14ac:dyDescent="0.3">
      <c r="A1043" t="s">
        <v>3081</v>
      </c>
      <c r="B1043" t="s">
        <v>309</v>
      </c>
      <c r="C1043">
        <v>59</v>
      </c>
      <c r="D1043" t="s">
        <v>51</v>
      </c>
      <c r="E1043" t="s">
        <v>26</v>
      </c>
      <c r="F1043" t="s">
        <v>53</v>
      </c>
      <c r="G1043" t="s">
        <v>1208</v>
      </c>
      <c r="H1043" t="s">
        <v>1909</v>
      </c>
      <c r="I1043" t="s">
        <v>29</v>
      </c>
      <c r="J1043" t="s">
        <v>44</v>
      </c>
      <c r="K1043">
        <v>5</v>
      </c>
      <c r="L1043">
        <v>72908</v>
      </c>
      <c r="M1043">
        <v>10</v>
      </c>
      <c r="N1043" t="s">
        <v>166</v>
      </c>
      <c r="O1043" t="s">
        <v>281</v>
      </c>
      <c r="P1043" t="s">
        <v>33</v>
      </c>
      <c r="Q1043" t="s">
        <v>312</v>
      </c>
      <c r="S1043">
        <v>4</v>
      </c>
      <c r="T1043" t="s">
        <v>36</v>
      </c>
      <c r="U1043">
        <v>135</v>
      </c>
      <c r="V1043" t="s">
        <v>62</v>
      </c>
    </row>
    <row r="1044" spans="1:22" x14ac:dyDescent="0.3">
      <c r="A1044" t="s">
        <v>3082</v>
      </c>
      <c r="B1044" t="s">
        <v>684</v>
      </c>
      <c r="C1044">
        <v>49</v>
      </c>
      <c r="D1044" t="s">
        <v>24</v>
      </c>
      <c r="E1044" t="s">
        <v>142</v>
      </c>
      <c r="F1044" t="s">
        <v>91</v>
      </c>
      <c r="G1044" t="s">
        <v>680</v>
      </c>
      <c r="H1044" t="s">
        <v>1375</v>
      </c>
      <c r="I1044" t="s">
        <v>93</v>
      </c>
      <c r="J1044" t="s">
        <v>44</v>
      </c>
      <c r="L1044">
        <v>67071</v>
      </c>
      <c r="M1044">
        <v>10</v>
      </c>
      <c r="N1044" t="s">
        <v>45</v>
      </c>
      <c r="O1044" t="s">
        <v>133</v>
      </c>
      <c r="P1044" t="s">
        <v>58</v>
      </c>
      <c r="Q1044" t="s">
        <v>785</v>
      </c>
      <c r="R1044" t="s">
        <v>3083</v>
      </c>
      <c r="S1044">
        <v>1</v>
      </c>
      <c r="T1044" t="s">
        <v>36</v>
      </c>
      <c r="U1044">
        <v>451</v>
      </c>
      <c r="V1044" t="s">
        <v>37</v>
      </c>
    </row>
    <row r="1045" spans="1:22" x14ac:dyDescent="0.3">
      <c r="A1045" t="s">
        <v>3084</v>
      </c>
      <c r="B1045" t="s">
        <v>1876</v>
      </c>
      <c r="C1045">
        <v>46</v>
      </c>
      <c r="D1045" t="s">
        <v>24</v>
      </c>
      <c r="E1045" t="s">
        <v>25</v>
      </c>
      <c r="F1045" t="s">
        <v>82</v>
      </c>
      <c r="G1045" t="s">
        <v>727</v>
      </c>
      <c r="H1045" t="s">
        <v>625</v>
      </c>
      <c r="I1045" t="s">
        <v>93</v>
      </c>
      <c r="J1045" t="s">
        <v>44</v>
      </c>
      <c r="K1045">
        <v>5</v>
      </c>
      <c r="L1045">
        <v>57817</v>
      </c>
      <c r="M1045">
        <v>15</v>
      </c>
      <c r="N1045" t="s">
        <v>166</v>
      </c>
      <c r="O1045" t="s">
        <v>32</v>
      </c>
      <c r="P1045" t="s">
        <v>174</v>
      </c>
      <c r="Q1045" t="s">
        <v>1427</v>
      </c>
      <c r="R1045" t="s">
        <v>3085</v>
      </c>
      <c r="S1045">
        <v>1</v>
      </c>
      <c r="T1045" t="s">
        <v>72</v>
      </c>
      <c r="U1045">
        <v>460</v>
      </c>
      <c r="V1045" t="s">
        <v>79</v>
      </c>
    </row>
    <row r="1046" spans="1:22" x14ac:dyDescent="0.3">
      <c r="A1046" t="s">
        <v>3086</v>
      </c>
      <c r="B1046" t="s">
        <v>216</v>
      </c>
      <c r="C1046">
        <v>58</v>
      </c>
      <c r="D1046" t="s">
        <v>51</v>
      </c>
      <c r="E1046" t="s">
        <v>229</v>
      </c>
      <c r="F1046" t="s">
        <v>26</v>
      </c>
      <c r="G1046" t="s">
        <v>2166</v>
      </c>
      <c r="H1046" t="s">
        <v>1813</v>
      </c>
      <c r="I1046" t="s">
        <v>85</v>
      </c>
      <c r="J1046" t="s">
        <v>30</v>
      </c>
      <c r="K1046">
        <v>4</v>
      </c>
      <c r="L1046">
        <v>76724</v>
      </c>
      <c r="M1046">
        <v>5</v>
      </c>
      <c r="N1046" t="s">
        <v>56</v>
      </c>
      <c r="O1046" t="s">
        <v>109</v>
      </c>
      <c r="P1046" t="s">
        <v>69</v>
      </c>
      <c r="Q1046" t="s">
        <v>219</v>
      </c>
      <c r="R1046" t="s">
        <v>3087</v>
      </c>
      <c r="S1046">
        <v>1</v>
      </c>
      <c r="T1046" t="s">
        <v>96</v>
      </c>
      <c r="U1046">
        <v>310</v>
      </c>
      <c r="V1046" t="s">
        <v>62</v>
      </c>
    </row>
    <row r="1047" spans="1:22" x14ac:dyDescent="0.3">
      <c r="A1047" t="s">
        <v>3088</v>
      </c>
      <c r="B1047" t="s">
        <v>589</v>
      </c>
      <c r="C1047">
        <v>52</v>
      </c>
      <c r="D1047" t="s">
        <v>24</v>
      </c>
      <c r="E1047" t="s">
        <v>142</v>
      </c>
      <c r="F1047" t="s">
        <v>26</v>
      </c>
      <c r="G1047" t="s">
        <v>970</v>
      </c>
      <c r="H1047" t="s">
        <v>2384</v>
      </c>
      <c r="I1047" t="s">
        <v>43</v>
      </c>
      <c r="J1047" t="s">
        <v>44</v>
      </c>
      <c r="K1047">
        <v>5</v>
      </c>
      <c r="L1047">
        <v>5924</v>
      </c>
      <c r="M1047">
        <v>15</v>
      </c>
      <c r="N1047" t="s">
        <v>166</v>
      </c>
      <c r="O1047" t="s">
        <v>102</v>
      </c>
      <c r="P1047" t="s">
        <v>33</v>
      </c>
      <c r="Q1047" t="s">
        <v>591</v>
      </c>
      <c r="R1047" t="s">
        <v>3089</v>
      </c>
      <c r="S1047">
        <v>4</v>
      </c>
      <c r="T1047" t="s">
        <v>61</v>
      </c>
      <c r="U1047">
        <v>439</v>
      </c>
      <c r="V1047" t="s">
        <v>79</v>
      </c>
    </row>
    <row r="1048" spans="1:22" x14ac:dyDescent="0.3">
      <c r="A1048" t="s">
        <v>3090</v>
      </c>
      <c r="B1048" t="s">
        <v>411</v>
      </c>
      <c r="C1048">
        <v>51</v>
      </c>
      <c r="D1048" t="s">
        <v>51</v>
      </c>
      <c r="E1048" t="s">
        <v>142</v>
      </c>
      <c r="F1048" t="s">
        <v>65</v>
      </c>
      <c r="G1048" t="s">
        <v>206</v>
      </c>
      <c r="H1048" t="s">
        <v>3091</v>
      </c>
      <c r="I1048" t="s">
        <v>29</v>
      </c>
      <c r="J1048" t="s">
        <v>30</v>
      </c>
      <c r="K1048">
        <v>2</v>
      </c>
      <c r="L1048">
        <v>56663</v>
      </c>
      <c r="M1048">
        <v>15</v>
      </c>
      <c r="N1048" t="s">
        <v>166</v>
      </c>
      <c r="O1048" t="s">
        <v>173</v>
      </c>
      <c r="P1048" t="s">
        <v>69</v>
      </c>
      <c r="Q1048" t="s">
        <v>414</v>
      </c>
      <c r="S1048">
        <v>5</v>
      </c>
      <c r="T1048" t="s">
        <v>96</v>
      </c>
      <c r="U1048">
        <v>155</v>
      </c>
      <c r="V1048" t="s">
        <v>79</v>
      </c>
    </row>
    <row r="1049" spans="1:22" x14ac:dyDescent="0.3">
      <c r="A1049" t="s">
        <v>3092</v>
      </c>
      <c r="B1049" t="s">
        <v>617</v>
      </c>
      <c r="C1049">
        <v>49</v>
      </c>
      <c r="D1049" t="s">
        <v>51</v>
      </c>
      <c r="E1049" t="s">
        <v>99</v>
      </c>
      <c r="F1049" t="s">
        <v>65</v>
      </c>
      <c r="G1049" t="s">
        <v>891</v>
      </c>
      <c r="H1049" t="s">
        <v>3093</v>
      </c>
      <c r="I1049" t="s">
        <v>108</v>
      </c>
      <c r="J1049" t="s">
        <v>30</v>
      </c>
      <c r="K1049">
        <v>4</v>
      </c>
      <c r="L1049">
        <v>37462</v>
      </c>
      <c r="M1049">
        <v>10</v>
      </c>
      <c r="N1049" t="s">
        <v>45</v>
      </c>
      <c r="O1049" t="s">
        <v>281</v>
      </c>
      <c r="P1049" t="s">
        <v>69</v>
      </c>
      <c r="Q1049" t="s">
        <v>620</v>
      </c>
      <c r="R1049" t="s">
        <v>3094</v>
      </c>
      <c r="S1049">
        <v>4</v>
      </c>
      <c r="T1049" t="s">
        <v>61</v>
      </c>
      <c r="U1049">
        <v>94</v>
      </c>
      <c r="V1049" t="s">
        <v>79</v>
      </c>
    </row>
    <row r="1050" spans="1:22" x14ac:dyDescent="0.3">
      <c r="A1050" t="s">
        <v>3095</v>
      </c>
      <c r="B1050" t="s">
        <v>946</v>
      </c>
      <c r="C1050">
        <v>60</v>
      </c>
      <c r="D1050" t="s">
        <v>51</v>
      </c>
      <c r="E1050" t="s">
        <v>52</v>
      </c>
      <c r="F1050" t="s">
        <v>26</v>
      </c>
      <c r="G1050" t="s">
        <v>3096</v>
      </c>
      <c r="H1050" t="s">
        <v>486</v>
      </c>
      <c r="I1050" t="s">
        <v>108</v>
      </c>
      <c r="J1050" t="s">
        <v>44</v>
      </c>
      <c r="K1050">
        <v>3</v>
      </c>
      <c r="L1050">
        <v>60143</v>
      </c>
      <c r="M1050">
        <v>0</v>
      </c>
      <c r="N1050" t="s">
        <v>56</v>
      </c>
      <c r="O1050" t="s">
        <v>68</v>
      </c>
      <c r="P1050" t="s">
        <v>58</v>
      </c>
      <c r="Q1050" t="s">
        <v>983</v>
      </c>
      <c r="R1050" t="s">
        <v>3097</v>
      </c>
      <c r="S1050">
        <v>2</v>
      </c>
      <c r="T1050" t="s">
        <v>36</v>
      </c>
      <c r="U1050">
        <v>214</v>
      </c>
      <c r="V1050" t="s">
        <v>79</v>
      </c>
    </row>
    <row r="1051" spans="1:22" x14ac:dyDescent="0.3">
      <c r="A1051" t="s">
        <v>3098</v>
      </c>
      <c r="B1051" t="s">
        <v>309</v>
      </c>
      <c r="C1051">
        <v>50</v>
      </c>
      <c r="D1051" t="s">
        <v>51</v>
      </c>
      <c r="E1051" t="s">
        <v>40</v>
      </c>
      <c r="F1051" t="s">
        <v>53</v>
      </c>
      <c r="G1051" t="s">
        <v>1031</v>
      </c>
      <c r="H1051" t="s">
        <v>1989</v>
      </c>
      <c r="I1051" t="s">
        <v>77</v>
      </c>
      <c r="J1051" t="s">
        <v>44</v>
      </c>
      <c r="K1051">
        <v>4</v>
      </c>
      <c r="L1051">
        <v>78176</v>
      </c>
      <c r="M1051">
        <v>10</v>
      </c>
      <c r="N1051" t="s">
        <v>31</v>
      </c>
      <c r="O1051" t="s">
        <v>173</v>
      </c>
      <c r="P1051" t="s">
        <v>58</v>
      </c>
      <c r="Q1051" t="s">
        <v>312</v>
      </c>
      <c r="R1051" t="s">
        <v>3099</v>
      </c>
      <c r="S1051">
        <v>3</v>
      </c>
      <c r="T1051" t="s">
        <v>72</v>
      </c>
      <c r="U1051">
        <v>187</v>
      </c>
      <c r="V1051" t="s">
        <v>79</v>
      </c>
    </row>
    <row r="1052" spans="1:22" x14ac:dyDescent="0.3">
      <c r="A1052" t="s">
        <v>3100</v>
      </c>
      <c r="B1052" t="s">
        <v>261</v>
      </c>
      <c r="C1052">
        <v>47</v>
      </c>
      <c r="D1052" t="s">
        <v>51</v>
      </c>
      <c r="E1052" t="s">
        <v>52</v>
      </c>
      <c r="F1052" t="s">
        <v>26</v>
      </c>
      <c r="G1052" t="s">
        <v>76</v>
      </c>
      <c r="H1052" t="s">
        <v>594</v>
      </c>
      <c r="I1052" t="s">
        <v>29</v>
      </c>
      <c r="J1052" t="s">
        <v>44</v>
      </c>
      <c r="K1052">
        <v>1</v>
      </c>
      <c r="L1052">
        <v>46906</v>
      </c>
      <c r="M1052">
        <v>10</v>
      </c>
      <c r="N1052" t="s">
        <v>45</v>
      </c>
      <c r="O1052" t="s">
        <v>173</v>
      </c>
      <c r="P1052" t="s">
        <v>69</v>
      </c>
      <c r="Q1052" t="s">
        <v>264</v>
      </c>
      <c r="R1052" t="s">
        <v>3101</v>
      </c>
      <c r="S1052">
        <v>4</v>
      </c>
      <c r="T1052" t="s">
        <v>36</v>
      </c>
      <c r="U1052">
        <v>173</v>
      </c>
      <c r="V1052" t="s">
        <v>79</v>
      </c>
    </row>
    <row r="1053" spans="1:22" x14ac:dyDescent="0.3">
      <c r="A1053" t="s">
        <v>3102</v>
      </c>
      <c r="B1053" t="s">
        <v>2016</v>
      </c>
      <c r="C1053">
        <v>33</v>
      </c>
      <c r="D1053" t="s">
        <v>24</v>
      </c>
      <c r="E1053" t="s">
        <v>142</v>
      </c>
      <c r="F1053" t="s">
        <v>82</v>
      </c>
      <c r="G1053" t="s">
        <v>3103</v>
      </c>
      <c r="H1053" t="s">
        <v>1139</v>
      </c>
      <c r="I1053" t="s">
        <v>93</v>
      </c>
      <c r="J1053" t="s">
        <v>44</v>
      </c>
      <c r="K1053">
        <v>2</v>
      </c>
      <c r="L1053">
        <v>36085</v>
      </c>
      <c r="M1053">
        <v>10</v>
      </c>
      <c r="N1053" t="s">
        <v>31</v>
      </c>
      <c r="O1053" t="s">
        <v>173</v>
      </c>
      <c r="P1053" t="s">
        <v>174</v>
      </c>
      <c r="Q1053" t="s">
        <v>1792</v>
      </c>
      <c r="R1053" t="s">
        <v>3104</v>
      </c>
      <c r="S1053">
        <v>5</v>
      </c>
      <c r="T1053" t="s">
        <v>36</v>
      </c>
      <c r="U1053">
        <v>85</v>
      </c>
      <c r="V1053" t="s">
        <v>37</v>
      </c>
    </row>
    <row r="1054" spans="1:22" x14ac:dyDescent="0.3">
      <c r="A1054" t="s">
        <v>3105</v>
      </c>
      <c r="B1054" t="s">
        <v>249</v>
      </c>
      <c r="C1054">
        <v>36</v>
      </c>
      <c r="D1054" t="s">
        <v>24</v>
      </c>
      <c r="E1054" t="s">
        <v>142</v>
      </c>
      <c r="F1054" t="s">
        <v>82</v>
      </c>
      <c r="G1054" t="s">
        <v>3106</v>
      </c>
      <c r="H1054" t="s">
        <v>2057</v>
      </c>
      <c r="I1054" t="s">
        <v>93</v>
      </c>
      <c r="J1054" t="s">
        <v>44</v>
      </c>
      <c r="K1054">
        <v>5</v>
      </c>
      <c r="L1054">
        <v>9689</v>
      </c>
      <c r="M1054">
        <v>10</v>
      </c>
      <c r="N1054" t="s">
        <v>45</v>
      </c>
      <c r="O1054" t="s">
        <v>86</v>
      </c>
      <c r="P1054" t="s">
        <v>69</v>
      </c>
      <c r="Q1054" t="s">
        <v>252</v>
      </c>
      <c r="R1054" t="s">
        <v>3107</v>
      </c>
      <c r="S1054">
        <v>2</v>
      </c>
      <c r="T1054" t="s">
        <v>96</v>
      </c>
      <c r="U1054">
        <v>480</v>
      </c>
      <c r="V1054" t="s">
        <v>79</v>
      </c>
    </row>
    <row r="1055" spans="1:22" x14ac:dyDescent="0.3">
      <c r="A1055" t="s">
        <v>3108</v>
      </c>
      <c r="B1055" t="s">
        <v>440</v>
      </c>
      <c r="C1055">
        <v>46</v>
      </c>
      <c r="D1055" t="s">
        <v>51</v>
      </c>
      <c r="E1055" t="s">
        <v>52</v>
      </c>
      <c r="F1055" t="s">
        <v>65</v>
      </c>
      <c r="G1055" t="s">
        <v>217</v>
      </c>
      <c r="H1055" t="s">
        <v>3109</v>
      </c>
      <c r="I1055" t="s">
        <v>108</v>
      </c>
      <c r="J1055" t="s">
        <v>44</v>
      </c>
      <c r="K1055">
        <v>1</v>
      </c>
      <c r="L1055">
        <v>74962</v>
      </c>
      <c r="M1055">
        <v>0</v>
      </c>
      <c r="N1055" t="s">
        <v>56</v>
      </c>
      <c r="O1055" t="s">
        <v>46</v>
      </c>
      <c r="P1055" t="s">
        <v>58</v>
      </c>
      <c r="Q1055" t="s">
        <v>437</v>
      </c>
      <c r="R1055" t="s">
        <v>3110</v>
      </c>
      <c r="S1055">
        <v>4</v>
      </c>
      <c r="T1055" t="s">
        <v>61</v>
      </c>
      <c r="U1055">
        <v>476</v>
      </c>
      <c r="V1055" t="s">
        <v>79</v>
      </c>
    </row>
    <row r="1056" spans="1:22" x14ac:dyDescent="0.3">
      <c r="A1056" t="s">
        <v>3111</v>
      </c>
      <c r="B1056" t="s">
        <v>707</v>
      </c>
      <c r="C1056">
        <v>48</v>
      </c>
      <c r="D1056" t="s">
        <v>51</v>
      </c>
      <c r="E1056" t="s">
        <v>52</v>
      </c>
      <c r="F1056" t="s">
        <v>65</v>
      </c>
      <c r="G1056" t="s">
        <v>2612</v>
      </c>
      <c r="H1056" t="s">
        <v>3112</v>
      </c>
      <c r="I1056" t="s">
        <v>108</v>
      </c>
      <c r="J1056" t="s">
        <v>44</v>
      </c>
      <c r="K1056">
        <v>2</v>
      </c>
      <c r="L1056">
        <v>53719</v>
      </c>
      <c r="M1056">
        <v>5</v>
      </c>
      <c r="N1056" t="s">
        <v>31</v>
      </c>
      <c r="O1056" t="s">
        <v>86</v>
      </c>
      <c r="P1056" t="s">
        <v>69</v>
      </c>
      <c r="Q1056" t="s">
        <v>709</v>
      </c>
      <c r="R1056" t="s">
        <v>3113</v>
      </c>
      <c r="S1056">
        <v>3</v>
      </c>
      <c r="T1056" t="s">
        <v>96</v>
      </c>
      <c r="U1056">
        <v>279</v>
      </c>
      <c r="V1056" t="s">
        <v>79</v>
      </c>
    </row>
    <row r="1057" spans="1:22" x14ac:dyDescent="0.3">
      <c r="A1057" t="s">
        <v>3114</v>
      </c>
      <c r="B1057" t="s">
        <v>50</v>
      </c>
      <c r="C1057">
        <v>50</v>
      </c>
      <c r="D1057" t="s">
        <v>51</v>
      </c>
      <c r="E1057" t="s">
        <v>99</v>
      </c>
      <c r="F1057" t="s">
        <v>53</v>
      </c>
      <c r="G1057" t="s">
        <v>566</v>
      </c>
      <c r="H1057" t="s">
        <v>454</v>
      </c>
      <c r="I1057" t="s">
        <v>93</v>
      </c>
      <c r="J1057" t="s">
        <v>30</v>
      </c>
      <c r="K1057">
        <v>4</v>
      </c>
      <c r="L1057">
        <v>32464</v>
      </c>
      <c r="M1057">
        <v>5</v>
      </c>
      <c r="N1057" t="s">
        <v>45</v>
      </c>
      <c r="O1057" t="s">
        <v>68</v>
      </c>
      <c r="P1057" t="s">
        <v>58</v>
      </c>
      <c r="Q1057" t="s">
        <v>59</v>
      </c>
      <c r="R1057" t="s">
        <v>3115</v>
      </c>
      <c r="S1057">
        <v>3</v>
      </c>
      <c r="T1057" t="s">
        <v>61</v>
      </c>
      <c r="U1057">
        <v>123</v>
      </c>
      <c r="V1057" t="s">
        <v>62</v>
      </c>
    </row>
    <row r="1058" spans="1:22" x14ac:dyDescent="0.3">
      <c r="A1058" t="s">
        <v>3116</v>
      </c>
      <c r="B1058" t="s">
        <v>623</v>
      </c>
      <c r="C1058">
        <v>51</v>
      </c>
      <c r="D1058" t="s">
        <v>51</v>
      </c>
      <c r="E1058" t="s">
        <v>25</v>
      </c>
      <c r="F1058" t="s">
        <v>65</v>
      </c>
      <c r="G1058" t="s">
        <v>426</v>
      </c>
      <c r="H1058" t="s">
        <v>638</v>
      </c>
      <c r="I1058" t="s">
        <v>77</v>
      </c>
      <c r="J1058" t="s">
        <v>44</v>
      </c>
      <c r="K1058">
        <v>2</v>
      </c>
      <c r="L1058">
        <v>26298</v>
      </c>
      <c r="M1058">
        <v>5</v>
      </c>
      <c r="N1058" t="s">
        <v>31</v>
      </c>
      <c r="O1058" t="s">
        <v>32</v>
      </c>
      <c r="P1058" t="s">
        <v>174</v>
      </c>
      <c r="R1058" t="s">
        <v>3117</v>
      </c>
      <c r="S1058">
        <v>4</v>
      </c>
      <c r="T1058" t="s">
        <v>72</v>
      </c>
      <c r="U1058">
        <v>205</v>
      </c>
      <c r="V1058" t="s">
        <v>37</v>
      </c>
    </row>
    <row r="1059" spans="1:22" x14ac:dyDescent="0.3">
      <c r="A1059" t="s">
        <v>3118</v>
      </c>
      <c r="B1059" t="s">
        <v>637</v>
      </c>
      <c r="C1059">
        <v>32</v>
      </c>
      <c r="D1059" t="s">
        <v>51</v>
      </c>
      <c r="E1059" t="s">
        <v>52</v>
      </c>
      <c r="F1059" t="s">
        <v>53</v>
      </c>
      <c r="G1059" t="s">
        <v>2525</v>
      </c>
      <c r="H1059" t="s">
        <v>1350</v>
      </c>
      <c r="I1059" t="s">
        <v>77</v>
      </c>
      <c r="J1059" t="s">
        <v>30</v>
      </c>
      <c r="K1059">
        <v>2</v>
      </c>
      <c r="L1059">
        <v>71806</v>
      </c>
      <c r="M1059">
        <v>10</v>
      </c>
      <c r="N1059" t="s">
        <v>45</v>
      </c>
      <c r="O1059" t="s">
        <v>102</v>
      </c>
      <c r="P1059" t="s">
        <v>33</v>
      </c>
      <c r="Q1059" t="s">
        <v>2248</v>
      </c>
      <c r="R1059" t="s">
        <v>3119</v>
      </c>
      <c r="S1059">
        <v>5</v>
      </c>
      <c r="T1059" t="s">
        <v>72</v>
      </c>
      <c r="U1059">
        <v>244</v>
      </c>
      <c r="V1059" t="s">
        <v>79</v>
      </c>
    </row>
    <row r="1060" spans="1:22" x14ac:dyDescent="0.3">
      <c r="A1060" t="s">
        <v>3120</v>
      </c>
      <c r="B1060" t="s">
        <v>527</v>
      </c>
      <c r="C1060">
        <v>28</v>
      </c>
      <c r="D1060" t="s">
        <v>183</v>
      </c>
      <c r="E1060" t="s">
        <v>25</v>
      </c>
      <c r="F1060" t="s">
        <v>82</v>
      </c>
      <c r="G1060" t="s">
        <v>1600</v>
      </c>
      <c r="H1060" t="s">
        <v>1403</v>
      </c>
      <c r="I1060" t="s">
        <v>77</v>
      </c>
      <c r="J1060" t="s">
        <v>44</v>
      </c>
      <c r="K1060">
        <v>3</v>
      </c>
      <c r="M1060">
        <v>5</v>
      </c>
      <c r="N1060" t="s">
        <v>56</v>
      </c>
      <c r="O1060" t="s">
        <v>133</v>
      </c>
      <c r="P1060" t="s">
        <v>69</v>
      </c>
      <c r="Q1060" t="s">
        <v>530</v>
      </c>
      <c r="R1060" t="s">
        <v>3121</v>
      </c>
      <c r="S1060">
        <v>4</v>
      </c>
      <c r="T1060" t="s">
        <v>96</v>
      </c>
      <c r="U1060">
        <v>418</v>
      </c>
      <c r="V1060" t="s">
        <v>62</v>
      </c>
    </row>
    <row r="1061" spans="1:22" x14ac:dyDescent="0.3">
      <c r="A1061" t="s">
        <v>3122</v>
      </c>
      <c r="B1061" t="s">
        <v>3123</v>
      </c>
      <c r="C1061">
        <v>18</v>
      </c>
      <c r="D1061" t="s">
        <v>24</v>
      </c>
      <c r="E1061" t="s">
        <v>25</v>
      </c>
      <c r="F1061" t="s">
        <v>53</v>
      </c>
      <c r="G1061" t="s">
        <v>2415</v>
      </c>
      <c r="H1061" t="s">
        <v>1376</v>
      </c>
      <c r="I1061" t="s">
        <v>77</v>
      </c>
      <c r="J1061" t="s">
        <v>30</v>
      </c>
      <c r="K1061">
        <v>2</v>
      </c>
      <c r="L1061">
        <v>29769</v>
      </c>
      <c r="M1061">
        <v>10</v>
      </c>
      <c r="N1061" t="s">
        <v>56</v>
      </c>
      <c r="O1061" t="s">
        <v>32</v>
      </c>
      <c r="P1061" t="s">
        <v>69</v>
      </c>
      <c r="Q1061" t="s">
        <v>603</v>
      </c>
      <c r="R1061" t="s">
        <v>3124</v>
      </c>
      <c r="S1061">
        <v>2</v>
      </c>
      <c r="T1061" t="s">
        <v>36</v>
      </c>
      <c r="U1061">
        <v>284</v>
      </c>
      <c r="V1061" t="s">
        <v>37</v>
      </c>
    </row>
    <row r="1062" spans="1:22" x14ac:dyDescent="0.3">
      <c r="A1062" t="s">
        <v>3125</v>
      </c>
      <c r="B1062" t="s">
        <v>235</v>
      </c>
      <c r="C1062">
        <v>52</v>
      </c>
      <c r="D1062" t="s">
        <v>51</v>
      </c>
      <c r="E1062" t="s">
        <v>229</v>
      </c>
      <c r="F1062" t="s">
        <v>53</v>
      </c>
      <c r="G1062" t="s">
        <v>353</v>
      </c>
      <c r="H1062" t="s">
        <v>481</v>
      </c>
      <c r="I1062" t="s">
        <v>29</v>
      </c>
      <c r="J1062" t="s">
        <v>30</v>
      </c>
      <c r="K1062">
        <v>1</v>
      </c>
      <c r="L1062">
        <v>75718</v>
      </c>
      <c r="M1062">
        <v>0</v>
      </c>
      <c r="N1062" t="s">
        <v>166</v>
      </c>
      <c r="O1062" t="s">
        <v>133</v>
      </c>
      <c r="P1062" t="s">
        <v>33</v>
      </c>
      <c r="Q1062" t="s">
        <v>871</v>
      </c>
      <c r="R1062" t="s">
        <v>3126</v>
      </c>
      <c r="S1062">
        <v>1</v>
      </c>
      <c r="T1062" t="s">
        <v>96</v>
      </c>
      <c r="U1062">
        <v>472</v>
      </c>
      <c r="V1062" t="s">
        <v>62</v>
      </c>
    </row>
    <row r="1063" spans="1:22" x14ac:dyDescent="0.3">
      <c r="A1063" t="s">
        <v>3127</v>
      </c>
      <c r="B1063" t="s">
        <v>461</v>
      </c>
      <c r="C1063">
        <v>39</v>
      </c>
      <c r="D1063" t="s">
        <v>183</v>
      </c>
      <c r="E1063" t="s">
        <v>52</v>
      </c>
      <c r="F1063" t="s">
        <v>82</v>
      </c>
      <c r="G1063" t="s">
        <v>1790</v>
      </c>
      <c r="H1063" t="s">
        <v>2661</v>
      </c>
      <c r="I1063" t="s">
        <v>108</v>
      </c>
      <c r="J1063" t="s">
        <v>44</v>
      </c>
      <c r="K1063">
        <v>1</v>
      </c>
      <c r="L1063">
        <v>37148</v>
      </c>
      <c r="M1063">
        <v>15</v>
      </c>
      <c r="N1063" t="s">
        <v>166</v>
      </c>
      <c r="O1063" t="s">
        <v>57</v>
      </c>
      <c r="P1063" t="s">
        <v>33</v>
      </c>
      <c r="Q1063" t="s">
        <v>563</v>
      </c>
      <c r="R1063" t="s">
        <v>3128</v>
      </c>
      <c r="S1063">
        <v>4</v>
      </c>
      <c r="T1063" t="s">
        <v>96</v>
      </c>
      <c r="U1063">
        <v>323</v>
      </c>
      <c r="V1063" t="s">
        <v>79</v>
      </c>
    </row>
    <row r="1064" spans="1:22" x14ac:dyDescent="0.3">
      <c r="A1064" t="s">
        <v>3129</v>
      </c>
      <c r="B1064" t="s">
        <v>754</v>
      </c>
      <c r="C1064">
        <v>45</v>
      </c>
      <c r="D1064" t="s">
        <v>24</v>
      </c>
      <c r="E1064" t="s">
        <v>131</v>
      </c>
      <c r="F1064" t="s">
        <v>53</v>
      </c>
      <c r="G1064" t="s">
        <v>2345</v>
      </c>
      <c r="H1064" t="s">
        <v>2569</v>
      </c>
      <c r="I1064" t="s">
        <v>77</v>
      </c>
      <c r="J1064" t="s">
        <v>30</v>
      </c>
      <c r="K1064">
        <v>1</v>
      </c>
      <c r="L1064">
        <v>64713</v>
      </c>
      <c r="M1064">
        <v>15</v>
      </c>
      <c r="N1064" t="s">
        <v>56</v>
      </c>
      <c r="O1064" t="s">
        <v>68</v>
      </c>
      <c r="P1064" t="s">
        <v>69</v>
      </c>
      <c r="R1064" t="s">
        <v>3130</v>
      </c>
      <c r="S1064">
        <v>2</v>
      </c>
      <c r="T1064" t="s">
        <v>96</v>
      </c>
      <c r="U1064">
        <v>349</v>
      </c>
      <c r="V1064" t="s">
        <v>79</v>
      </c>
    </row>
    <row r="1065" spans="1:22" x14ac:dyDescent="0.3">
      <c r="A1065" t="s">
        <v>3131</v>
      </c>
      <c r="B1065" t="s">
        <v>541</v>
      </c>
      <c r="C1065">
        <v>36</v>
      </c>
      <c r="D1065" t="s">
        <v>24</v>
      </c>
      <c r="E1065" t="s">
        <v>52</v>
      </c>
      <c r="F1065" t="s">
        <v>26</v>
      </c>
      <c r="G1065" t="s">
        <v>2258</v>
      </c>
      <c r="H1065" t="s">
        <v>1004</v>
      </c>
      <c r="I1065" t="s">
        <v>29</v>
      </c>
      <c r="J1065" t="s">
        <v>30</v>
      </c>
      <c r="K1065">
        <v>5</v>
      </c>
      <c r="L1065">
        <v>37678</v>
      </c>
      <c r="M1065">
        <v>15</v>
      </c>
      <c r="N1065" t="s">
        <v>166</v>
      </c>
      <c r="O1065" t="s">
        <v>32</v>
      </c>
      <c r="P1065" t="s">
        <v>33</v>
      </c>
      <c r="Q1065" t="s">
        <v>544</v>
      </c>
      <c r="R1065" t="s">
        <v>3132</v>
      </c>
      <c r="S1065">
        <v>2</v>
      </c>
      <c r="T1065" t="s">
        <v>36</v>
      </c>
      <c r="U1065">
        <v>176</v>
      </c>
      <c r="V1065" t="s">
        <v>62</v>
      </c>
    </row>
    <row r="1066" spans="1:22" x14ac:dyDescent="0.3">
      <c r="A1066" t="s">
        <v>3133</v>
      </c>
      <c r="B1066" t="s">
        <v>209</v>
      </c>
      <c r="C1066">
        <v>33</v>
      </c>
      <c r="D1066" t="s">
        <v>51</v>
      </c>
      <c r="E1066" t="s">
        <v>229</v>
      </c>
      <c r="F1066" t="s">
        <v>82</v>
      </c>
      <c r="G1066" t="s">
        <v>76</v>
      </c>
      <c r="H1066" t="s">
        <v>1151</v>
      </c>
      <c r="I1066" t="s">
        <v>93</v>
      </c>
      <c r="J1066" t="s">
        <v>44</v>
      </c>
      <c r="K1066">
        <v>2</v>
      </c>
      <c r="L1066">
        <v>26489</v>
      </c>
      <c r="M1066">
        <v>5</v>
      </c>
      <c r="N1066" t="s">
        <v>56</v>
      </c>
      <c r="O1066" t="s">
        <v>57</v>
      </c>
      <c r="P1066" t="s">
        <v>174</v>
      </c>
      <c r="Q1066" t="s">
        <v>1001</v>
      </c>
      <c r="R1066" t="s">
        <v>3134</v>
      </c>
      <c r="S1066">
        <v>2</v>
      </c>
      <c r="T1066" t="s">
        <v>36</v>
      </c>
      <c r="U1066">
        <v>199</v>
      </c>
      <c r="V1066" t="s">
        <v>37</v>
      </c>
    </row>
    <row r="1067" spans="1:22" x14ac:dyDescent="0.3">
      <c r="A1067" t="s">
        <v>3135</v>
      </c>
      <c r="B1067" t="s">
        <v>702</v>
      </c>
      <c r="C1067">
        <v>49</v>
      </c>
      <c r="D1067" t="s">
        <v>24</v>
      </c>
      <c r="E1067" t="s">
        <v>25</v>
      </c>
      <c r="F1067" t="s">
        <v>82</v>
      </c>
      <c r="G1067" t="s">
        <v>2661</v>
      </c>
      <c r="H1067" t="s">
        <v>1205</v>
      </c>
      <c r="I1067" t="s">
        <v>85</v>
      </c>
      <c r="J1067" t="s">
        <v>44</v>
      </c>
      <c r="K1067">
        <v>1</v>
      </c>
      <c r="L1067">
        <v>18897</v>
      </c>
      <c r="M1067">
        <v>10</v>
      </c>
      <c r="N1067" t="s">
        <v>166</v>
      </c>
      <c r="O1067" t="s">
        <v>57</v>
      </c>
      <c r="P1067" t="s">
        <v>174</v>
      </c>
      <c r="Q1067" t="s">
        <v>916</v>
      </c>
      <c r="R1067" t="s">
        <v>3136</v>
      </c>
      <c r="S1067">
        <v>3</v>
      </c>
      <c r="T1067" t="s">
        <v>96</v>
      </c>
      <c r="U1067">
        <v>199</v>
      </c>
      <c r="V1067" t="s">
        <v>79</v>
      </c>
    </row>
    <row r="1068" spans="1:22" x14ac:dyDescent="0.3">
      <c r="A1068" t="s">
        <v>3137</v>
      </c>
      <c r="B1068" t="s">
        <v>141</v>
      </c>
      <c r="C1068">
        <v>20</v>
      </c>
      <c r="D1068" t="s">
        <v>24</v>
      </c>
      <c r="E1068" t="s">
        <v>26</v>
      </c>
      <c r="F1068" t="s">
        <v>65</v>
      </c>
      <c r="G1068" t="s">
        <v>2842</v>
      </c>
      <c r="H1068" t="s">
        <v>1020</v>
      </c>
      <c r="I1068" t="s">
        <v>29</v>
      </c>
      <c r="J1068" t="s">
        <v>30</v>
      </c>
      <c r="K1068">
        <v>4</v>
      </c>
      <c r="L1068">
        <v>59436</v>
      </c>
      <c r="M1068">
        <v>0</v>
      </c>
      <c r="N1068" t="s">
        <v>31</v>
      </c>
      <c r="O1068" t="s">
        <v>109</v>
      </c>
      <c r="P1068" t="s">
        <v>58</v>
      </c>
      <c r="R1068" t="s">
        <v>3138</v>
      </c>
      <c r="S1068">
        <v>2</v>
      </c>
      <c r="T1068" t="s">
        <v>96</v>
      </c>
      <c r="U1068">
        <v>339</v>
      </c>
      <c r="V1068" t="s">
        <v>62</v>
      </c>
    </row>
    <row r="1069" spans="1:22" x14ac:dyDescent="0.3">
      <c r="A1069" t="s">
        <v>3139</v>
      </c>
      <c r="B1069" t="s">
        <v>484</v>
      </c>
      <c r="C1069">
        <v>46</v>
      </c>
      <c r="D1069" t="s">
        <v>51</v>
      </c>
      <c r="E1069" t="s">
        <v>26</v>
      </c>
      <c r="F1069" t="s">
        <v>65</v>
      </c>
      <c r="G1069" t="s">
        <v>2086</v>
      </c>
      <c r="H1069" t="s">
        <v>398</v>
      </c>
      <c r="I1069" t="s">
        <v>29</v>
      </c>
      <c r="J1069" t="s">
        <v>44</v>
      </c>
      <c r="K1069">
        <v>1</v>
      </c>
      <c r="L1069">
        <v>65563</v>
      </c>
      <c r="M1069">
        <v>5</v>
      </c>
      <c r="N1069" t="s">
        <v>166</v>
      </c>
      <c r="O1069" t="s">
        <v>173</v>
      </c>
      <c r="P1069" t="s">
        <v>33</v>
      </c>
      <c r="Q1069" t="s">
        <v>487</v>
      </c>
      <c r="R1069" t="s">
        <v>3140</v>
      </c>
      <c r="S1069">
        <v>2</v>
      </c>
      <c r="T1069" t="s">
        <v>72</v>
      </c>
      <c r="U1069">
        <v>293</v>
      </c>
      <c r="V1069" t="s">
        <v>62</v>
      </c>
    </row>
    <row r="1070" spans="1:22" x14ac:dyDescent="0.3">
      <c r="A1070" t="s">
        <v>3141</v>
      </c>
      <c r="B1070" t="s">
        <v>216</v>
      </c>
      <c r="C1070">
        <v>51</v>
      </c>
      <c r="D1070" t="s">
        <v>51</v>
      </c>
      <c r="E1070" t="s">
        <v>99</v>
      </c>
      <c r="F1070" t="s">
        <v>82</v>
      </c>
      <c r="G1070" t="s">
        <v>1331</v>
      </c>
      <c r="H1070" t="s">
        <v>3142</v>
      </c>
      <c r="I1070" t="s">
        <v>85</v>
      </c>
      <c r="J1070" t="s">
        <v>30</v>
      </c>
      <c r="K1070">
        <v>5</v>
      </c>
      <c r="L1070">
        <v>39279</v>
      </c>
      <c r="M1070">
        <v>10</v>
      </c>
      <c r="N1070" t="s">
        <v>31</v>
      </c>
      <c r="O1070" t="s">
        <v>109</v>
      </c>
      <c r="P1070" t="s">
        <v>33</v>
      </c>
      <c r="Q1070" t="s">
        <v>219</v>
      </c>
      <c r="R1070" t="s">
        <v>3143</v>
      </c>
      <c r="S1070">
        <v>5</v>
      </c>
      <c r="T1070" t="s">
        <v>96</v>
      </c>
      <c r="U1070">
        <v>174</v>
      </c>
      <c r="V1070" t="s">
        <v>37</v>
      </c>
    </row>
    <row r="1071" spans="1:22" x14ac:dyDescent="0.3">
      <c r="A1071" t="s">
        <v>3144</v>
      </c>
      <c r="B1071" t="s">
        <v>1138</v>
      </c>
      <c r="C1071">
        <v>41</v>
      </c>
      <c r="D1071" t="s">
        <v>24</v>
      </c>
      <c r="E1071" t="s">
        <v>26</v>
      </c>
      <c r="F1071" t="s">
        <v>91</v>
      </c>
      <c r="G1071" t="s">
        <v>1563</v>
      </c>
      <c r="H1071" t="s">
        <v>3145</v>
      </c>
      <c r="I1071" t="s">
        <v>108</v>
      </c>
      <c r="J1071" t="s">
        <v>30</v>
      </c>
      <c r="K1071">
        <v>3</v>
      </c>
      <c r="L1071">
        <v>72534</v>
      </c>
      <c r="M1071">
        <v>15</v>
      </c>
      <c r="N1071" t="s">
        <v>31</v>
      </c>
      <c r="O1071" t="s">
        <v>68</v>
      </c>
      <c r="P1071" t="s">
        <v>69</v>
      </c>
      <c r="Q1071" t="s">
        <v>591</v>
      </c>
      <c r="R1071" t="s">
        <v>3146</v>
      </c>
      <c r="S1071">
        <v>5</v>
      </c>
      <c r="T1071" t="s">
        <v>61</v>
      </c>
      <c r="U1071">
        <v>495</v>
      </c>
      <c r="V1071" t="s">
        <v>37</v>
      </c>
    </row>
    <row r="1072" spans="1:22" x14ac:dyDescent="0.3">
      <c r="A1072" t="s">
        <v>3147</v>
      </c>
      <c r="B1072" t="s">
        <v>249</v>
      </c>
      <c r="C1072">
        <v>41</v>
      </c>
      <c r="D1072" t="s">
        <v>51</v>
      </c>
      <c r="E1072" t="s">
        <v>52</v>
      </c>
      <c r="F1072" t="s">
        <v>65</v>
      </c>
      <c r="G1072" t="s">
        <v>3148</v>
      </c>
      <c r="H1072" t="s">
        <v>834</v>
      </c>
      <c r="I1072" t="s">
        <v>108</v>
      </c>
      <c r="J1072" t="s">
        <v>30</v>
      </c>
      <c r="K1072">
        <v>3</v>
      </c>
      <c r="L1072">
        <v>40962</v>
      </c>
      <c r="M1072">
        <v>0</v>
      </c>
      <c r="N1072" t="s">
        <v>166</v>
      </c>
      <c r="O1072" t="s">
        <v>86</v>
      </c>
      <c r="P1072" t="s">
        <v>174</v>
      </c>
      <c r="S1072">
        <v>3</v>
      </c>
      <c r="T1072" t="s">
        <v>61</v>
      </c>
      <c r="U1072">
        <v>326</v>
      </c>
      <c r="V1072" t="s">
        <v>37</v>
      </c>
    </row>
    <row r="1073" spans="1:22" x14ac:dyDescent="0.3">
      <c r="A1073" t="s">
        <v>3149</v>
      </c>
      <c r="B1073" t="s">
        <v>645</v>
      </c>
      <c r="C1073">
        <v>44</v>
      </c>
      <c r="D1073" t="s">
        <v>24</v>
      </c>
      <c r="E1073" t="s">
        <v>229</v>
      </c>
      <c r="F1073" t="s">
        <v>82</v>
      </c>
      <c r="G1073" t="s">
        <v>1205</v>
      </c>
      <c r="H1073" t="s">
        <v>76</v>
      </c>
      <c r="I1073" t="s">
        <v>93</v>
      </c>
      <c r="J1073" t="s">
        <v>30</v>
      </c>
      <c r="K1073">
        <v>2</v>
      </c>
      <c r="M1073">
        <v>15</v>
      </c>
      <c r="N1073" t="s">
        <v>166</v>
      </c>
      <c r="O1073" t="s">
        <v>133</v>
      </c>
      <c r="P1073" t="s">
        <v>69</v>
      </c>
      <c r="Q1073" t="s">
        <v>647</v>
      </c>
      <c r="R1073" t="s">
        <v>3150</v>
      </c>
      <c r="S1073">
        <v>1</v>
      </c>
      <c r="T1073" t="s">
        <v>72</v>
      </c>
      <c r="U1073">
        <v>99</v>
      </c>
      <c r="V1073" t="s">
        <v>62</v>
      </c>
    </row>
    <row r="1074" spans="1:22" x14ac:dyDescent="0.3">
      <c r="A1074" t="s">
        <v>3151</v>
      </c>
      <c r="B1074" t="s">
        <v>1443</v>
      </c>
      <c r="C1074">
        <v>26</v>
      </c>
      <c r="D1074" t="s">
        <v>51</v>
      </c>
      <c r="E1074" t="s">
        <v>142</v>
      </c>
      <c r="F1074" t="s">
        <v>26</v>
      </c>
      <c r="G1074" t="s">
        <v>2023</v>
      </c>
      <c r="H1074" t="s">
        <v>2929</v>
      </c>
      <c r="I1074" t="s">
        <v>93</v>
      </c>
      <c r="J1074" t="s">
        <v>44</v>
      </c>
      <c r="K1074">
        <v>5</v>
      </c>
      <c r="L1074">
        <v>60402</v>
      </c>
      <c r="M1074">
        <v>5</v>
      </c>
      <c r="N1074" t="s">
        <v>166</v>
      </c>
      <c r="O1074" t="s">
        <v>109</v>
      </c>
      <c r="P1074" t="s">
        <v>33</v>
      </c>
      <c r="Q1074" t="s">
        <v>1444</v>
      </c>
      <c r="R1074" t="s">
        <v>3152</v>
      </c>
      <c r="S1074">
        <v>2</v>
      </c>
      <c r="T1074" t="s">
        <v>36</v>
      </c>
      <c r="U1074">
        <v>336</v>
      </c>
      <c r="V1074" t="s">
        <v>62</v>
      </c>
    </row>
    <row r="1075" spans="1:22" x14ac:dyDescent="0.3">
      <c r="A1075" t="s">
        <v>3153</v>
      </c>
      <c r="B1075" t="s">
        <v>1080</v>
      </c>
      <c r="C1075">
        <v>56</v>
      </c>
      <c r="D1075" t="s">
        <v>24</v>
      </c>
      <c r="E1075" t="s">
        <v>131</v>
      </c>
      <c r="F1075" t="s">
        <v>65</v>
      </c>
      <c r="G1075" t="s">
        <v>1375</v>
      </c>
      <c r="H1075" t="s">
        <v>2080</v>
      </c>
      <c r="I1075" t="s">
        <v>108</v>
      </c>
      <c r="J1075" t="s">
        <v>30</v>
      </c>
      <c r="K1075">
        <v>5</v>
      </c>
      <c r="L1075">
        <v>22101</v>
      </c>
      <c r="M1075">
        <v>0</v>
      </c>
      <c r="N1075" t="s">
        <v>56</v>
      </c>
      <c r="O1075" t="s">
        <v>46</v>
      </c>
      <c r="P1075" t="s">
        <v>69</v>
      </c>
      <c r="R1075" t="s">
        <v>3154</v>
      </c>
      <c r="S1075">
        <v>5</v>
      </c>
      <c r="T1075" t="s">
        <v>61</v>
      </c>
      <c r="U1075">
        <v>443</v>
      </c>
      <c r="V1075" t="s">
        <v>37</v>
      </c>
    </row>
    <row r="1076" spans="1:22" x14ac:dyDescent="0.3">
      <c r="A1076" t="s">
        <v>3155</v>
      </c>
      <c r="B1076" t="s">
        <v>617</v>
      </c>
      <c r="C1076">
        <v>37</v>
      </c>
      <c r="D1076" t="s">
        <v>51</v>
      </c>
      <c r="E1076" t="s">
        <v>52</v>
      </c>
      <c r="F1076" t="s">
        <v>65</v>
      </c>
      <c r="G1076" t="s">
        <v>3156</v>
      </c>
      <c r="H1076" t="s">
        <v>1849</v>
      </c>
      <c r="I1076" t="s">
        <v>108</v>
      </c>
      <c r="J1076" t="s">
        <v>44</v>
      </c>
      <c r="K1076">
        <v>2</v>
      </c>
      <c r="L1076">
        <v>37317</v>
      </c>
      <c r="M1076">
        <v>0</v>
      </c>
      <c r="N1076" t="s">
        <v>166</v>
      </c>
      <c r="O1076" t="s">
        <v>102</v>
      </c>
      <c r="P1076" t="s">
        <v>174</v>
      </c>
      <c r="R1076" t="s">
        <v>3157</v>
      </c>
      <c r="S1076">
        <v>3</v>
      </c>
      <c r="T1076" t="s">
        <v>36</v>
      </c>
      <c r="U1076">
        <v>394</v>
      </c>
      <c r="V1076" t="s">
        <v>79</v>
      </c>
    </row>
    <row r="1077" spans="1:22" x14ac:dyDescent="0.3">
      <c r="A1077" t="s">
        <v>3158</v>
      </c>
      <c r="B1077" t="s">
        <v>1309</v>
      </c>
      <c r="C1077">
        <v>22</v>
      </c>
      <c r="D1077" t="s">
        <v>51</v>
      </c>
      <c r="E1077" t="s">
        <v>26</v>
      </c>
      <c r="F1077" t="s">
        <v>26</v>
      </c>
      <c r="G1077" t="s">
        <v>763</v>
      </c>
      <c r="H1077" t="s">
        <v>2223</v>
      </c>
      <c r="I1077" t="s">
        <v>29</v>
      </c>
      <c r="J1077" t="s">
        <v>30</v>
      </c>
      <c r="K1077">
        <v>4</v>
      </c>
      <c r="M1077">
        <v>5</v>
      </c>
      <c r="N1077" t="s">
        <v>45</v>
      </c>
      <c r="O1077" t="s">
        <v>86</v>
      </c>
      <c r="P1077" t="s">
        <v>174</v>
      </c>
      <c r="Q1077" t="s">
        <v>1311</v>
      </c>
      <c r="R1077" t="s">
        <v>3159</v>
      </c>
      <c r="S1077">
        <v>3</v>
      </c>
      <c r="T1077" t="s">
        <v>96</v>
      </c>
      <c r="U1077">
        <v>284</v>
      </c>
      <c r="V1077" t="s">
        <v>79</v>
      </c>
    </row>
    <row r="1078" spans="1:22" x14ac:dyDescent="0.3">
      <c r="A1078" t="s">
        <v>3160</v>
      </c>
      <c r="B1078" t="s">
        <v>424</v>
      </c>
      <c r="C1078">
        <v>31</v>
      </c>
      <c r="D1078" t="s">
        <v>24</v>
      </c>
      <c r="E1078" t="s">
        <v>99</v>
      </c>
      <c r="F1078" t="s">
        <v>65</v>
      </c>
      <c r="G1078" t="s">
        <v>1984</v>
      </c>
      <c r="H1078" t="s">
        <v>1583</v>
      </c>
      <c r="I1078" t="s">
        <v>108</v>
      </c>
      <c r="J1078" t="s">
        <v>30</v>
      </c>
      <c r="K1078">
        <v>1</v>
      </c>
      <c r="L1078">
        <v>53064</v>
      </c>
      <c r="M1078">
        <v>10</v>
      </c>
      <c r="N1078" t="s">
        <v>166</v>
      </c>
      <c r="O1078" t="s">
        <v>86</v>
      </c>
      <c r="P1078" t="s">
        <v>69</v>
      </c>
      <c r="Q1078" t="s">
        <v>427</v>
      </c>
      <c r="R1078" t="s">
        <v>3161</v>
      </c>
      <c r="S1078">
        <v>4</v>
      </c>
      <c r="T1078" t="s">
        <v>96</v>
      </c>
      <c r="U1078">
        <v>452</v>
      </c>
      <c r="V1078" t="s">
        <v>79</v>
      </c>
    </row>
    <row r="1079" spans="1:22" x14ac:dyDescent="0.3">
      <c r="A1079" t="s">
        <v>3162</v>
      </c>
      <c r="B1079" t="s">
        <v>1425</v>
      </c>
      <c r="C1079">
        <v>54</v>
      </c>
      <c r="D1079" t="s">
        <v>51</v>
      </c>
      <c r="E1079" t="s">
        <v>142</v>
      </c>
      <c r="F1079" t="s">
        <v>65</v>
      </c>
      <c r="G1079" t="s">
        <v>1097</v>
      </c>
      <c r="H1079" t="s">
        <v>273</v>
      </c>
      <c r="I1079" t="s">
        <v>93</v>
      </c>
      <c r="J1079" t="s">
        <v>30</v>
      </c>
      <c r="K1079">
        <v>2</v>
      </c>
      <c r="L1079">
        <v>65933</v>
      </c>
      <c r="M1079">
        <v>5</v>
      </c>
      <c r="N1079" t="s">
        <v>31</v>
      </c>
      <c r="O1079" t="s">
        <v>109</v>
      </c>
      <c r="P1079" t="s">
        <v>174</v>
      </c>
      <c r="Q1079" t="s">
        <v>1427</v>
      </c>
      <c r="R1079" t="s">
        <v>3163</v>
      </c>
      <c r="S1079">
        <v>1</v>
      </c>
      <c r="T1079" t="s">
        <v>72</v>
      </c>
      <c r="U1079">
        <v>51</v>
      </c>
      <c r="V1079" t="s">
        <v>37</v>
      </c>
    </row>
    <row r="1080" spans="1:22" x14ac:dyDescent="0.3">
      <c r="A1080" t="s">
        <v>3164</v>
      </c>
      <c r="B1080" t="s">
        <v>684</v>
      </c>
      <c r="C1080">
        <v>50</v>
      </c>
      <c r="D1080" t="s">
        <v>51</v>
      </c>
      <c r="E1080" t="s">
        <v>142</v>
      </c>
      <c r="F1080" t="s">
        <v>91</v>
      </c>
      <c r="G1080" t="s">
        <v>3165</v>
      </c>
      <c r="H1080" t="s">
        <v>990</v>
      </c>
      <c r="I1080" t="s">
        <v>29</v>
      </c>
      <c r="J1080" t="s">
        <v>30</v>
      </c>
      <c r="K1080">
        <v>1</v>
      </c>
      <c r="L1080">
        <v>40624</v>
      </c>
      <c r="M1080">
        <v>0</v>
      </c>
      <c r="N1080" t="s">
        <v>166</v>
      </c>
      <c r="O1080" t="s">
        <v>57</v>
      </c>
      <c r="P1080" t="s">
        <v>174</v>
      </c>
      <c r="Q1080" t="s">
        <v>785</v>
      </c>
      <c r="R1080" t="s">
        <v>3166</v>
      </c>
      <c r="S1080">
        <v>5</v>
      </c>
      <c r="T1080" t="s">
        <v>61</v>
      </c>
      <c r="U1080">
        <v>433</v>
      </c>
      <c r="V1080" t="s">
        <v>62</v>
      </c>
    </row>
    <row r="1081" spans="1:22" x14ac:dyDescent="0.3">
      <c r="A1081" t="s">
        <v>3167</v>
      </c>
      <c r="B1081" t="s">
        <v>272</v>
      </c>
      <c r="C1081">
        <v>55</v>
      </c>
      <c r="D1081" t="s">
        <v>51</v>
      </c>
      <c r="E1081" t="s">
        <v>40</v>
      </c>
      <c r="F1081" t="s">
        <v>82</v>
      </c>
      <c r="G1081" t="s">
        <v>1004</v>
      </c>
      <c r="H1081" t="s">
        <v>861</v>
      </c>
      <c r="I1081" t="s">
        <v>93</v>
      </c>
      <c r="J1081" t="s">
        <v>44</v>
      </c>
      <c r="K1081">
        <v>5</v>
      </c>
      <c r="L1081">
        <v>13112</v>
      </c>
      <c r="M1081">
        <v>10</v>
      </c>
      <c r="N1081" t="s">
        <v>45</v>
      </c>
      <c r="O1081" t="s">
        <v>102</v>
      </c>
      <c r="P1081" t="s">
        <v>33</v>
      </c>
      <c r="R1081" t="s">
        <v>3168</v>
      </c>
      <c r="S1081">
        <v>1</v>
      </c>
      <c r="T1081" t="s">
        <v>36</v>
      </c>
      <c r="U1081">
        <v>275</v>
      </c>
      <c r="V1081" t="s">
        <v>79</v>
      </c>
    </row>
    <row r="1082" spans="1:22" x14ac:dyDescent="0.3">
      <c r="A1082" t="s">
        <v>3169</v>
      </c>
      <c r="B1082" t="s">
        <v>119</v>
      </c>
      <c r="C1082">
        <v>29</v>
      </c>
      <c r="D1082" t="s">
        <v>24</v>
      </c>
      <c r="E1082" t="s">
        <v>99</v>
      </c>
      <c r="F1082" t="s">
        <v>91</v>
      </c>
      <c r="G1082" t="s">
        <v>990</v>
      </c>
      <c r="H1082" t="s">
        <v>716</v>
      </c>
      <c r="I1082" t="s">
        <v>108</v>
      </c>
      <c r="J1082" t="s">
        <v>30</v>
      </c>
      <c r="K1082">
        <v>3</v>
      </c>
      <c r="L1082">
        <v>31937</v>
      </c>
      <c r="M1082">
        <v>0</v>
      </c>
      <c r="N1082" t="s">
        <v>56</v>
      </c>
      <c r="O1082" t="s">
        <v>86</v>
      </c>
      <c r="P1082" t="s">
        <v>58</v>
      </c>
      <c r="R1082" t="s">
        <v>3170</v>
      </c>
      <c r="S1082">
        <v>1</v>
      </c>
      <c r="T1082" t="s">
        <v>96</v>
      </c>
      <c r="U1082">
        <v>301</v>
      </c>
      <c r="V1082" t="s">
        <v>79</v>
      </c>
    </row>
    <row r="1083" spans="1:22" x14ac:dyDescent="0.3">
      <c r="A1083" t="s">
        <v>3171</v>
      </c>
      <c r="B1083" t="s">
        <v>803</v>
      </c>
      <c r="C1083">
        <v>32</v>
      </c>
      <c r="D1083" t="s">
        <v>51</v>
      </c>
      <c r="E1083" t="s">
        <v>229</v>
      </c>
      <c r="F1083" t="s">
        <v>26</v>
      </c>
      <c r="G1083" t="s">
        <v>759</v>
      </c>
      <c r="H1083" t="s">
        <v>847</v>
      </c>
      <c r="I1083" t="s">
        <v>85</v>
      </c>
      <c r="J1083" t="s">
        <v>30</v>
      </c>
      <c r="K1083">
        <v>4</v>
      </c>
      <c r="L1083">
        <v>34431</v>
      </c>
      <c r="M1083">
        <v>0</v>
      </c>
      <c r="N1083" t="s">
        <v>31</v>
      </c>
      <c r="O1083" t="s">
        <v>281</v>
      </c>
      <c r="P1083" t="s">
        <v>174</v>
      </c>
      <c r="Q1083" t="s">
        <v>805</v>
      </c>
      <c r="R1083" t="s">
        <v>3172</v>
      </c>
      <c r="S1083">
        <v>5</v>
      </c>
      <c r="T1083" t="s">
        <v>36</v>
      </c>
      <c r="U1083">
        <v>244</v>
      </c>
      <c r="V1083" t="s">
        <v>62</v>
      </c>
    </row>
    <row r="1084" spans="1:22" x14ac:dyDescent="0.3">
      <c r="A1084" t="s">
        <v>3173</v>
      </c>
      <c r="B1084" t="s">
        <v>840</v>
      </c>
      <c r="C1084">
        <v>44</v>
      </c>
      <c r="D1084" t="s">
        <v>51</v>
      </c>
      <c r="E1084" t="s">
        <v>40</v>
      </c>
      <c r="F1084" t="s">
        <v>82</v>
      </c>
      <c r="G1084" t="s">
        <v>152</v>
      </c>
      <c r="H1084" t="s">
        <v>3025</v>
      </c>
      <c r="I1084" t="s">
        <v>77</v>
      </c>
      <c r="J1084" t="s">
        <v>30</v>
      </c>
      <c r="K1084">
        <v>2</v>
      </c>
      <c r="L1084">
        <v>79002</v>
      </c>
      <c r="M1084">
        <v>15</v>
      </c>
      <c r="N1084" t="s">
        <v>45</v>
      </c>
      <c r="O1084" t="s">
        <v>109</v>
      </c>
      <c r="P1084" t="s">
        <v>174</v>
      </c>
      <c r="Q1084" t="s">
        <v>1147</v>
      </c>
      <c r="R1084" t="s">
        <v>3174</v>
      </c>
      <c r="S1084">
        <v>5</v>
      </c>
      <c r="T1084" t="s">
        <v>72</v>
      </c>
      <c r="U1084">
        <v>181</v>
      </c>
      <c r="V1084" t="s">
        <v>37</v>
      </c>
    </row>
    <row r="1085" spans="1:22" x14ac:dyDescent="0.3">
      <c r="A1085" t="s">
        <v>3175</v>
      </c>
      <c r="B1085" t="s">
        <v>98</v>
      </c>
      <c r="C1085">
        <v>30</v>
      </c>
      <c r="D1085" t="s">
        <v>24</v>
      </c>
      <c r="E1085" t="s">
        <v>229</v>
      </c>
      <c r="F1085" t="s">
        <v>26</v>
      </c>
      <c r="G1085" t="s">
        <v>843</v>
      </c>
      <c r="H1085" t="s">
        <v>3176</v>
      </c>
      <c r="I1085" t="s">
        <v>108</v>
      </c>
      <c r="J1085" t="s">
        <v>30</v>
      </c>
      <c r="L1085">
        <v>19019</v>
      </c>
      <c r="M1085">
        <v>0</v>
      </c>
      <c r="N1085" t="s">
        <v>56</v>
      </c>
      <c r="O1085" t="s">
        <v>46</v>
      </c>
      <c r="P1085" t="s">
        <v>58</v>
      </c>
      <c r="Q1085" t="s">
        <v>103</v>
      </c>
      <c r="R1085" t="s">
        <v>3177</v>
      </c>
      <c r="S1085">
        <v>3</v>
      </c>
      <c r="T1085" t="s">
        <v>72</v>
      </c>
      <c r="U1085">
        <v>239</v>
      </c>
      <c r="V1085" t="s">
        <v>37</v>
      </c>
    </row>
    <row r="1086" spans="1:22" x14ac:dyDescent="0.3">
      <c r="A1086" t="s">
        <v>3178</v>
      </c>
      <c r="B1086" t="s">
        <v>333</v>
      </c>
      <c r="C1086">
        <v>18</v>
      </c>
      <c r="D1086" t="s">
        <v>51</v>
      </c>
      <c r="E1086" t="s">
        <v>229</v>
      </c>
      <c r="F1086" t="s">
        <v>91</v>
      </c>
      <c r="G1086" t="s">
        <v>350</v>
      </c>
      <c r="H1086" t="s">
        <v>1943</v>
      </c>
      <c r="I1086" t="s">
        <v>85</v>
      </c>
      <c r="J1086" t="s">
        <v>44</v>
      </c>
      <c r="K1086">
        <v>1</v>
      </c>
      <c r="L1086">
        <v>59059</v>
      </c>
      <c r="M1086">
        <v>10</v>
      </c>
      <c r="N1086" t="s">
        <v>166</v>
      </c>
      <c r="O1086" t="s">
        <v>68</v>
      </c>
      <c r="P1086" t="s">
        <v>33</v>
      </c>
      <c r="Q1086" t="s">
        <v>336</v>
      </c>
      <c r="R1086" t="s">
        <v>3179</v>
      </c>
      <c r="S1086">
        <v>3</v>
      </c>
      <c r="T1086" t="s">
        <v>36</v>
      </c>
      <c r="U1086">
        <v>391</v>
      </c>
      <c r="V1086" t="s">
        <v>37</v>
      </c>
    </row>
    <row r="1087" spans="1:22" x14ac:dyDescent="0.3">
      <c r="A1087" t="s">
        <v>3180</v>
      </c>
      <c r="B1087" t="s">
        <v>509</v>
      </c>
      <c r="C1087">
        <v>25</v>
      </c>
      <c r="D1087" t="s">
        <v>51</v>
      </c>
      <c r="E1087" t="s">
        <v>26</v>
      </c>
      <c r="F1087" t="s">
        <v>53</v>
      </c>
      <c r="G1087" t="s">
        <v>1600</v>
      </c>
      <c r="H1087" t="s">
        <v>799</v>
      </c>
      <c r="I1087" t="s">
        <v>108</v>
      </c>
      <c r="J1087" t="s">
        <v>30</v>
      </c>
      <c r="L1087">
        <v>13517</v>
      </c>
      <c r="M1087">
        <v>10</v>
      </c>
      <c r="N1087" t="s">
        <v>56</v>
      </c>
      <c r="O1087" t="s">
        <v>102</v>
      </c>
      <c r="P1087" t="s">
        <v>69</v>
      </c>
      <c r="Q1087" t="s">
        <v>512</v>
      </c>
      <c r="R1087" t="s">
        <v>3181</v>
      </c>
      <c r="S1087">
        <v>1</v>
      </c>
      <c r="T1087" t="s">
        <v>61</v>
      </c>
      <c r="U1087">
        <v>372</v>
      </c>
      <c r="V1087" t="s">
        <v>37</v>
      </c>
    </row>
    <row r="1088" spans="1:22" x14ac:dyDescent="0.3">
      <c r="A1088" t="s">
        <v>3182</v>
      </c>
      <c r="B1088" t="s">
        <v>1876</v>
      </c>
      <c r="C1088">
        <v>53</v>
      </c>
      <c r="D1088" t="s">
        <v>51</v>
      </c>
      <c r="E1088" t="s">
        <v>52</v>
      </c>
      <c r="F1088" t="s">
        <v>26</v>
      </c>
      <c r="G1088" t="s">
        <v>2024</v>
      </c>
      <c r="H1088" t="s">
        <v>755</v>
      </c>
      <c r="I1088" t="s">
        <v>85</v>
      </c>
      <c r="J1088" t="s">
        <v>30</v>
      </c>
      <c r="K1088">
        <v>5</v>
      </c>
      <c r="L1088">
        <v>43073</v>
      </c>
      <c r="M1088">
        <v>10</v>
      </c>
      <c r="N1088" t="s">
        <v>45</v>
      </c>
      <c r="O1088" t="s">
        <v>68</v>
      </c>
      <c r="P1088" t="s">
        <v>58</v>
      </c>
      <c r="Q1088" t="s">
        <v>1427</v>
      </c>
      <c r="R1088" t="s">
        <v>3183</v>
      </c>
      <c r="S1088">
        <v>3</v>
      </c>
      <c r="T1088" t="s">
        <v>36</v>
      </c>
      <c r="U1088">
        <v>415</v>
      </c>
      <c r="V1088" t="s">
        <v>37</v>
      </c>
    </row>
    <row r="1089" spans="1:22" x14ac:dyDescent="0.3">
      <c r="A1089" t="s">
        <v>3184</v>
      </c>
      <c r="B1089" t="s">
        <v>702</v>
      </c>
      <c r="C1089">
        <v>29</v>
      </c>
      <c r="D1089" t="s">
        <v>24</v>
      </c>
      <c r="E1089" t="s">
        <v>26</v>
      </c>
      <c r="F1089" t="s">
        <v>82</v>
      </c>
      <c r="G1089" t="s">
        <v>3185</v>
      </c>
      <c r="H1089" t="s">
        <v>1723</v>
      </c>
      <c r="I1089" t="s">
        <v>93</v>
      </c>
      <c r="J1089" t="s">
        <v>30</v>
      </c>
      <c r="K1089">
        <v>1</v>
      </c>
      <c r="L1089">
        <v>63076</v>
      </c>
      <c r="M1089">
        <v>10</v>
      </c>
      <c r="N1089" t="s">
        <v>31</v>
      </c>
      <c r="O1089" t="s">
        <v>133</v>
      </c>
      <c r="P1089" t="s">
        <v>33</v>
      </c>
      <c r="Q1089" t="s">
        <v>916</v>
      </c>
      <c r="R1089" t="s">
        <v>3186</v>
      </c>
      <c r="S1089">
        <v>2</v>
      </c>
      <c r="T1089" t="s">
        <v>36</v>
      </c>
      <c r="U1089">
        <v>422</v>
      </c>
      <c r="V1089" t="s">
        <v>79</v>
      </c>
    </row>
    <row r="1090" spans="1:22" x14ac:dyDescent="0.3">
      <c r="A1090" t="s">
        <v>3187</v>
      </c>
      <c r="B1090" t="s">
        <v>361</v>
      </c>
      <c r="C1090">
        <v>29</v>
      </c>
      <c r="D1090" t="s">
        <v>51</v>
      </c>
      <c r="E1090" t="s">
        <v>131</v>
      </c>
      <c r="F1090" t="s">
        <v>53</v>
      </c>
      <c r="G1090" t="s">
        <v>1066</v>
      </c>
      <c r="H1090" t="s">
        <v>2318</v>
      </c>
      <c r="I1090" t="s">
        <v>43</v>
      </c>
      <c r="J1090" t="s">
        <v>44</v>
      </c>
      <c r="K1090">
        <v>1</v>
      </c>
      <c r="L1090">
        <v>44545</v>
      </c>
      <c r="M1090">
        <v>15</v>
      </c>
      <c r="N1090" t="s">
        <v>31</v>
      </c>
      <c r="O1090" t="s">
        <v>68</v>
      </c>
      <c r="P1090" t="s">
        <v>33</v>
      </c>
      <c r="Q1090" t="s">
        <v>364</v>
      </c>
      <c r="R1090" t="s">
        <v>3188</v>
      </c>
      <c r="S1090">
        <v>5</v>
      </c>
      <c r="T1090" t="s">
        <v>36</v>
      </c>
      <c r="U1090">
        <v>110</v>
      </c>
      <c r="V1090" t="s">
        <v>37</v>
      </c>
    </row>
    <row r="1091" spans="1:22" x14ac:dyDescent="0.3">
      <c r="A1091" t="s">
        <v>3189</v>
      </c>
      <c r="B1091" t="s">
        <v>1309</v>
      </c>
      <c r="C1091">
        <v>52</v>
      </c>
      <c r="D1091" t="s">
        <v>51</v>
      </c>
      <c r="E1091" t="s">
        <v>26</v>
      </c>
      <c r="F1091" t="s">
        <v>53</v>
      </c>
      <c r="G1091" t="s">
        <v>421</v>
      </c>
      <c r="H1091" t="s">
        <v>671</v>
      </c>
      <c r="I1091" t="s">
        <v>29</v>
      </c>
      <c r="J1091" t="s">
        <v>44</v>
      </c>
      <c r="K1091">
        <v>4</v>
      </c>
      <c r="L1091">
        <v>79670</v>
      </c>
      <c r="M1091">
        <v>10</v>
      </c>
      <c r="N1091" t="s">
        <v>56</v>
      </c>
      <c r="O1091" t="s">
        <v>281</v>
      </c>
      <c r="P1091" t="s">
        <v>174</v>
      </c>
      <c r="Q1091" t="s">
        <v>1311</v>
      </c>
      <c r="R1091" t="s">
        <v>3190</v>
      </c>
      <c r="S1091">
        <v>5</v>
      </c>
      <c r="T1091" t="s">
        <v>36</v>
      </c>
      <c r="U1091">
        <v>218</v>
      </c>
      <c r="V1091" t="s">
        <v>79</v>
      </c>
    </row>
    <row r="1092" spans="1:22" x14ac:dyDescent="0.3">
      <c r="A1092" t="s">
        <v>3191</v>
      </c>
      <c r="B1092" t="s">
        <v>503</v>
      </c>
      <c r="C1092">
        <v>24</v>
      </c>
      <c r="D1092" t="s">
        <v>24</v>
      </c>
      <c r="E1092" t="s">
        <v>142</v>
      </c>
      <c r="F1092" t="s">
        <v>53</v>
      </c>
      <c r="G1092" t="s">
        <v>494</v>
      </c>
      <c r="H1092" t="s">
        <v>750</v>
      </c>
      <c r="I1092" t="s">
        <v>77</v>
      </c>
      <c r="J1092" t="s">
        <v>30</v>
      </c>
      <c r="K1092">
        <v>5</v>
      </c>
      <c r="L1092">
        <v>16037</v>
      </c>
      <c r="M1092">
        <v>15</v>
      </c>
      <c r="N1092" t="s">
        <v>45</v>
      </c>
      <c r="O1092" t="s">
        <v>102</v>
      </c>
      <c r="P1092" t="s">
        <v>33</v>
      </c>
      <c r="Q1092" t="s">
        <v>506</v>
      </c>
      <c r="R1092" t="s">
        <v>3192</v>
      </c>
      <c r="S1092">
        <v>3</v>
      </c>
      <c r="T1092" t="s">
        <v>36</v>
      </c>
      <c r="U1092">
        <v>390</v>
      </c>
      <c r="V1092" t="s">
        <v>37</v>
      </c>
    </row>
    <row r="1093" spans="1:22" x14ac:dyDescent="0.3">
      <c r="A1093" t="s">
        <v>3193</v>
      </c>
      <c r="B1093" t="s">
        <v>461</v>
      </c>
      <c r="C1093">
        <v>22</v>
      </c>
      <c r="D1093" t="s">
        <v>24</v>
      </c>
      <c r="E1093" t="s">
        <v>40</v>
      </c>
      <c r="F1093" t="s">
        <v>82</v>
      </c>
      <c r="G1093" t="s">
        <v>2058</v>
      </c>
      <c r="H1093" t="s">
        <v>824</v>
      </c>
      <c r="I1093" t="s">
        <v>93</v>
      </c>
      <c r="J1093" t="s">
        <v>44</v>
      </c>
      <c r="K1093">
        <v>3</v>
      </c>
      <c r="L1093">
        <v>11400</v>
      </c>
      <c r="M1093">
        <v>15</v>
      </c>
      <c r="N1093" t="s">
        <v>166</v>
      </c>
      <c r="O1093" t="s">
        <v>86</v>
      </c>
      <c r="P1093" t="s">
        <v>33</v>
      </c>
      <c r="R1093" t="s">
        <v>3194</v>
      </c>
      <c r="S1093">
        <v>3</v>
      </c>
      <c r="T1093" t="s">
        <v>61</v>
      </c>
      <c r="U1093">
        <v>116</v>
      </c>
      <c r="V1093" t="s">
        <v>37</v>
      </c>
    </row>
    <row r="1094" spans="1:22" x14ac:dyDescent="0.3">
      <c r="A1094" t="s">
        <v>3195</v>
      </c>
      <c r="B1094" t="s">
        <v>808</v>
      </c>
      <c r="C1094">
        <v>34</v>
      </c>
      <c r="D1094" t="s">
        <v>24</v>
      </c>
      <c r="E1094" t="s">
        <v>131</v>
      </c>
      <c r="F1094" t="s">
        <v>26</v>
      </c>
      <c r="G1094" t="s">
        <v>3196</v>
      </c>
      <c r="H1094" t="s">
        <v>1284</v>
      </c>
      <c r="I1094" t="s">
        <v>85</v>
      </c>
      <c r="J1094" t="s">
        <v>30</v>
      </c>
      <c r="K1094">
        <v>5</v>
      </c>
      <c r="L1094">
        <v>13043</v>
      </c>
      <c r="M1094">
        <v>10</v>
      </c>
      <c r="N1094" t="s">
        <v>45</v>
      </c>
      <c r="O1094" t="s">
        <v>57</v>
      </c>
      <c r="P1094" t="s">
        <v>69</v>
      </c>
      <c r="Q1094" t="s">
        <v>191</v>
      </c>
      <c r="R1094" t="s">
        <v>3197</v>
      </c>
      <c r="S1094">
        <v>2</v>
      </c>
      <c r="T1094" t="s">
        <v>72</v>
      </c>
      <c r="U1094">
        <v>476</v>
      </c>
      <c r="V1094" t="s">
        <v>37</v>
      </c>
    </row>
    <row r="1095" spans="1:22" x14ac:dyDescent="0.3">
      <c r="A1095" t="s">
        <v>3198</v>
      </c>
      <c r="B1095" t="s">
        <v>136</v>
      </c>
      <c r="C1095">
        <v>32</v>
      </c>
      <c r="D1095" t="s">
        <v>51</v>
      </c>
      <c r="E1095" t="s">
        <v>26</v>
      </c>
      <c r="F1095" t="s">
        <v>65</v>
      </c>
      <c r="G1095" t="s">
        <v>870</v>
      </c>
      <c r="H1095" t="s">
        <v>1635</v>
      </c>
      <c r="I1095" t="s">
        <v>85</v>
      </c>
      <c r="J1095" t="s">
        <v>44</v>
      </c>
      <c r="K1095">
        <v>1</v>
      </c>
      <c r="L1095">
        <v>35590</v>
      </c>
      <c r="M1095">
        <v>5</v>
      </c>
      <c r="N1095" t="s">
        <v>31</v>
      </c>
      <c r="O1095" t="s">
        <v>46</v>
      </c>
      <c r="P1095" t="s">
        <v>58</v>
      </c>
      <c r="Q1095" t="s">
        <v>269</v>
      </c>
      <c r="R1095" t="s">
        <v>3199</v>
      </c>
      <c r="S1095">
        <v>4</v>
      </c>
      <c r="T1095" t="s">
        <v>61</v>
      </c>
      <c r="U1095">
        <v>170</v>
      </c>
      <c r="V1095" t="s">
        <v>37</v>
      </c>
    </row>
    <row r="1096" spans="1:22" x14ac:dyDescent="0.3">
      <c r="A1096" t="s">
        <v>3200</v>
      </c>
      <c r="B1096" t="s">
        <v>660</v>
      </c>
      <c r="C1096">
        <v>59</v>
      </c>
      <c r="D1096" t="s">
        <v>51</v>
      </c>
      <c r="E1096" t="s">
        <v>142</v>
      </c>
      <c r="F1096" t="s">
        <v>82</v>
      </c>
      <c r="G1096" t="s">
        <v>572</v>
      </c>
      <c r="H1096" t="s">
        <v>1047</v>
      </c>
      <c r="I1096" t="s">
        <v>43</v>
      </c>
      <c r="J1096" t="s">
        <v>30</v>
      </c>
      <c r="K1096">
        <v>2</v>
      </c>
      <c r="L1096">
        <v>37511</v>
      </c>
      <c r="M1096">
        <v>5</v>
      </c>
      <c r="N1096" t="s">
        <v>56</v>
      </c>
      <c r="O1096" t="s">
        <v>173</v>
      </c>
      <c r="P1096" t="s">
        <v>33</v>
      </c>
      <c r="Q1096" t="s">
        <v>662</v>
      </c>
      <c r="R1096" t="s">
        <v>3201</v>
      </c>
      <c r="S1096">
        <v>3</v>
      </c>
      <c r="T1096" t="s">
        <v>96</v>
      </c>
      <c r="U1096">
        <v>302</v>
      </c>
      <c r="V1096" t="s">
        <v>37</v>
      </c>
    </row>
    <row r="1097" spans="1:22" x14ac:dyDescent="0.3">
      <c r="A1097" t="s">
        <v>3202</v>
      </c>
      <c r="B1097" t="s">
        <v>411</v>
      </c>
      <c r="C1097">
        <v>43</v>
      </c>
      <c r="D1097" t="s">
        <v>24</v>
      </c>
      <c r="E1097" t="s">
        <v>40</v>
      </c>
      <c r="F1097" t="s">
        <v>53</v>
      </c>
      <c r="G1097" t="s">
        <v>1526</v>
      </c>
      <c r="H1097" t="s">
        <v>810</v>
      </c>
      <c r="I1097" t="s">
        <v>108</v>
      </c>
      <c r="J1097" t="s">
        <v>44</v>
      </c>
      <c r="K1097">
        <v>4</v>
      </c>
      <c r="L1097">
        <v>67770</v>
      </c>
      <c r="M1097">
        <v>15</v>
      </c>
      <c r="N1097" t="s">
        <v>31</v>
      </c>
      <c r="O1097" t="s">
        <v>57</v>
      </c>
      <c r="P1097" t="s">
        <v>174</v>
      </c>
      <c r="Q1097" t="s">
        <v>414</v>
      </c>
      <c r="R1097" t="s">
        <v>3203</v>
      </c>
      <c r="S1097">
        <v>4</v>
      </c>
      <c r="T1097" t="s">
        <v>72</v>
      </c>
      <c r="U1097">
        <v>112</v>
      </c>
      <c r="V1097" t="s">
        <v>79</v>
      </c>
    </row>
    <row r="1098" spans="1:22" x14ac:dyDescent="0.3">
      <c r="A1098" t="s">
        <v>3204</v>
      </c>
      <c r="B1098" t="s">
        <v>204</v>
      </c>
      <c r="C1098">
        <v>33</v>
      </c>
      <c r="D1098" t="s">
        <v>51</v>
      </c>
      <c r="E1098" t="s">
        <v>142</v>
      </c>
      <c r="F1098" t="s">
        <v>65</v>
      </c>
      <c r="G1098" t="s">
        <v>950</v>
      </c>
      <c r="H1098" t="s">
        <v>1899</v>
      </c>
      <c r="I1098" t="s">
        <v>43</v>
      </c>
      <c r="J1098" t="s">
        <v>44</v>
      </c>
      <c r="K1098">
        <v>2</v>
      </c>
      <c r="M1098">
        <v>10</v>
      </c>
      <c r="N1098" t="s">
        <v>45</v>
      </c>
      <c r="O1098" t="s">
        <v>102</v>
      </c>
      <c r="P1098" t="s">
        <v>58</v>
      </c>
      <c r="Q1098" t="s">
        <v>207</v>
      </c>
      <c r="R1098" t="s">
        <v>3205</v>
      </c>
      <c r="S1098">
        <v>4</v>
      </c>
      <c r="T1098" t="s">
        <v>96</v>
      </c>
      <c r="U1098">
        <v>297</v>
      </c>
      <c r="V1098" t="s">
        <v>62</v>
      </c>
    </row>
    <row r="1099" spans="1:22" x14ac:dyDescent="0.3">
      <c r="A1099" t="s">
        <v>3206</v>
      </c>
      <c r="B1099" t="s">
        <v>382</v>
      </c>
      <c r="C1099">
        <v>60</v>
      </c>
      <c r="D1099" t="s">
        <v>51</v>
      </c>
      <c r="E1099" t="s">
        <v>99</v>
      </c>
      <c r="F1099" t="s">
        <v>26</v>
      </c>
      <c r="G1099" t="s">
        <v>3207</v>
      </c>
      <c r="H1099" t="s">
        <v>2358</v>
      </c>
      <c r="I1099" t="s">
        <v>29</v>
      </c>
      <c r="J1099" t="s">
        <v>30</v>
      </c>
      <c r="K1099">
        <v>3</v>
      </c>
      <c r="L1099">
        <v>57776</v>
      </c>
      <c r="M1099">
        <v>15</v>
      </c>
      <c r="N1099" t="s">
        <v>166</v>
      </c>
      <c r="O1099" t="s">
        <v>173</v>
      </c>
      <c r="P1099" t="s">
        <v>58</v>
      </c>
      <c r="Q1099" t="s">
        <v>385</v>
      </c>
      <c r="R1099" t="s">
        <v>3208</v>
      </c>
      <c r="S1099">
        <v>3</v>
      </c>
      <c r="T1099" t="s">
        <v>61</v>
      </c>
      <c r="U1099">
        <v>280</v>
      </c>
      <c r="V1099" t="s">
        <v>62</v>
      </c>
    </row>
    <row r="1100" spans="1:22" x14ac:dyDescent="0.3">
      <c r="A1100" t="s">
        <v>3209</v>
      </c>
      <c r="B1100" t="s">
        <v>2572</v>
      </c>
      <c r="C1100">
        <v>27</v>
      </c>
      <c r="D1100" t="s">
        <v>51</v>
      </c>
      <c r="E1100" t="s">
        <v>229</v>
      </c>
      <c r="F1100" t="s">
        <v>82</v>
      </c>
      <c r="G1100" t="s">
        <v>2070</v>
      </c>
      <c r="H1100" t="s">
        <v>2500</v>
      </c>
      <c r="I1100" t="s">
        <v>29</v>
      </c>
      <c r="J1100" t="s">
        <v>44</v>
      </c>
      <c r="K1100">
        <v>2</v>
      </c>
      <c r="L1100">
        <v>35531</v>
      </c>
      <c r="M1100">
        <v>15</v>
      </c>
      <c r="N1100" t="s">
        <v>166</v>
      </c>
      <c r="O1100" t="s">
        <v>133</v>
      </c>
      <c r="P1100" t="s">
        <v>58</v>
      </c>
      <c r="Q1100" t="s">
        <v>400</v>
      </c>
      <c r="R1100" t="s">
        <v>3210</v>
      </c>
      <c r="S1100">
        <v>1</v>
      </c>
      <c r="T1100" t="s">
        <v>72</v>
      </c>
      <c r="U1100">
        <v>140</v>
      </c>
      <c r="V1100" t="s">
        <v>62</v>
      </c>
    </row>
    <row r="1101" spans="1:22" x14ac:dyDescent="0.3">
      <c r="A1101" t="s">
        <v>3211</v>
      </c>
      <c r="B1101" t="s">
        <v>222</v>
      </c>
      <c r="C1101">
        <v>19</v>
      </c>
      <c r="D1101" t="s">
        <v>24</v>
      </c>
      <c r="E1101" t="s">
        <v>52</v>
      </c>
      <c r="F1101" t="s">
        <v>82</v>
      </c>
      <c r="G1101" t="s">
        <v>403</v>
      </c>
      <c r="H1101" t="s">
        <v>1325</v>
      </c>
      <c r="I1101" t="s">
        <v>108</v>
      </c>
      <c r="J1101" t="s">
        <v>44</v>
      </c>
      <c r="K1101">
        <v>3</v>
      </c>
      <c r="L1101">
        <v>15382</v>
      </c>
      <c r="M1101">
        <v>15</v>
      </c>
      <c r="N1101" t="s">
        <v>166</v>
      </c>
      <c r="O1101" t="s">
        <v>109</v>
      </c>
      <c r="P1101" t="s">
        <v>33</v>
      </c>
      <c r="Q1101" t="s">
        <v>225</v>
      </c>
      <c r="R1101" t="s">
        <v>3212</v>
      </c>
      <c r="S1101">
        <v>2</v>
      </c>
      <c r="T1101" t="s">
        <v>72</v>
      </c>
      <c r="U1101">
        <v>430</v>
      </c>
      <c r="V1101" t="s">
        <v>37</v>
      </c>
    </row>
    <row r="1102" spans="1:22" x14ac:dyDescent="0.3">
      <c r="A1102" t="s">
        <v>3213</v>
      </c>
      <c r="B1102" t="s">
        <v>637</v>
      </c>
      <c r="C1102">
        <v>49</v>
      </c>
      <c r="D1102" t="s">
        <v>51</v>
      </c>
      <c r="E1102" t="s">
        <v>131</v>
      </c>
      <c r="F1102" t="s">
        <v>53</v>
      </c>
      <c r="G1102" t="s">
        <v>279</v>
      </c>
      <c r="H1102" t="s">
        <v>1077</v>
      </c>
      <c r="I1102" t="s">
        <v>43</v>
      </c>
      <c r="J1102" t="s">
        <v>44</v>
      </c>
      <c r="K1102">
        <v>5</v>
      </c>
      <c r="L1102">
        <v>23756</v>
      </c>
      <c r="M1102">
        <v>5</v>
      </c>
      <c r="N1102" t="s">
        <v>166</v>
      </c>
      <c r="O1102" t="s">
        <v>32</v>
      </c>
      <c r="P1102" t="s">
        <v>33</v>
      </c>
      <c r="Q1102" t="s">
        <v>2248</v>
      </c>
      <c r="R1102" t="s">
        <v>3214</v>
      </c>
      <c r="S1102">
        <v>4</v>
      </c>
      <c r="T1102" t="s">
        <v>72</v>
      </c>
      <c r="U1102">
        <v>122</v>
      </c>
      <c r="V1102" t="s">
        <v>37</v>
      </c>
    </row>
    <row r="1103" spans="1:22" x14ac:dyDescent="0.3">
      <c r="A1103" t="s">
        <v>3215</v>
      </c>
      <c r="B1103" t="s">
        <v>327</v>
      </c>
      <c r="C1103">
        <v>50</v>
      </c>
      <c r="D1103" t="s">
        <v>51</v>
      </c>
      <c r="E1103" t="s">
        <v>52</v>
      </c>
      <c r="F1103" t="s">
        <v>91</v>
      </c>
      <c r="G1103" t="s">
        <v>3216</v>
      </c>
      <c r="H1103" t="s">
        <v>2608</v>
      </c>
      <c r="I1103" t="s">
        <v>93</v>
      </c>
      <c r="J1103" t="s">
        <v>44</v>
      </c>
      <c r="K1103">
        <v>2</v>
      </c>
      <c r="L1103">
        <v>48120</v>
      </c>
      <c r="M1103">
        <v>0</v>
      </c>
      <c r="N1103" t="s">
        <v>166</v>
      </c>
      <c r="O1103" t="s">
        <v>281</v>
      </c>
      <c r="P1103" t="s">
        <v>69</v>
      </c>
      <c r="Q1103" t="s">
        <v>330</v>
      </c>
      <c r="R1103" t="s">
        <v>3217</v>
      </c>
      <c r="S1103">
        <v>3</v>
      </c>
      <c r="T1103" t="s">
        <v>96</v>
      </c>
      <c r="U1103">
        <v>494</v>
      </c>
      <c r="V1103" t="s">
        <v>79</v>
      </c>
    </row>
    <row r="1104" spans="1:22" x14ac:dyDescent="0.3">
      <c r="A1104" t="s">
        <v>3218</v>
      </c>
      <c r="B1104" t="s">
        <v>309</v>
      </c>
      <c r="C1104">
        <v>34</v>
      </c>
      <c r="D1104" t="s">
        <v>163</v>
      </c>
      <c r="E1104" t="s">
        <v>131</v>
      </c>
      <c r="F1104" t="s">
        <v>26</v>
      </c>
      <c r="G1104" t="s">
        <v>121</v>
      </c>
      <c r="H1104" t="s">
        <v>3219</v>
      </c>
      <c r="I1104" t="s">
        <v>43</v>
      </c>
      <c r="J1104" t="s">
        <v>44</v>
      </c>
      <c r="K1104">
        <v>1</v>
      </c>
      <c r="L1104">
        <v>15345</v>
      </c>
      <c r="M1104">
        <v>10</v>
      </c>
      <c r="N1104" t="s">
        <v>56</v>
      </c>
      <c r="O1104" t="s">
        <v>32</v>
      </c>
      <c r="P1104" t="s">
        <v>33</v>
      </c>
      <c r="Q1104" t="s">
        <v>312</v>
      </c>
      <c r="S1104">
        <v>5</v>
      </c>
      <c r="T1104" t="s">
        <v>61</v>
      </c>
      <c r="U1104">
        <v>309</v>
      </c>
      <c r="V1104" t="s">
        <v>79</v>
      </c>
    </row>
    <row r="1105" spans="1:22" x14ac:dyDescent="0.3">
      <c r="A1105" t="s">
        <v>3220</v>
      </c>
      <c r="B1105" t="s">
        <v>946</v>
      </c>
      <c r="C1105">
        <v>33</v>
      </c>
      <c r="D1105" t="s">
        <v>51</v>
      </c>
      <c r="E1105" t="s">
        <v>142</v>
      </c>
      <c r="F1105" t="s">
        <v>91</v>
      </c>
      <c r="G1105" t="s">
        <v>747</v>
      </c>
      <c r="H1105" t="s">
        <v>619</v>
      </c>
      <c r="I1105" t="s">
        <v>85</v>
      </c>
      <c r="J1105" t="s">
        <v>30</v>
      </c>
      <c r="K1105">
        <v>1</v>
      </c>
      <c r="L1105">
        <v>52814</v>
      </c>
      <c r="M1105">
        <v>10</v>
      </c>
      <c r="N1105" t="s">
        <v>45</v>
      </c>
      <c r="O1105" t="s">
        <v>68</v>
      </c>
      <c r="P1105" t="s">
        <v>58</v>
      </c>
      <c r="Q1105" t="s">
        <v>983</v>
      </c>
      <c r="R1105" t="s">
        <v>3221</v>
      </c>
      <c r="S1105">
        <v>3</v>
      </c>
      <c r="T1105" t="s">
        <v>96</v>
      </c>
      <c r="U1105">
        <v>410</v>
      </c>
      <c r="V1105" t="s">
        <v>79</v>
      </c>
    </row>
    <row r="1106" spans="1:22" x14ac:dyDescent="0.3">
      <c r="A1106" t="s">
        <v>3222</v>
      </c>
      <c r="B1106" t="s">
        <v>1690</v>
      </c>
      <c r="C1106">
        <v>44</v>
      </c>
      <c r="D1106" t="s">
        <v>51</v>
      </c>
      <c r="E1106" t="s">
        <v>40</v>
      </c>
      <c r="F1106" t="s">
        <v>82</v>
      </c>
      <c r="G1106" t="s">
        <v>1325</v>
      </c>
      <c r="H1106" t="s">
        <v>2239</v>
      </c>
      <c r="I1106" t="s">
        <v>43</v>
      </c>
      <c r="J1106" t="s">
        <v>30</v>
      </c>
      <c r="K1106">
        <v>2</v>
      </c>
      <c r="L1106">
        <v>66843</v>
      </c>
      <c r="M1106">
        <v>15</v>
      </c>
      <c r="N1106" t="s">
        <v>56</v>
      </c>
      <c r="O1106" t="s">
        <v>102</v>
      </c>
      <c r="P1106" t="s">
        <v>33</v>
      </c>
      <c r="R1106" t="s">
        <v>3223</v>
      </c>
      <c r="S1106">
        <v>1</v>
      </c>
      <c r="T1106" t="s">
        <v>61</v>
      </c>
      <c r="U1106">
        <v>392</v>
      </c>
      <c r="V1106" t="s">
        <v>37</v>
      </c>
    </row>
    <row r="1107" spans="1:22" x14ac:dyDescent="0.3">
      <c r="A1107" t="s">
        <v>3224</v>
      </c>
      <c r="B1107" t="s">
        <v>278</v>
      </c>
      <c r="C1107">
        <v>48</v>
      </c>
      <c r="D1107" t="s">
        <v>24</v>
      </c>
      <c r="E1107" t="s">
        <v>131</v>
      </c>
      <c r="F1107" t="s">
        <v>82</v>
      </c>
      <c r="G1107" t="s">
        <v>1519</v>
      </c>
      <c r="H1107" t="s">
        <v>1463</v>
      </c>
      <c r="I1107" t="s">
        <v>108</v>
      </c>
      <c r="J1107" t="s">
        <v>44</v>
      </c>
      <c r="K1107">
        <v>5</v>
      </c>
      <c r="L1107">
        <v>14882</v>
      </c>
      <c r="M1107">
        <v>10</v>
      </c>
      <c r="N1107" t="s">
        <v>166</v>
      </c>
      <c r="O1107" t="s">
        <v>133</v>
      </c>
      <c r="P1107" t="s">
        <v>58</v>
      </c>
      <c r="Q1107" t="s">
        <v>282</v>
      </c>
      <c r="R1107" t="s">
        <v>3225</v>
      </c>
      <c r="S1107">
        <v>2</v>
      </c>
      <c r="T1107" t="s">
        <v>36</v>
      </c>
      <c r="U1107">
        <v>217</v>
      </c>
      <c r="V1107" t="s">
        <v>62</v>
      </c>
    </row>
    <row r="1108" spans="1:22" x14ac:dyDescent="0.3">
      <c r="A1108" t="s">
        <v>3226</v>
      </c>
      <c r="B1108" t="s">
        <v>309</v>
      </c>
      <c r="C1108">
        <v>40</v>
      </c>
      <c r="D1108" t="s">
        <v>163</v>
      </c>
      <c r="E1108" t="s">
        <v>25</v>
      </c>
      <c r="F1108" t="s">
        <v>82</v>
      </c>
      <c r="G1108" t="s">
        <v>354</v>
      </c>
      <c r="H1108" t="s">
        <v>363</v>
      </c>
      <c r="I1108" t="s">
        <v>85</v>
      </c>
      <c r="J1108" t="s">
        <v>30</v>
      </c>
      <c r="K1108">
        <v>4</v>
      </c>
      <c r="L1108">
        <v>27385</v>
      </c>
      <c r="M1108">
        <v>15</v>
      </c>
      <c r="N1108" t="s">
        <v>31</v>
      </c>
      <c r="O1108" t="s">
        <v>109</v>
      </c>
      <c r="P1108" t="s">
        <v>33</v>
      </c>
      <c r="Q1108" t="s">
        <v>312</v>
      </c>
      <c r="R1108" t="s">
        <v>3227</v>
      </c>
      <c r="S1108">
        <v>2</v>
      </c>
      <c r="T1108" t="s">
        <v>96</v>
      </c>
      <c r="U1108">
        <v>251</v>
      </c>
      <c r="V1108" t="s">
        <v>62</v>
      </c>
    </row>
    <row r="1109" spans="1:22" x14ac:dyDescent="0.3">
      <c r="A1109" t="s">
        <v>3228</v>
      </c>
      <c r="B1109" t="s">
        <v>136</v>
      </c>
      <c r="C1109">
        <v>24</v>
      </c>
      <c r="D1109" t="s">
        <v>51</v>
      </c>
      <c r="E1109" t="s">
        <v>25</v>
      </c>
      <c r="F1109" t="s">
        <v>91</v>
      </c>
      <c r="G1109" t="s">
        <v>481</v>
      </c>
      <c r="H1109" t="s">
        <v>557</v>
      </c>
      <c r="I1109" t="s">
        <v>93</v>
      </c>
      <c r="J1109" t="s">
        <v>30</v>
      </c>
      <c r="K1109">
        <v>5</v>
      </c>
      <c r="L1109">
        <v>67807</v>
      </c>
      <c r="M1109">
        <v>15</v>
      </c>
      <c r="N1109" t="s">
        <v>45</v>
      </c>
      <c r="O1109" t="s">
        <v>68</v>
      </c>
      <c r="P1109" t="s">
        <v>69</v>
      </c>
      <c r="Q1109" t="s">
        <v>269</v>
      </c>
      <c r="R1109" t="s">
        <v>3229</v>
      </c>
      <c r="S1109">
        <v>4</v>
      </c>
      <c r="T1109" t="s">
        <v>72</v>
      </c>
      <c r="U1109">
        <v>143</v>
      </c>
      <c r="V1109" t="s">
        <v>62</v>
      </c>
    </row>
    <row r="1110" spans="1:22" x14ac:dyDescent="0.3">
      <c r="A1110" t="s">
        <v>3230</v>
      </c>
      <c r="B1110" t="s">
        <v>660</v>
      </c>
      <c r="C1110">
        <v>19</v>
      </c>
      <c r="D1110" t="s">
        <v>51</v>
      </c>
      <c r="E1110" t="s">
        <v>229</v>
      </c>
      <c r="F1110" t="s">
        <v>65</v>
      </c>
      <c r="G1110" t="s">
        <v>3064</v>
      </c>
      <c r="H1110" t="s">
        <v>3014</v>
      </c>
      <c r="I1110" t="s">
        <v>77</v>
      </c>
      <c r="J1110" t="s">
        <v>44</v>
      </c>
      <c r="K1110">
        <v>1</v>
      </c>
      <c r="L1110">
        <v>72858</v>
      </c>
      <c r="M1110">
        <v>10</v>
      </c>
      <c r="N1110" t="s">
        <v>31</v>
      </c>
      <c r="O1110" t="s">
        <v>46</v>
      </c>
      <c r="P1110" t="s">
        <v>174</v>
      </c>
      <c r="Q1110" t="s">
        <v>662</v>
      </c>
      <c r="R1110" t="s">
        <v>3231</v>
      </c>
      <c r="S1110">
        <v>4</v>
      </c>
      <c r="T1110" t="s">
        <v>72</v>
      </c>
      <c r="U1110">
        <v>66</v>
      </c>
      <c r="V1110" t="s">
        <v>37</v>
      </c>
    </row>
    <row r="1111" spans="1:22" x14ac:dyDescent="0.3">
      <c r="A1111" t="s">
        <v>3232</v>
      </c>
      <c r="B1111" t="s">
        <v>819</v>
      </c>
      <c r="C1111">
        <v>26</v>
      </c>
      <c r="D1111" t="s">
        <v>51</v>
      </c>
      <c r="E1111" t="s">
        <v>52</v>
      </c>
      <c r="F1111" t="s">
        <v>26</v>
      </c>
      <c r="G1111" t="s">
        <v>856</v>
      </c>
      <c r="H1111" t="s">
        <v>1638</v>
      </c>
      <c r="I1111" t="s">
        <v>93</v>
      </c>
      <c r="J1111" t="s">
        <v>44</v>
      </c>
      <c r="K1111">
        <v>1</v>
      </c>
      <c r="L1111">
        <v>69436</v>
      </c>
      <c r="M1111">
        <v>10</v>
      </c>
      <c r="N1111" t="s">
        <v>56</v>
      </c>
      <c r="O1111" t="s">
        <v>57</v>
      </c>
      <c r="P1111" t="s">
        <v>58</v>
      </c>
      <c r="Q1111" t="s">
        <v>821</v>
      </c>
      <c r="R1111" t="s">
        <v>3233</v>
      </c>
      <c r="S1111">
        <v>2</v>
      </c>
      <c r="T1111" t="s">
        <v>72</v>
      </c>
      <c r="U1111">
        <v>149</v>
      </c>
      <c r="V1111" t="s">
        <v>79</v>
      </c>
    </row>
    <row r="1112" spans="1:22" x14ac:dyDescent="0.3">
      <c r="A1112" t="s">
        <v>3234</v>
      </c>
      <c r="B1112" t="s">
        <v>125</v>
      </c>
      <c r="C1112">
        <v>20</v>
      </c>
      <c r="D1112" t="s">
        <v>51</v>
      </c>
      <c r="E1112" t="s">
        <v>131</v>
      </c>
      <c r="F1112" t="s">
        <v>65</v>
      </c>
      <c r="G1112" t="s">
        <v>2823</v>
      </c>
      <c r="H1112" t="s">
        <v>158</v>
      </c>
      <c r="I1112" t="s">
        <v>77</v>
      </c>
      <c r="J1112" t="s">
        <v>30</v>
      </c>
      <c r="K1112">
        <v>1</v>
      </c>
      <c r="L1112">
        <v>57399</v>
      </c>
      <c r="M1112">
        <v>0</v>
      </c>
      <c r="N1112" t="s">
        <v>56</v>
      </c>
      <c r="O1112" t="s">
        <v>57</v>
      </c>
      <c r="P1112" t="s">
        <v>33</v>
      </c>
      <c r="Q1112" t="s">
        <v>756</v>
      </c>
      <c r="R1112" t="s">
        <v>3235</v>
      </c>
      <c r="S1112">
        <v>5</v>
      </c>
      <c r="T1112" t="s">
        <v>61</v>
      </c>
      <c r="U1112">
        <v>124</v>
      </c>
      <c r="V1112" t="s">
        <v>62</v>
      </c>
    </row>
    <row r="1113" spans="1:22" x14ac:dyDescent="0.3">
      <c r="A1113" t="s">
        <v>3236</v>
      </c>
      <c r="B1113" t="s">
        <v>74</v>
      </c>
      <c r="C1113">
        <v>45</v>
      </c>
      <c r="D1113" t="s">
        <v>183</v>
      </c>
      <c r="E1113" t="s">
        <v>25</v>
      </c>
      <c r="F1113" t="s">
        <v>82</v>
      </c>
      <c r="G1113" t="s">
        <v>3145</v>
      </c>
      <c r="H1113" t="s">
        <v>999</v>
      </c>
      <c r="I1113" t="s">
        <v>43</v>
      </c>
      <c r="J1113" t="s">
        <v>44</v>
      </c>
      <c r="K1113">
        <v>3</v>
      </c>
      <c r="L1113">
        <v>18216</v>
      </c>
      <c r="M1113">
        <v>15</v>
      </c>
      <c r="N1113" t="s">
        <v>45</v>
      </c>
      <c r="O1113" t="s">
        <v>46</v>
      </c>
      <c r="P1113" t="s">
        <v>33</v>
      </c>
      <c r="R1113" t="s">
        <v>3237</v>
      </c>
      <c r="S1113">
        <v>5</v>
      </c>
      <c r="T1113" t="s">
        <v>61</v>
      </c>
      <c r="U1113">
        <v>331</v>
      </c>
      <c r="V1113" t="s">
        <v>79</v>
      </c>
    </row>
    <row r="1114" spans="1:22" x14ac:dyDescent="0.3">
      <c r="A1114" t="s">
        <v>3238</v>
      </c>
      <c r="B1114" t="s">
        <v>3239</v>
      </c>
      <c r="C1114">
        <v>56</v>
      </c>
      <c r="D1114" t="s">
        <v>51</v>
      </c>
      <c r="E1114" t="s">
        <v>26</v>
      </c>
      <c r="F1114" t="s">
        <v>91</v>
      </c>
      <c r="G1114" t="s">
        <v>1659</v>
      </c>
      <c r="H1114" t="s">
        <v>1166</v>
      </c>
      <c r="I1114" t="s">
        <v>43</v>
      </c>
      <c r="J1114" t="s">
        <v>44</v>
      </c>
      <c r="K1114">
        <v>5</v>
      </c>
      <c r="L1114">
        <v>20946</v>
      </c>
      <c r="M1114">
        <v>5</v>
      </c>
      <c r="N1114" t="s">
        <v>166</v>
      </c>
      <c r="O1114" t="s">
        <v>173</v>
      </c>
      <c r="P1114" t="s">
        <v>69</v>
      </c>
      <c r="R1114" t="s">
        <v>3240</v>
      </c>
      <c r="S1114">
        <v>4</v>
      </c>
      <c r="T1114" t="s">
        <v>61</v>
      </c>
      <c r="U1114">
        <v>374</v>
      </c>
      <c r="V1114" t="s">
        <v>37</v>
      </c>
    </row>
    <row r="1115" spans="1:22" x14ac:dyDescent="0.3">
      <c r="A1115" t="s">
        <v>3241</v>
      </c>
      <c r="B1115" t="s">
        <v>23</v>
      </c>
      <c r="C1115">
        <v>25</v>
      </c>
      <c r="D1115" t="s">
        <v>163</v>
      </c>
      <c r="E1115" t="s">
        <v>131</v>
      </c>
      <c r="F1115" t="s">
        <v>91</v>
      </c>
      <c r="G1115" t="s">
        <v>841</v>
      </c>
      <c r="H1115" t="s">
        <v>1240</v>
      </c>
      <c r="I1115" t="s">
        <v>108</v>
      </c>
      <c r="J1115" t="s">
        <v>44</v>
      </c>
      <c r="K1115">
        <v>2</v>
      </c>
      <c r="L1115">
        <v>17001</v>
      </c>
      <c r="M1115">
        <v>0</v>
      </c>
      <c r="N1115" t="s">
        <v>45</v>
      </c>
      <c r="O1115" t="s">
        <v>57</v>
      </c>
      <c r="P1115" t="s">
        <v>174</v>
      </c>
      <c r="Q1115" t="s">
        <v>34</v>
      </c>
      <c r="R1115" t="s">
        <v>3242</v>
      </c>
      <c r="S1115">
        <v>3</v>
      </c>
      <c r="T1115" t="s">
        <v>96</v>
      </c>
      <c r="U1115">
        <v>112</v>
      </c>
      <c r="V1115" t="s">
        <v>79</v>
      </c>
    </row>
    <row r="1116" spans="1:22" x14ac:dyDescent="0.3">
      <c r="A1116" t="s">
        <v>3243</v>
      </c>
      <c r="B1116" t="s">
        <v>293</v>
      </c>
      <c r="C1116">
        <v>45</v>
      </c>
      <c r="D1116" t="s">
        <v>51</v>
      </c>
      <c r="E1116" t="s">
        <v>26</v>
      </c>
      <c r="F1116" t="s">
        <v>65</v>
      </c>
      <c r="G1116" t="s">
        <v>55</v>
      </c>
      <c r="H1116" t="s">
        <v>523</v>
      </c>
      <c r="I1116" t="s">
        <v>85</v>
      </c>
      <c r="J1116" t="s">
        <v>30</v>
      </c>
      <c r="K1116">
        <v>1</v>
      </c>
      <c r="L1116">
        <v>12002</v>
      </c>
      <c r="M1116">
        <v>0</v>
      </c>
      <c r="N1116" t="s">
        <v>45</v>
      </c>
      <c r="O1116" t="s">
        <v>281</v>
      </c>
      <c r="P1116" t="s">
        <v>58</v>
      </c>
      <c r="Q1116" t="s">
        <v>1231</v>
      </c>
      <c r="R1116" t="s">
        <v>3244</v>
      </c>
      <c r="S1116">
        <v>4</v>
      </c>
      <c r="T1116" t="s">
        <v>36</v>
      </c>
      <c r="U1116">
        <v>289</v>
      </c>
      <c r="V1116" t="s">
        <v>79</v>
      </c>
    </row>
    <row r="1117" spans="1:22" x14ac:dyDescent="0.3">
      <c r="A1117" t="s">
        <v>3245</v>
      </c>
      <c r="B1117" t="s">
        <v>182</v>
      </c>
      <c r="C1117">
        <v>26</v>
      </c>
      <c r="D1117" t="s">
        <v>24</v>
      </c>
      <c r="E1117" t="s">
        <v>131</v>
      </c>
      <c r="F1117" t="s">
        <v>65</v>
      </c>
      <c r="G1117" t="s">
        <v>1284</v>
      </c>
      <c r="H1117" t="s">
        <v>2376</v>
      </c>
      <c r="I1117" t="s">
        <v>85</v>
      </c>
      <c r="J1117" t="s">
        <v>44</v>
      </c>
      <c r="K1117">
        <v>2</v>
      </c>
      <c r="L1117">
        <v>24616</v>
      </c>
      <c r="M1117">
        <v>0</v>
      </c>
      <c r="N1117" t="s">
        <v>56</v>
      </c>
      <c r="O1117" t="s">
        <v>102</v>
      </c>
      <c r="P1117" t="s">
        <v>69</v>
      </c>
      <c r="Q1117" t="s">
        <v>186</v>
      </c>
      <c r="R1117" t="s">
        <v>3246</v>
      </c>
      <c r="S1117">
        <v>3</v>
      </c>
      <c r="T1117" t="s">
        <v>96</v>
      </c>
      <c r="U1117">
        <v>257</v>
      </c>
      <c r="V1117" t="s">
        <v>62</v>
      </c>
    </row>
    <row r="1118" spans="1:22" x14ac:dyDescent="0.3">
      <c r="A1118" t="s">
        <v>3247</v>
      </c>
      <c r="B1118" t="s">
        <v>249</v>
      </c>
      <c r="C1118">
        <v>48</v>
      </c>
      <c r="D1118" t="s">
        <v>24</v>
      </c>
      <c r="E1118" t="s">
        <v>142</v>
      </c>
      <c r="F1118" t="s">
        <v>82</v>
      </c>
      <c r="G1118" t="s">
        <v>412</v>
      </c>
      <c r="H1118" t="s">
        <v>1714</v>
      </c>
      <c r="I1118" t="s">
        <v>29</v>
      </c>
      <c r="J1118" t="s">
        <v>44</v>
      </c>
      <c r="L1118">
        <v>35826</v>
      </c>
      <c r="M1118">
        <v>15</v>
      </c>
      <c r="N1118" t="s">
        <v>166</v>
      </c>
      <c r="O1118" t="s">
        <v>102</v>
      </c>
      <c r="P1118" t="s">
        <v>69</v>
      </c>
      <c r="Q1118" t="s">
        <v>252</v>
      </c>
      <c r="S1118">
        <v>1</v>
      </c>
      <c r="T1118" t="s">
        <v>61</v>
      </c>
      <c r="U1118">
        <v>232</v>
      </c>
      <c r="V1118" t="s">
        <v>62</v>
      </c>
    </row>
    <row r="1119" spans="1:22" x14ac:dyDescent="0.3">
      <c r="A1119" t="s">
        <v>3248</v>
      </c>
      <c r="B1119" t="s">
        <v>327</v>
      </c>
      <c r="C1119">
        <v>47</v>
      </c>
      <c r="D1119" t="s">
        <v>51</v>
      </c>
      <c r="E1119" t="s">
        <v>25</v>
      </c>
      <c r="F1119" t="s">
        <v>65</v>
      </c>
      <c r="G1119" t="s">
        <v>1635</v>
      </c>
      <c r="H1119" t="s">
        <v>368</v>
      </c>
      <c r="I1119" t="s">
        <v>108</v>
      </c>
      <c r="J1119" t="s">
        <v>44</v>
      </c>
      <c r="K1119">
        <v>5</v>
      </c>
      <c r="L1119">
        <v>25619</v>
      </c>
      <c r="M1119">
        <v>0</v>
      </c>
      <c r="N1119" t="s">
        <v>56</v>
      </c>
      <c r="O1119" t="s">
        <v>102</v>
      </c>
      <c r="P1119" t="s">
        <v>69</v>
      </c>
      <c r="Q1119" t="s">
        <v>330</v>
      </c>
      <c r="R1119" t="s">
        <v>3249</v>
      </c>
      <c r="S1119">
        <v>2</v>
      </c>
      <c r="T1119" t="s">
        <v>36</v>
      </c>
      <c r="U1119">
        <v>250</v>
      </c>
      <c r="V1119" t="s">
        <v>79</v>
      </c>
    </row>
    <row r="1120" spans="1:22" x14ac:dyDescent="0.3">
      <c r="A1120" t="s">
        <v>3250</v>
      </c>
      <c r="B1120" t="s">
        <v>209</v>
      </c>
      <c r="C1120">
        <v>54</v>
      </c>
      <c r="D1120" t="s">
        <v>51</v>
      </c>
      <c r="E1120" t="s">
        <v>99</v>
      </c>
      <c r="F1120" t="s">
        <v>82</v>
      </c>
      <c r="G1120" t="s">
        <v>999</v>
      </c>
      <c r="H1120" t="s">
        <v>158</v>
      </c>
      <c r="I1120" t="s">
        <v>93</v>
      </c>
      <c r="J1120" t="s">
        <v>30</v>
      </c>
      <c r="L1120">
        <v>32794</v>
      </c>
      <c r="M1120">
        <v>5</v>
      </c>
      <c r="N1120" t="s">
        <v>56</v>
      </c>
      <c r="O1120" t="s">
        <v>109</v>
      </c>
      <c r="P1120" t="s">
        <v>69</v>
      </c>
      <c r="Q1120" t="s">
        <v>1001</v>
      </c>
      <c r="R1120" t="s">
        <v>3251</v>
      </c>
      <c r="S1120">
        <v>2</v>
      </c>
      <c r="T1120" t="s">
        <v>96</v>
      </c>
      <c r="U1120">
        <v>387</v>
      </c>
      <c r="V1120" t="s">
        <v>62</v>
      </c>
    </row>
    <row r="1121" spans="1:22" x14ac:dyDescent="0.3">
      <c r="A1121" t="s">
        <v>3252</v>
      </c>
      <c r="B1121" t="s">
        <v>819</v>
      </c>
      <c r="C1121">
        <v>23</v>
      </c>
      <c r="D1121" t="s">
        <v>163</v>
      </c>
      <c r="E1121" t="s">
        <v>26</v>
      </c>
      <c r="F1121" t="s">
        <v>91</v>
      </c>
      <c r="G1121" t="s">
        <v>1332</v>
      </c>
      <c r="H1121" t="s">
        <v>1187</v>
      </c>
      <c r="I1121" t="s">
        <v>93</v>
      </c>
      <c r="J1121" t="s">
        <v>44</v>
      </c>
      <c r="K1121">
        <v>4</v>
      </c>
      <c r="L1121">
        <v>37549</v>
      </c>
      <c r="M1121">
        <v>0</v>
      </c>
      <c r="N1121" t="s">
        <v>31</v>
      </c>
      <c r="O1121" t="s">
        <v>68</v>
      </c>
      <c r="P1121" t="s">
        <v>174</v>
      </c>
      <c r="Q1121" t="s">
        <v>821</v>
      </c>
      <c r="R1121" t="s">
        <v>3253</v>
      </c>
      <c r="S1121">
        <v>1</v>
      </c>
      <c r="T1121" t="s">
        <v>36</v>
      </c>
      <c r="U1121">
        <v>82</v>
      </c>
      <c r="V1121" t="s">
        <v>62</v>
      </c>
    </row>
    <row r="1122" spans="1:22" x14ac:dyDescent="0.3">
      <c r="A1122" t="s">
        <v>3254</v>
      </c>
      <c r="B1122" t="s">
        <v>933</v>
      </c>
      <c r="C1122">
        <v>49</v>
      </c>
      <c r="D1122" t="s">
        <v>51</v>
      </c>
      <c r="E1122" t="s">
        <v>99</v>
      </c>
      <c r="F1122" t="s">
        <v>53</v>
      </c>
      <c r="G1122" t="s">
        <v>947</v>
      </c>
      <c r="H1122" t="s">
        <v>2090</v>
      </c>
      <c r="I1122" t="s">
        <v>77</v>
      </c>
      <c r="J1122" t="s">
        <v>44</v>
      </c>
      <c r="K1122">
        <v>1</v>
      </c>
      <c r="L1122">
        <v>30515</v>
      </c>
      <c r="M1122">
        <v>0</v>
      </c>
      <c r="N1122" t="s">
        <v>45</v>
      </c>
      <c r="O1122" t="s">
        <v>86</v>
      </c>
      <c r="P1122" t="s">
        <v>174</v>
      </c>
      <c r="Q1122" t="s">
        <v>935</v>
      </c>
      <c r="R1122" t="s">
        <v>3255</v>
      </c>
      <c r="S1122">
        <v>3</v>
      </c>
      <c r="T1122" t="s">
        <v>61</v>
      </c>
      <c r="U1122">
        <v>161</v>
      </c>
      <c r="V1122" t="s">
        <v>37</v>
      </c>
    </row>
    <row r="1123" spans="1:22" x14ac:dyDescent="0.3">
      <c r="A1123" t="s">
        <v>3256</v>
      </c>
      <c r="B1123" t="s">
        <v>1861</v>
      </c>
      <c r="C1123">
        <v>56</v>
      </c>
      <c r="D1123" t="s">
        <v>51</v>
      </c>
      <c r="E1123" t="s">
        <v>142</v>
      </c>
      <c r="F1123" t="s">
        <v>26</v>
      </c>
      <c r="G1123" t="s">
        <v>681</v>
      </c>
      <c r="H1123" t="s">
        <v>2658</v>
      </c>
      <c r="I1123" t="s">
        <v>85</v>
      </c>
      <c r="J1123" t="s">
        <v>30</v>
      </c>
      <c r="K1123">
        <v>3</v>
      </c>
      <c r="L1123">
        <v>18114</v>
      </c>
      <c r="M1123">
        <v>0</v>
      </c>
      <c r="N1123" t="s">
        <v>166</v>
      </c>
      <c r="O1123" t="s">
        <v>133</v>
      </c>
      <c r="P1123" t="s">
        <v>58</v>
      </c>
      <c r="Q1123" t="s">
        <v>364</v>
      </c>
      <c r="R1123" t="s">
        <v>3257</v>
      </c>
      <c r="S1123">
        <v>4</v>
      </c>
      <c r="T1123" t="s">
        <v>61</v>
      </c>
      <c r="U1123">
        <v>275</v>
      </c>
      <c r="V1123" t="s">
        <v>79</v>
      </c>
    </row>
    <row r="1124" spans="1:22" x14ac:dyDescent="0.3">
      <c r="A1124" t="s">
        <v>3258</v>
      </c>
      <c r="B1124" t="s">
        <v>840</v>
      </c>
      <c r="C1124">
        <v>28</v>
      </c>
      <c r="D1124" t="s">
        <v>24</v>
      </c>
      <c r="E1124" t="s">
        <v>142</v>
      </c>
      <c r="F1124" t="s">
        <v>82</v>
      </c>
      <c r="G1124" t="s">
        <v>1804</v>
      </c>
      <c r="H1124" t="s">
        <v>279</v>
      </c>
      <c r="I1124" t="s">
        <v>77</v>
      </c>
      <c r="J1124" t="s">
        <v>30</v>
      </c>
      <c r="K1124">
        <v>1</v>
      </c>
      <c r="L1124">
        <v>68052</v>
      </c>
      <c r="M1124">
        <v>15</v>
      </c>
      <c r="N1124" t="s">
        <v>45</v>
      </c>
      <c r="O1124" t="s">
        <v>133</v>
      </c>
      <c r="P1124" t="s">
        <v>58</v>
      </c>
      <c r="Q1124" t="s">
        <v>1147</v>
      </c>
      <c r="R1124" t="s">
        <v>3259</v>
      </c>
      <c r="S1124">
        <v>4</v>
      </c>
      <c r="T1124" t="s">
        <v>61</v>
      </c>
      <c r="U1124">
        <v>150</v>
      </c>
      <c r="V1124" t="s">
        <v>37</v>
      </c>
    </row>
    <row r="1125" spans="1:22" x14ac:dyDescent="0.3">
      <c r="A1125" t="s">
        <v>3260</v>
      </c>
      <c r="B1125" t="s">
        <v>1837</v>
      </c>
      <c r="C1125">
        <v>22</v>
      </c>
      <c r="D1125" t="s">
        <v>24</v>
      </c>
      <c r="E1125" t="s">
        <v>142</v>
      </c>
      <c r="F1125" t="s">
        <v>82</v>
      </c>
      <c r="G1125" t="s">
        <v>901</v>
      </c>
      <c r="H1125" t="s">
        <v>2258</v>
      </c>
      <c r="I1125" t="s">
        <v>108</v>
      </c>
      <c r="J1125" t="s">
        <v>30</v>
      </c>
      <c r="K1125">
        <v>1</v>
      </c>
      <c r="L1125">
        <v>57773</v>
      </c>
      <c r="M1125">
        <v>0</v>
      </c>
      <c r="N1125" t="s">
        <v>31</v>
      </c>
      <c r="O1125" t="s">
        <v>57</v>
      </c>
      <c r="P1125" t="s">
        <v>33</v>
      </c>
      <c r="R1125" t="s">
        <v>3261</v>
      </c>
      <c r="S1125">
        <v>4</v>
      </c>
      <c r="T1125" t="s">
        <v>96</v>
      </c>
      <c r="U1125">
        <v>330</v>
      </c>
      <c r="V1125" t="s">
        <v>37</v>
      </c>
    </row>
    <row r="1126" spans="1:22" x14ac:dyDescent="0.3">
      <c r="A1126" t="s">
        <v>3262</v>
      </c>
      <c r="B1126" t="s">
        <v>424</v>
      </c>
      <c r="C1126">
        <v>42</v>
      </c>
      <c r="D1126" t="s">
        <v>163</v>
      </c>
      <c r="E1126" t="s">
        <v>229</v>
      </c>
      <c r="F1126" t="s">
        <v>65</v>
      </c>
      <c r="G1126" t="s">
        <v>1627</v>
      </c>
      <c r="H1126" t="s">
        <v>799</v>
      </c>
      <c r="I1126" t="s">
        <v>29</v>
      </c>
      <c r="J1126" t="s">
        <v>44</v>
      </c>
      <c r="K1126">
        <v>3</v>
      </c>
      <c r="L1126">
        <v>7216</v>
      </c>
      <c r="M1126">
        <v>15</v>
      </c>
      <c r="N1126" t="s">
        <v>166</v>
      </c>
      <c r="O1126" t="s">
        <v>68</v>
      </c>
      <c r="P1126" t="s">
        <v>58</v>
      </c>
      <c r="Q1126" t="s">
        <v>427</v>
      </c>
      <c r="R1126" t="s">
        <v>3263</v>
      </c>
      <c r="S1126">
        <v>1</v>
      </c>
      <c r="T1126" t="s">
        <v>72</v>
      </c>
      <c r="U1126">
        <v>299</v>
      </c>
      <c r="V1126" t="s">
        <v>62</v>
      </c>
    </row>
    <row r="1127" spans="1:22" x14ac:dyDescent="0.3">
      <c r="A1127" t="s">
        <v>3264</v>
      </c>
      <c r="B1127" t="s">
        <v>1340</v>
      </c>
      <c r="C1127">
        <v>28</v>
      </c>
      <c r="D1127" t="s">
        <v>24</v>
      </c>
      <c r="E1127" t="s">
        <v>26</v>
      </c>
      <c r="F1127" t="s">
        <v>26</v>
      </c>
      <c r="G1127" t="s">
        <v>217</v>
      </c>
      <c r="H1127" t="s">
        <v>810</v>
      </c>
      <c r="I1127" t="s">
        <v>108</v>
      </c>
      <c r="J1127" t="s">
        <v>30</v>
      </c>
      <c r="K1127">
        <v>2</v>
      </c>
      <c r="L1127">
        <v>28096</v>
      </c>
      <c r="M1127">
        <v>15</v>
      </c>
      <c r="N1127" t="s">
        <v>45</v>
      </c>
      <c r="O1127" t="s">
        <v>173</v>
      </c>
      <c r="P1127" t="s">
        <v>33</v>
      </c>
      <c r="R1127" t="s">
        <v>3265</v>
      </c>
      <c r="S1127">
        <v>3</v>
      </c>
      <c r="T1127" t="s">
        <v>36</v>
      </c>
      <c r="U1127">
        <v>373</v>
      </c>
      <c r="V1127" t="s">
        <v>62</v>
      </c>
    </row>
    <row r="1128" spans="1:22" x14ac:dyDescent="0.3">
      <c r="A1128" t="s">
        <v>3266</v>
      </c>
      <c r="B1128" t="s">
        <v>471</v>
      </c>
      <c r="C1128">
        <v>43</v>
      </c>
      <c r="D1128" t="s">
        <v>24</v>
      </c>
      <c r="E1128" t="s">
        <v>99</v>
      </c>
      <c r="F1128" t="s">
        <v>65</v>
      </c>
      <c r="G1128" t="s">
        <v>751</v>
      </c>
      <c r="H1128" t="s">
        <v>1221</v>
      </c>
      <c r="I1128" t="s">
        <v>108</v>
      </c>
      <c r="J1128" t="s">
        <v>30</v>
      </c>
      <c r="K1128">
        <v>3</v>
      </c>
      <c r="L1128">
        <v>63355</v>
      </c>
      <c r="M1128">
        <v>15</v>
      </c>
      <c r="N1128" t="s">
        <v>56</v>
      </c>
      <c r="O1128" t="s">
        <v>32</v>
      </c>
      <c r="P1128" t="s">
        <v>174</v>
      </c>
      <c r="Q1128" t="s">
        <v>495</v>
      </c>
      <c r="R1128" t="s">
        <v>3267</v>
      </c>
      <c r="S1128">
        <v>1</v>
      </c>
      <c r="T1128" t="s">
        <v>72</v>
      </c>
      <c r="U1128">
        <v>456</v>
      </c>
      <c r="V1128" t="s">
        <v>79</v>
      </c>
    </row>
    <row r="1129" spans="1:22" x14ac:dyDescent="0.3">
      <c r="A1129" t="s">
        <v>3268</v>
      </c>
      <c r="B1129" t="s">
        <v>850</v>
      </c>
      <c r="C1129">
        <v>19</v>
      </c>
      <c r="D1129" t="s">
        <v>24</v>
      </c>
      <c r="E1129" t="s">
        <v>131</v>
      </c>
      <c r="F1129" t="s">
        <v>26</v>
      </c>
      <c r="G1129" t="s">
        <v>1376</v>
      </c>
      <c r="H1129" t="s">
        <v>1548</v>
      </c>
      <c r="I1129" t="s">
        <v>43</v>
      </c>
      <c r="J1129" t="s">
        <v>30</v>
      </c>
      <c r="K1129">
        <v>3</v>
      </c>
      <c r="L1129">
        <v>77520</v>
      </c>
      <c r="M1129">
        <v>10</v>
      </c>
      <c r="N1129" t="s">
        <v>166</v>
      </c>
      <c r="O1129" t="s">
        <v>173</v>
      </c>
      <c r="P1129" t="s">
        <v>33</v>
      </c>
      <c r="Q1129" t="s">
        <v>258</v>
      </c>
      <c r="R1129" t="s">
        <v>3269</v>
      </c>
      <c r="S1129">
        <v>1</v>
      </c>
      <c r="T1129" t="s">
        <v>61</v>
      </c>
      <c r="U1129">
        <v>155</v>
      </c>
      <c r="V1129" t="s">
        <v>79</v>
      </c>
    </row>
    <row r="1130" spans="1:22" x14ac:dyDescent="0.3">
      <c r="A1130" t="s">
        <v>3270</v>
      </c>
      <c r="B1130" t="s">
        <v>243</v>
      </c>
      <c r="C1130">
        <v>40</v>
      </c>
      <c r="D1130" t="s">
        <v>24</v>
      </c>
      <c r="E1130" t="s">
        <v>131</v>
      </c>
      <c r="F1130" t="s">
        <v>82</v>
      </c>
      <c r="G1130" t="s">
        <v>2239</v>
      </c>
      <c r="H1130" t="s">
        <v>3271</v>
      </c>
      <c r="I1130" t="s">
        <v>93</v>
      </c>
      <c r="J1130" t="s">
        <v>44</v>
      </c>
      <c r="K1130">
        <v>5</v>
      </c>
      <c r="L1130">
        <v>79436</v>
      </c>
      <c r="M1130">
        <v>0</v>
      </c>
      <c r="N1130" t="s">
        <v>56</v>
      </c>
      <c r="O1130" t="s">
        <v>109</v>
      </c>
      <c r="P1130" t="s">
        <v>174</v>
      </c>
      <c r="R1130" t="s">
        <v>3272</v>
      </c>
      <c r="S1130">
        <v>5</v>
      </c>
      <c r="T1130" t="s">
        <v>96</v>
      </c>
      <c r="U1130">
        <v>194</v>
      </c>
      <c r="V1130" t="s">
        <v>62</v>
      </c>
    </row>
    <row r="1131" spans="1:22" x14ac:dyDescent="0.3">
      <c r="A1131" t="s">
        <v>3273</v>
      </c>
      <c r="B1131" t="s">
        <v>461</v>
      </c>
      <c r="C1131">
        <v>39</v>
      </c>
      <c r="D1131" t="s">
        <v>163</v>
      </c>
      <c r="E1131" t="s">
        <v>131</v>
      </c>
      <c r="F1131" t="s">
        <v>26</v>
      </c>
      <c r="G1131" t="s">
        <v>3274</v>
      </c>
      <c r="H1131" t="s">
        <v>829</v>
      </c>
      <c r="I1131" t="s">
        <v>108</v>
      </c>
      <c r="J1131" t="s">
        <v>44</v>
      </c>
      <c r="K1131">
        <v>2</v>
      </c>
      <c r="L1131">
        <v>21719</v>
      </c>
      <c r="M1131">
        <v>10</v>
      </c>
      <c r="N1131" t="s">
        <v>45</v>
      </c>
      <c r="O1131" t="s">
        <v>109</v>
      </c>
      <c r="P1131" t="s">
        <v>174</v>
      </c>
      <c r="Q1131" t="s">
        <v>563</v>
      </c>
      <c r="R1131" t="s">
        <v>3275</v>
      </c>
      <c r="S1131">
        <v>1</v>
      </c>
      <c r="T1131" t="s">
        <v>72</v>
      </c>
      <c r="U1131">
        <v>487</v>
      </c>
      <c r="V1131" t="s">
        <v>37</v>
      </c>
    </row>
    <row r="1132" spans="1:22" x14ac:dyDescent="0.3">
      <c r="A1132" t="s">
        <v>3276</v>
      </c>
      <c r="B1132" t="s">
        <v>527</v>
      </c>
      <c r="C1132">
        <v>29</v>
      </c>
      <c r="D1132" t="s">
        <v>24</v>
      </c>
      <c r="E1132" t="s">
        <v>52</v>
      </c>
      <c r="F1132" t="s">
        <v>53</v>
      </c>
      <c r="G1132" t="s">
        <v>1294</v>
      </c>
      <c r="H1132" t="s">
        <v>680</v>
      </c>
      <c r="I1132" t="s">
        <v>77</v>
      </c>
      <c r="J1132" t="s">
        <v>30</v>
      </c>
      <c r="K1132">
        <v>5</v>
      </c>
      <c r="L1132">
        <v>19400</v>
      </c>
      <c r="M1132">
        <v>0</v>
      </c>
      <c r="N1132" t="s">
        <v>166</v>
      </c>
      <c r="O1132" t="s">
        <v>133</v>
      </c>
      <c r="P1132" t="s">
        <v>58</v>
      </c>
      <c r="Q1132" t="s">
        <v>530</v>
      </c>
      <c r="R1132" t="s">
        <v>3277</v>
      </c>
      <c r="S1132">
        <v>4</v>
      </c>
      <c r="T1132" t="s">
        <v>36</v>
      </c>
      <c r="U1132">
        <v>66</v>
      </c>
      <c r="V1132" t="s">
        <v>62</v>
      </c>
    </row>
    <row r="1133" spans="1:22" x14ac:dyDescent="0.3">
      <c r="A1133" t="s">
        <v>3278</v>
      </c>
      <c r="B1133" t="s">
        <v>617</v>
      </c>
      <c r="C1133">
        <v>42</v>
      </c>
      <c r="D1133" t="s">
        <v>51</v>
      </c>
      <c r="E1133" t="s">
        <v>142</v>
      </c>
      <c r="F1133" t="s">
        <v>91</v>
      </c>
      <c r="G1133" t="s">
        <v>3279</v>
      </c>
      <c r="H1133" t="s">
        <v>1182</v>
      </c>
      <c r="I1133" t="s">
        <v>77</v>
      </c>
      <c r="J1133" t="s">
        <v>44</v>
      </c>
      <c r="K1133">
        <v>2</v>
      </c>
      <c r="L1133">
        <v>47459</v>
      </c>
      <c r="M1133">
        <v>0</v>
      </c>
      <c r="N1133" t="s">
        <v>56</v>
      </c>
      <c r="O1133" t="s">
        <v>57</v>
      </c>
      <c r="P1133" t="s">
        <v>69</v>
      </c>
      <c r="R1133" t="s">
        <v>3280</v>
      </c>
      <c r="S1133">
        <v>4</v>
      </c>
      <c r="T1133" t="s">
        <v>61</v>
      </c>
      <c r="U1133">
        <v>50</v>
      </c>
      <c r="V1133" t="s">
        <v>62</v>
      </c>
    </row>
    <row r="1134" spans="1:22" x14ac:dyDescent="0.3">
      <c r="A1134" t="s">
        <v>3281</v>
      </c>
      <c r="B1134" t="s">
        <v>249</v>
      </c>
      <c r="C1134">
        <v>60</v>
      </c>
      <c r="D1134" t="s">
        <v>51</v>
      </c>
      <c r="E1134" t="s">
        <v>25</v>
      </c>
      <c r="F1134" t="s">
        <v>91</v>
      </c>
      <c r="G1134" t="s">
        <v>1250</v>
      </c>
      <c r="H1134" t="s">
        <v>524</v>
      </c>
      <c r="I1134" t="s">
        <v>29</v>
      </c>
      <c r="J1134" t="s">
        <v>30</v>
      </c>
      <c r="K1134">
        <v>5</v>
      </c>
      <c r="L1134">
        <v>49400</v>
      </c>
      <c r="M1134">
        <v>5</v>
      </c>
      <c r="N1134" t="s">
        <v>166</v>
      </c>
      <c r="O1134" t="s">
        <v>281</v>
      </c>
      <c r="P1134" t="s">
        <v>58</v>
      </c>
      <c r="Q1134" t="s">
        <v>252</v>
      </c>
      <c r="R1134" t="s">
        <v>3282</v>
      </c>
      <c r="S1134">
        <v>4</v>
      </c>
      <c r="T1134" t="s">
        <v>61</v>
      </c>
      <c r="U1134">
        <v>385</v>
      </c>
      <c r="V1134" t="s">
        <v>79</v>
      </c>
    </row>
    <row r="1135" spans="1:22" x14ac:dyDescent="0.3">
      <c r="A1135" t="s">
        <v>3283</v>
      </c>
      <c r="B1135" t="s">
        <v>411</v>
      </c>
      <c r="C1135">
        <v>34</v>
      </c>
      <c r="D1135" t="s">
        <v>51</v>
      </c>
      <c r="E1135" t="s">
        <v>229</v>
      </c>
      <c r="F1135" t="s">
        <v>82</v>
      </c>
      <c r="G1135" t="s">
        <v>1545</v>
      </c>
      <c r="H1135" t="s">
        <v>244</v>
      </c>
      <c r="I1135" t="s">
        <v>85</v>
      </c>
      <c r="J1135" t="s">
        <v>30</v>
      </c>
      <c r="K1135">
        <v>4</v>
      </c>
      <c r="L1135">
        <v>77331</v>
      </c>
      <c r="M1135">
        <v>15</v>
      </c>
      <c r="N1135" t="s">
        <v>166</v>
      </c>
      <c r="O1135" t="s">
        <v>32</v>
      </c>
      <c r="P1135" t="s">
        <v>174</v>
      </c>
      <c r="Q1135" t="s">
        <v>414</v>
      </c>
      <c r="R1135" t="s">
        <v>3284</v>
      </c>
      <c r="S1135">
        <v>4</v>
      </c>
      <c r="T1135" t="s">
        <v>72</v>
      </c>
      <c r="U1135">
        <v>464</v>
      </c>
      <c r="V1135" t="s">
        <v>62</v>
      </c>
    </row>
    <row r="1136" spans="1:22" x14ac:dyDescent="0.3">
      <c r="A1136" t="s">
        <v>3285</v>
      </c>
      <c r="B1136" t="s">
        <v>156</v>
      </c>
      <c r="C1136">
        <v>31</v>
      </c>
      <c r="D1136" t="s">
        <v>24</v>
      </c>
      <c r="E1136" t="s">
        <v>40</v>
      </c>
      <c r="F1136" t="s">
        <v>65</v>
      </c>
      <c r="G1136" t="s">
        <v>764</v>
      </c>
      <c r="H1136" t="s">
        <v>2569</v>
      </c>
      <c r="I1136" t="s">
        <v>108</v>
      </c>
      <c r="J1136" t="s">
        <v>44</v>
      </c>
      <c r="K1136">
        <v>5</v>
      </c>
      <c r="L1136">
        <v>60306</v>
      </c>
      <c r="M1136">
        <v>15</v>
      </c>
      <c r="N1136" t="s">
        <v>45</v>
      </c>
      <c r="O1136" t="s">
        <v>281</v>
      </c>
      <c r="P1136" t="s">
        <v>174</v>
      </c>
      <c r="Q1136" t="s">
        <v>159</v>
      </c>
      <c r="R1136" t="s">
        <v>3286</v>
      </c>
      <c r="S1136">
        <v>4</v>
      </c>
      <c r="T1136" t="s">
        <v>96</v>
      </c>
      <c r="U1136">
        <v>327</v>
      </c>
      <c r="V1136" t="s">
        <v>37</v>
      </c>
    </row>
    <row r="1137" spans="1:22" x14ac:dyDescent="0.3">
      <c r="A1137" t="s">
        <v>3287</v>
      </c>
      <c r="B1137" t="s">
        <v>650</v>
      </c>
      <c r="C1137">
        <v>19</v>
      </c>
      <c r="D1137" t="s">
        <v>51</v>
      </c>
      <c r="E1137" t="s">
        <v>99</v>
      </c>
      <c r="F1137" t="s">
        <v>91</v>
      </c>
      <c r="G1137" t="s">
        <v>2805</v>
      </c>
      <c r="H1137" t="s">
        <v>1916</v>
      </c>
      <c r="I1137" t="s">
        <v>108</v>
      </c>
      <c r="J1137" t="s">
        <v>30</v>
      </c>
      <c r="K1137">
        <v>5</v>
      </c>
      <c r="L1137">
        <v>5811</v>
      </c>
      <c r="M1137">
        <v>10</v>
      </c>
      <c r="N1137" t="s">
        <v>166</v>
      </c>
      <c r="O1137" t="s">
        <v>86</v>
      </c>
      <c r="P1137" t="s">
        <v>69</v>
      </c>
      <c r="Q1137" t="s">
        <v>653</v>
      </c>
      <c r="R1137" t="s">
        <v>3288</v>
      </c>
      <c r="S1137">
        <v>3</v>
      </c>
      <c r="T1137" t="s">
        <v>96</v>
      </c>
      <c r="U1137">
        <v>275</v>
      </c>
      <c r="V1137" t="s">
        <v>62</v>
      </c>
    </row>
    <row r="1138" spans="1:22" x14ac:dyDescent="0.3">
      <c r="A1138" t="s">
        <v>3289</v>
      </c>
      <c r="B1138" t="s">
        <v>601</v>
      </c>
      <c r="C1138">
        <v>28</v>
      </c>
      <c r="D1138" t="s">
        <v>51</v>
      </c>
      <c r="E1138" t="s">
        <v>25</v>
      </c>
      <c r="F1138" t="s">
        <v>65</v>
      </c>
      <c r="G1138" t="s">
        <v>200</v>
      </c>
      <c r="H1138" t="s">
        <v>2353</v>
      </c>
      <c r="I1138" t="s">
        <v>43</v>
      </c>
      <c r="J1138" t="s">
        <v>30</v>
      </c>
      <c r="K1138">
        <v>3</v>
      </c>
      <c r="L1138">
        <v>28177</v>
      </c>
      <c r="M1138">
        <v>15</v>
      </c>
      <c r="N1138" t="s">
        <v>45</v>
      </c>
      <c r="O1138" t="s">
        <v>173</v>
      </c>
      <c r="P1138" t="s">
        <v>33</v>
      </c>
      <c r="Q1138" t="s">
        <v>603</v>
      </c>
      <c r="R1138" t="s">
        <v>3290</v>
      </c>
      <c r="S1138">
        <v>4</v>
      </c>
      <c r="T1138" t="s">
        <v>72</v>
      </c>
      <c r="U1138">
        <v>54</v>
      </c>
      <c r="V1138" t="s">
        <v>62</v>
      </c>
    </row>
    <row r="1139" spans="1:22" x14ac:dyDescent="0.3">
      <c r="A1139" t="s">
        <v>3291</v>
      </c>
      <c r="B1139" t="s">
        <v>601</v>
      </c>
      <c r="C1139">
        <v>43</v>
      </c>
      <c r="D1139" t="s">
        <v>51</v>
      </c>
      <c r="E1139" t="s">
        <v>25</v>
      </c>
      <c r="F1139" t="s">
        <v>65</v>
      </c>
      <c r="G1139" t="s">
        <v>1523</v>
      </c>
      <c r="H1139" t="s">
        <v>576</v>
      </c>
      <c r="I1139" t="s">
        <v>29</v>
      </c>
      <c r="J1139" t="s">
        <v>44</v>
      </c>
      <c r="K1139">
        <v>5</v>
      </c>
      <c r="L1139">
        <v>70690</v>
      </c>
      <c r="M1139">
        <v>5</v>
      </c>
      <c r="N1139" t="s">
        <v>56</v>
      </c>
      <c r="O1139" t="s">
        <v>281</v>
      </c>
      <c r="P1139" t="s">
        <v>174</v>
      </c>
      <c r="Q1139" t="s">
        <v>603</v>
      </c>
      <c r="R1139" t="s">
        <v>3292</v>
      </c>
      <c r="S1139">
        <v>1</v>
      </c>
      <c r="T1139" t="s">
        <v>96</v>
      </c>
      <c r="U1139">
        <v>139</v>
      </c>
      <c r="V1139" t="s">
        <v>79</v>
      </c>
    </row>
    <row r="1140" spans="1:22" x14ac:dyDescent="0.3">
      <c r="A1140" t="s">
        <v>3293</v>
      </c>
      <c r="B1140" t="s">
        <v>309</v>
      </c>
      <c r="C1140">
        <v>32</v>
      </c>
      <c r="D1140" t="s">
        <v>51</v>
      </c>
      <c r="E1140" t="s">
        <v>25</v>
      </c>
      <c r="F1140" t="s">
        <v>26</v>
      </c>
      <c r="G1140" t="s">
        <v>100</v>
      </c>
      <c r="H1140" t="s">
        <v>101</v>
      </c>
      <c r="I1140" t="s">
        <v>29</v>
      </c>
      <c r="J1140" t="s">
        <v>30</v>
      </c>
      <c r="K1140">
        <v>1</v>
      </c>
      <c r="L1140">
        <v>5827</v>
      </c>
      <c r="M1140">
        <v>0</v>
      </c>
      <c r="N1140" t="s">
        <v>56</v>
      </c>
      <c r="O1140" t="s">
        <v>86</v>
      </c>
      <c r="P1140" t="s">
        <v>174</v>
      </c>
      <c r="R1140" t="s">
        <v>3294</v>
      </c>
      <c r="S1140">
        <v>4</v>
      </c>
      <c r="T1140" t="s">
        <v>96</v>
      </c>
      <c r="U1140">
        <v>474</v>
      </c>
      <c r="V1140" t="s">
        <v>62</v>
      </c>
    </row>
    <row r="1141" spans="1:22" x14ac:dyDescent="0.3">
      <c r="A1141" t="s">
        <v>3295</v>
      </c>
      <c r="B1141" t="s">
        <v>471</v>
      </c>
      <c r="C1141">
        <v>26</v>
      </c>
      <c r="D1141" t="s">
        <v>24</v>
      </c>
      <c r="E1141" t="s">
        <v>52</v>
      </c>
      <c r="F1141" t="s">
        <v>65</v>
      </c>
      <c r="G1141" t="s">
        <v>1585</v>
      </c>
      <c r="H1141" t="s">
        <v>1151</v>
      </c>
      <c r="I1141" t="s">
        <v>43</v>
      </c>
      <c r="J1141" t="s">
        <v>30</v>
      </c>
      <c r="K1141">
        <v>4</v>
      </c>
      <c r="L1141">
        <v>31875</v>
      </c>
      <c r="M1141">
        <v>5</v>
      </c>
      <c r="N1141" t="s">
        <v>56</v>
      </c>
      <c r="O1141" t="s">
        <v>102</v>
      </c>
      <c r="P1141" t="s">
        <v>69</v>
      </c>
      <c r="Q1141" t="s">
        <v>495</v>
      </c>
      <c r="R1141" t="s">
        <v>3296</v>
      </c>
      <c r="S1141">
        <v>4</v>
      </c>
      <c r="T1141" t="s">
        <v>72</v>
      </c>
      <c r="U1141">
        <v>461</v>
      </c>
      <c r="V1141" t="s">
        <v>37</v>
      </c>
    </row>
    <row r="1142" spans="1:22" x14ac:dyDescent="0.3">
      <c r="A1142" t="s">
        <v>3297</v>
      </c>
      <c r="B1142" t="s">
        <v>1443</v>
      </c>
      <c r="C1142">
        <v>60</v>
      </c>
      <c r="D1142" t="s">
        <v>24</v>
      </c>
      <c r="E1142" t="s">
        <v>25</v>
      </c>
      <c r="F1142" t="s">
        <v>26</v>
      </c>
      <c r="G1142" t="s">
        <v>582</v>
      </c>
      <c r="H1142" t="s">
        <v>520</v>
      </c>
      <c r="I1142" t="s">
        <v>93</v>
      </c>
      <c r="J1142" t="s">
        <v>44</v>
      </c>
      <c r="K1142">
        <v>3</v>
      </c>
      <c r="L1142">
        <v>79059</v>
      </c>
      <c r="M1142">
        <v>10</v>
      </c>
      <c r="N1142" t="s">
        <v>166</v>
      </c>
      <c r="O1142" t="s">
        <v>173</v>
      </c>
      <c r="P1142" t="s">
        <v>69</v>
      </c>
      <c r="Q1142" t="s">
        <v>1444</v>
      </c>
      <c r="R1142" t="s">
        <v>3298</v>
      </c>
      <c r="S1142">
        <v>4</v>
      </c>
      <c r="T1142" t="s">
        <v>96</v>
      </c>
      <c r="U1142">
        <v>314</v>
      </c>
      <c r="V1142" t="s">
        <v>37</v>
      </c>
    </row>
    <row r="1143" spans="1:22" x14ac:dyDescent="0.3">
      <c r="A1143" t="s">
        <v>3299</v>
      </c>
      <c r="B1143" t="s">
        <v>660</v>
      </c>
      <c r="C1143">
        <v>51</v>
      </c>
      <c r="D1143" t="s">
        <v>24</v>
      </c>
      <c r="E1143" t="s">
        <v>26</v>
      </c>
      <c r="F1143" t="s">
        <v>26</v>
      </c>
      <c r="G1143" t="s">
        <v>1429</v>
      </c>
      <c r="H1143" t="s">
        <v>542</v>
      </c>
      <c r="I1143" t="s">
        <v>93</v>
      </c>
      <c r="J1143" t="s">
        <v>44</v>
      </c>
      <c r="K1143">
        <v>2</v>
      </c>
      <c r="L1143">
        <v>65353</v>
      </c>
      <c r="M1143">
        <v>10</v>
      </c>
      <c r="N1143" t="s">
        <v>56</v>
      </c>
      <c r="O1143" t="s">
        <v>68</v>
      </c>
      <c r="P1143" t="s">
        <v>174</v>
      </c>
      <c r="Q1143" t="s">
        <v>662</v>
      </c>
      <c r="R1143" t="s">
        <v>3300</v>
      </c>
      <c r="S1143">
        <v>5</v>
      </c>
      <c r="T1143" t="s">
        <v>72</v>
      </c>
      <c r="U1143">
        <v>93</v>
      </c>
      <c r="V1143" t="s">
        <v>79</v>
      </c>
    </row>
    <row r="1144" spans="1:22" x14ac:dyDescent="0.3">
      <c r="A1144" t="s">
        <v>3301</v>
      </c>
      <c r="B1144" t="s">
        <v>50</v>
      </c>
      <c r="C1144">
        <v>21</v>
      </c>
      <c r="D1144" t="s">
        <v>51</v>
      </c>
      <c r="E1144" t="s">
        <v>131</v>
      </c>
      <c r="F1144" t="s">
        <v>53</v>
      </c>
      <c r="G1144" t="s">
        <v>490</v>
      </c>
      <c r="H1144" t="s">
        <v>1281</v>
      </c>
      <c r="I1144" t="s">
        <v>29</v>
      </c>
      <c r="J1144" t="s">
        <v>30</v>
      </c>
      <c r="K1144">
        <v>1</v>
      </c>
      <c r="L1144">
        <v>67906</v>
      </c>
      <c r="M1144">
        <v>0</v>
      </c>
      <c r="N1144" t="s">
        <v>45</v>
      </c>
      <c r="O1144" t="s">
        <v>281</v>
      </c>
      <c r="P1144" t="s">
        <v>174</v>
      </c>
      <c r="R1144" t="s">
        <v>3302</v>
      </c>
      <c r="S1144">
        <v>4</v>
      </c>
      <c r="T1144" t="s">
        <v>36</v>
      </c>
      <c r="U1144">
        <v>444</v>
      </c>
      <c r="V1144" t="s">
        <v>37</v>
      </c>
    </row>
    <row r="1145" spans="1:22" x14ac:dyDescent="0.3">
      <c r="A1145" t="s">
        <v>3303</v>
      </c>
      <c r="B1145" t="s">
        <v>3304</v>
      </c>
      <c r="C1145">
        <v>29</v>
      </c>
      <c r="D1145" t="s">
        <v>24</v>
      </c>
      <c r="E1145" t="s">
        <v>52</v>
      </c>
      <c r="F1145" t="s">
        <v>53</v>
      </c>
      <c r="G1145" t="s">
        <v>1849</v>
      </c>
      <c r="H1145" t="s">
        <v>960</v>
      </c>
      <c r="I1145" t="s">
        <v>29</v>
      </c>
      <c r="J1145" t="s">
        <v>30</v>
      </c>
      <c r="K1145">
        <v>2</v>
      </c>
      <c r="L1145">
        <v>31774</v>
      </c>
      <c r="M1145">
        <v>10</v>
      </c>
      <c r="N1145" t="s">
        <v>56</v>
      </c>
      <c r="O1145" t="s">
        <v>46</v>
      </c>
      <c r="P1145" t="s">
        <v>58</v>
      </c>
      <c r="Q1145" t="s">
        <v>2248</v>
      </c>
      <c r="S1145">
        <v>5</v>
      </c>
      <c r="T1145" t="s">
        <v>96</v>
      </c>
      <c r="U1145">
        <v>461</v>
      </c>
      <c r="V1145" t="s">
        <v>79</v>
      </c>
    </row>
    <row r="1146" spans="1:22" x14ac:dyDescent="0.3">
      <c r="A1146" t="s">
        <v>3305</v>
      </c>
      <c r="B1146" t="s">
        <v>105</v>
      </c>
      <c r="C1146">
        <v>43</v>
      </c>
      <c r="D1146" t="s">
        <v>183</v>
      </c>
      <c r="E1146" t="s">
        <v>142</v>
      </c>
      <c r="F1146" t="s">
        <v>91</v>
      </c>
      <c r="G1146" t="s">
        <v>251</v>
      </c>
      <c r="H1146" t="s">
        <v>1197</v>
      </c>
      <c r="I1146" t="s">
        <v>43</v>
      </c>
      <c r="J1146" t="s">
        <v>30</v>
      </c>
      <c r="K1146">
        <v>1</v>
      </c>
      <c r="L1146">
        <v>6375</v>
      </c>
      <c r="M1146">
        <v>10</v>
      </c>
      <c r="N1146" t="s">
        <v>56</v>
      </c>
      <c r="O1146" t="s">
        <v>173</v>
      </c>
      <c r="P1146" t="s">
        <v>174</v>
      </c>
      <c r="R1146" t="s">
        <v>3306</v>
      </c>
      <c r="S1146">
        <v>5</v>
      </c>
      <c r="T1146" t="s">
        <v>96</v>
      </c>
      <c r="U1146">
        <v>221</v>
      </c>
      <c r="V1146" t="s">
        <v>37</v>
      </c>
    </row>
    <row r="1147" spans="1:22" x14ac:dyDescent="0.3">
      <c r="A1147" t="s">
        <v>3307</v>
      </c>
      <c r="B1147" t="s">
        <v>954</v>
      </c>
      <c r="C1147">
        <v>43</v>
      </c>
      <c r="D1147" t="s">
        <v>51</v>
      </c>
      <c r="E1147" t="s">
        <v>229</v>
      </c>
      <c r="F1147" t="s">
        <v>53</v>
      </c>
      <c r="G1147" t="s">
        <v>1474</v>
      </c>
      <c r="H1147" t="s">
        <v>1076</v>
      </c>
      <c r="I1147" t="s">
        <v>93</v>
      </c>
      <c r="J1147" t="s">
        <v>44</v>
      </c>
      <c r="K1147">
        <v>3</v>
      </c>
      <c r="L1147">
        <v>59034</v>
      </c>
      <c r="M1147">
        <v>0</v>
      </c>
      <c r="N1147" t="s">
        <v>31</v>
      </c>
      <c r="O1147" t="s">
        <v>173</v>
      </c>
      <c r="P1147" t="s">
        <v>69</v>
      </c>
      <c r="Q1147" t="s">
        <v>536</v>
      </c>
      <c r="R1147" t="s">
        <v>3308</v>
      </c>
      <c r="S1147">
        <v>1</v>
      </c>
      <c r="T1147" t="s">
        <v>96</v>
      </c>
      <c r="U1147">
        <v>374</v>
      </c>
      <c r="V1147" t="s">
        <v>37</v>
      </c>
    </row>
    <row r="1148" spans="1:22" x14ac:dyDescent="0.3">
      <c r="A1148" t="s">
        <v>3309</v>
      </c>
      <c r="B1148" t="s">
        <v>382</v>
      </c>
      <c r="C1148">
        <v>60</v>
      </c>
      <c r="D1148" t="s">
        <v>24</v>
      </c>
      <c r="E1148" t="s">
        <v>26</v>
      </c>
      <c r="F1148" t="s">
        <v>91</v>
      </c>
      <c r="G1148" t="s">
        <v>231</v>
      </c>
      <c r="H1148" t="s">
        <v>1325</v>
      </c>
      <c r="I1148" t="s">
        <v>85</v>
      </c>
      <c r="J1148" t="s">
        <v>30</v>
      </c>
      <c r="K1148">
        <v>2</v>
      </c>
      <c r="L1148">
        <v>67098</v>
      </c>
      <c r="M1148">
        <v>5</v>
      </c>
      <c r="N1148" t="s">
        <v>31</v>
      </c>
      <c r="O1148" t="s">
        <v>133</v>
      </c>
      <c r="P1148" t="s">
        <v>69</v>
      </c>
      <c r="Q1148" t="s">
        <v>385</v>
      </c>
      <c r="R1148" t="s">
        <v>3310</v>
      </c>
      <c r="S1148">
        <v>5</v>
      </c>
      <c r="T1148" t="s">
        <v>61</v>
      </c>
      <c r="U1148">
        <v>163</v>
      </c>
      <c r="V1148" t="s">
        <v>37</v>
      </c>
    </row>
    <row r="1149" spans="1:22" x14ac:dyDescent="0.3">
      <c r="A1149" t="s">
        <v>3311</v>
      </c>
      <c r="B1149" t="s">
        <v>424</v>
      </c>
      <c r="C1149">
        <v>28</v>
      </c>
      <c r="D1149" t="s">
        <v>51</v>
      </c>
      <c r="E1149" t="s">
        <v>40</v>
      </c>
      <c r="F1149" t="s">
        <v>26</v>
      </c>
      <c r="G1149" t="s">
        <v>2918</v>
      </c>
      <c r="H1149" t="s">
        <v>1069</v>
      </c>
      <c r="I1149" t="s">
        <v>93</v>
      </c>
      <c r="J1149" t="s">
        <v>30</v>
      </c>
      <c r="K1149">
        <v>5</v>
      </c>
      <c r="L1149">
        <v>55955</v>
      </c>
      <c r="M1149">
        <v>0</v>
      </c>
      <c r="N1149" t="s">
        <v>31</v>
      </c>
      <c r="O1149" t="s">
        <v>32</v>
      </c>
      <c r="P1149" t="s">
        <v>33</v>
      </c>
      <c r="Q1149" t="s">
        <v>427</v>
      </c>
      <c r="R1149" t="s">
        <v>3312</v>
      </c>
      <c r="S1149">
        <v>2</v>
      </c>
      <c r="T1149" t="s">
        <v>72</v>
      </c>
      <c r="U1149">
        <v>223</v>
      </c>
      <c r="V1149" t="s">
        <v>79</v>
      </c>
    </row>
    <row r="1150" spans="1:22" x14ac:dyDescent="0.3">
      <c r="A1150" t="s">
        <v>3313</v>
      </c>
      <c r="B1150" t="s">
        <v>228</v>
      </c>
      <c r="C1150">
        <v>20</v>
      </c>
      <c r="D1150" t="s">
        <v>24</v>
      </c>
      <c r="E1150" t="s">
        <v>229</v>
      </c>
      <c r="F1150" t="s">
        <v>91</v>
      </c>
      <c r="G1150" t="s">
        <v>218</v>
      </c>
      <c r="H1150" t="s">
        <v>630</v>
      </c>
      <c r="I1150" t="s">
        <v>93</v>
      </c>
      <c r="J1150" t="s">
        <v>30</v>
      </c>
      <c r="K1150">
        <v>2</v>
      </c>
      <c r="L1150">
        <v>51580</v>
      </c>
      <c r="M1150">
        <v>5</v>
      </c>
      <c r="N1150" t="s">
        <v>45</v>
      </c>
      <c r="O1150" t="s">
        <v>281</v>
      </c>
      <c r="P1150" t="s">
        <v>69</v>
      </c>
      <c r="S1150">
        <v>5</v>
      </c>
      <c r="T1150" t="s">
        <v>36</v>
      </c>
      <c r="U1150">
        <v>251</v>
      </c>
      <c r="V1150" t="s">
        <v>62</v>
      </c>
    </row>
    <row r="1151" spans="1:22" x14ac:dyDescent="0.3">
      <c r="A1151" t="s">
        <v>3314</v>
      </c>
      <c r="B1151" t="s">
        <v>3315</v>
      </c>
      <c r="C1151">
        <v>60</v>
      </c>
      <c r="D1151" t="s">
        <v>51</v>
      </c>
      <c r="E1151" t="s">
        <v>25</v>
      </c>
      <c r="F1151" t="s">
        <v>65</v>
      </c>
      <c r="G1151" t="s">
        <v>2358</v>
      </c>
      <c r="H1151" t="s">
        <v>147</v>
      </c>
      <c r="I1151" t="s">
        <v>43</v>
      </c>
      <c r="J1151" t="s">
        <v>30</v>
      </c>
      <c r="K1151">
        <v>3</v>
      </c>
      <c r="L1151">
        <v>33140</v>
      </c>
      <c r="M1151">
        <v>5</v>
      </c>
      <c r="N1151" t="s">
        <v>31</v>
      </c>
      <c r="O1151" t="s">
        <v>32</v>
      </c>
      <c r="P1151" t="s">
        <v>174</v>
      </c>
      <c r="R1151" t="s">
        <v>3316</v>
      </c>
      <c r="S1151">
        <v>4</v>
      </c>
      <c r="T1151" t="s">
        <v>36</v>
      </c>
      <c r="U1151">
        <v>65</v>
      </c>
      <c r="V1151" t="s">
        <v>37</v>
      </c>
    </row>
    <row r="1152" spans="1:22" x14ac:dyDescent="0.3">
      <c r="A1152" t="s">
        <v>3317</v>
      </c>
      <c r="B1152" t="s">
        <v>64</v>
      </c>
      <c r="C1152">
        <v>42</v>
      </c>
      <c r="D1152" t="s">
        <v>51</v>
      </c>
      <c r="E1152" t="s">
        <v>142</v>
      </c>
      <c r="F1152" t="s">
        <v>91</v>
      </c>
      <c r="G1152" t="s">
        <v>2577</v>
      </c>
      <c r="H1152" t="s">
        <v>449</v>
      </c>
      <c r="I1152" t="s">
        <v>108</v>
      </c>
      <c r="J1152" t="s">
        <v>44</v>
      </c>
      <c r="L1152">
        <v>23043</v>
      </c>
      <c r="M1152">
        <v>0</v>
      </c>
      <c r="N1152" t="s">
        <v>45</v>
      </c>
      <c r="O1152" t="s">
        <v>68</v>
      </c>
      <c r="P1152" t="s">
        <v>33</v>
      </c>
      <c r="Q1152" t="s">
        <v>70</v>
      </c>
      <c r="S1152">
        <v>5</v>
      </c>
      <c r="T1152" t="s">
        <v>36</v>
      </c>
      <c r="U1152">
        <v>420</v>
      </c>
      <c r="V1152" t="s">
        <v>37</v>
      </c>
    </row>
    <row r="1153" spans="1:22" x14ac:dyDescent="0.3">
      <c r="A1153" t="s">
        <v>3318</v>
      </c>
      <c r="B1153" t="s">
        <v>570</v>
      </c>
      <c r="C1153">
        <v>58</v>
      </c>
      <c r="D1153" t="s">
        <v>183</v>
      </c>
      <c r="E1153" t="s">
        <v>99</v>
      </c>
      <c r="F1153" t="s">
        <v>82</v>
      </c>
      <c r="G1153" t="s">
        <v>1549</v>
      </c>
      <c r="H1153" t="s">
        <v>1929</v>
      </c>
      <c r="I1153" t="s">
        <v>43</v>
      </c>
      <c r="J1153" t="s">
        <v>30</v>
      </c>
      <c r="K1153">
        <v>3</v>
      </c>
      <c r="L1153">
        <v>44665</v>
      </c>
      <c r="M1153">
        <v>0</v>
      </c>
      <c r="N1153" t="s">
        <v>31</v>
      </c>
      <c r="O1153" t="s">
        <v>86</v>
      </c>
      <c r="P1153" t="s">
        <v>69</v>
      </c>
      <c r="Q1153" t="s">
        <v>573</v>
      </c>
      <c r="S1153">
        <v>2</v>
      </c>
      <c r="T1153" t="s">
        <v>96</v>
      </c>
      <c r="U1153">
        <v>321</v>
      </c>
      <c r="V1153" t="s">
        <v>79</v>
      </c>
    </row>
    <row r="1154" spans="1:22" x14ac:dyDescent="0.3">
      <c r="A1154" t="s">
        <v>3319</v>
      </c>
      <c r="B1154" t="s">
        <v>689</v>
      </c>
      <c r="C1154">
        <v>52</v>
      </c>
      <c r="D1154" t="s">
        <v>51</v>
      </c>
      <c r="E1154" t="s">
        <v>99</v>
      </c>
      <c r="F1154" t="s">
        <v>82</v>
      </c>
      <c r="G1154" t="s">
        <v>629</v>
      </c>
      <c r="H1154" t="s">
        <v>217</v>
      </c>
      <c r="I1154" t="s">
        <v>93</v>
      </c>
      <c r="J1154" t="s">
        <v>30</v>
      </c>
      <c r="L1154">
        <v>33067</v>
      </c>
      <c r="M1154">
        <v>15</v>
      </c>
      <c r="N1154" t="s">
        <v>31</v>
      </c>
      <c r="O1154" t="s">
        <v>102</v>
      </c>
      <c r="P1154" t="s">
        <v>33</v>
      </c>
      <c r="Q1154" t="s">
        <v>1105</v>
      </c>
      <c r="R1154" t="s">
        <v>3320</v>
      </c>
      <c r="S1154">
        <v>1</v>
      </c>
      <c r="T1154" t="s">
        <v>96</v>
      </c>
      <c r="U1154">
        <v>491</v>
      </c>
      <c r="V1154" t="s">
        <v>62</v>
      </c>
    </row>
    <row r="1155" spans="1:22" x14ac:dyDescent="0.3">
      <c r="A1155" t="s">
        <v>3321</v>
      </c>
      <c r="B1155" t="s">
        <v>471</v>
      </c>
      <c r="C1155">
        <v>50</v>
      </c>
      <c r="D1155" t="s">
        <v>24</v>
      </c>
      <c r="E1155" t="s">
        <v>99</v>
      </c>
      <c r="F1155" t="s">
        <v>53</v>
      </c>
      <c r="G1155" t="s">
        <v>3322</v>
      </c>
      <c r="H1155" t="s">
        <v>2451</v>
      </c>
      <c r="I1155" t="s">
        <v>43</v>
      </c>
      <c r="J1155" t="s">
        <v>30</v>
      </c>
      <c r="K1155">
        <v>3</v>
      </c>
      <c r="L1155">
        <v>8460</v>
      </c>
      <c r="M1155">
        <v>5</v>
      </c>
      <c r="N1155" t="s">
        <v>31</v>
      </c>
      <c r="O1155" t="s">
        <v>173</v>
      </c>
      <c r="P1155" t="s">
        <v>33</v>
      </c>
      <c r="Q1155" t="s">
        <v>495</v>
      </c>
      <c r="R1155" t="s">
        <v>3323</v>
      </c>
      <c r="S1155">
        <v>2</v>
      </c>
      <c r="T1155" t="s">
        <v>72</v>
      </c>
      <c r="U1155">
        <v>185</v>
      </c>
      <c r="V1155" t="s">
        <v>62</v>
      </c>
    </row>
    <row r="1156" spans="1:22" x14ac:dyDescent="0.3">
      <c r="A1156" t="s">
        <v>3324</v>
      </c>
      <c r="B1156" t="s">
        <v>1789</v>
      </c>
      <c r="C1156">
        <v>50</v>
      </c>
      <c r="D1156" t="s">
        <v>24</v>
      </c>
      <c r="E1156" t="s">
        <v>142</v>
      </c>
      <c r="F1156" t="s">
        <v>82</v>
      </c>
      <c r="G1156" t="s">
        <v>3325</v>
      </c>
      <c r="H1156" t="s">
        <v>1368</v>
      </c>
      <c r="I1156" t="s">
        <v>108</v>
      </c>
      <c r="J1156" t="s">
        <v>44</v>
      </c>
      <c r="K1156">
        <v>2</v>
      </c>
      <c r="L1156">
        <v>55514</v>
      </c>
      <c r="M1156">
        <v>15</v>
      </c>
      <c r="N1156" t="s">
        <v>166</v>
      </c>
      <c r="O1156" t="s">
        <v>102</v>
      </c>
      <c r="P1156" t="s">
        <v>58</v>
      </c>
      <c r="Q1156" t="s">
        <v>1792</v>
      </c>
      <c r="R1156" t="s">
        <v>3326</v>
      </c>
      <c r="S1156">
        <v>1</v>
      </c>
      <c r="T1156" t="s">
        <v>96</v>
      </c>
      <c r="U1156">
        <v>452</v>
      </c>
      <c r="V1156" t="s">
        <v>79</v>
      </c>
    </row>
    <row r="1157" spans="1:22" x14ac:dyDescent="0.3">
      <c r="A1157" t="s">
        <v>3327</v>
      </c>
      <c r="B1157" t="s">
        <v>327</v>
      </c>
      <c r="C1157">
        <v>18</v>
      </c>
      <c r="D1157" t="s">
        <v>24</v>
      </c>
      <c r="E1157" t="s">
        <v>131</v>
      </c>
      <c r="F1157" t="s">
        <v>91</v>
      </c>
      <c r="G1157" t="s">
        <v>3328</v>
      </c>
      <c r="H1157" t="s">
        <v>1929</v>
      </c>
      <c r="I1157" t="s">
        <v>108</v>
      </c>
      <c r="J1157" t="s">
        <v>44</v>
      </c>
      <c r="K1157">
        <v>3</v>
      </c>
      <c r="L1157">
        <v>41499</v>
      </c>
      <c r="M1157">
        <v>10</v>
      </c>
      <c r="N1157" t="s">
        <v>56</v>
      </c>
      <c r="O1157" t="s">
        <v>173</v>
      </c>
      <c r="P1157" t="s">
        <v>174</v>
      </c>
      <c r="Q1157" t="s">
        <v>330</v>
      </c>
      <c r="R1157" t="s">
        <v>3329</v>
      </c>
      <c r="S1157">
        <v>4</v>
      </c>
      <c r="T1157" t="s">
        <v>61</v>
      </c>
      <c r="U1157">
        <v>189</v>
      </c>
      <c r="V1157" t="s">
        <v>62</v>
      </c>
    </row>
    <row r="1158" spans="1:22" x14ac:dyDescent="0.3">
      <c r="A1158" t="s">
        <v>3330</v>
      </c>
      <c r="B1158" t="s">
        <v>198</v>
      </c>
      <c r="C1158">
        <v>25</v>
      </c>
      <c r="D1158" t="s">
        <v>51</v>
      </c>
      <c r="E1158" t="s">
        <v>52</v>
      </c>
      <c r="F1158" t="s">
        <v>53</v>
      </c>
      <c r="G1158" t="s">
        <v>666</v>
      </c>
      <c r="H1158" t="s">
        <v>2062</v>
      </c>
      <c r="I1158" t="s">
        <v>93</v>
      </c>
      <c r="J1158" t="s">
        <v>44</v>
      </c>
      <c r="K1158">
        <v>5</v>
      </c>
      <c r="L1158">
        <v>46359</v>
      </c>
      <c r="M1158">
        <v>5</v>
      </c>
      <c r="N1158" t="s">
        <v>45</v>
      </c>
      <c r="O1158" t="s">
        <v>109</v>
      </c>
      <c r="P1158" t="s">
        <v>58</v>
      </c>
      <c r="Q1158" t="s">
        <v>201</v>
      </c>
      <c r="R1158" t="s">
        <v>3331</v>
      </c>
      <c r="S1158">
        <v>5</v>
      </c>
      <c r="T1158" t="s">
        <v>72</v>
      </c>
      <c r="U1158">
        <v>265</v>
      </c>
      <c r="V1158" t="s">
        <v>62</v>
      </c>
    </row>
    <row r="1159" spans="1:22" x14ac:dyDescent="0.3">
      <c r="A1159" t="s">
        <v>3332</v>
      </c>
      <c r="B1159" t="s">
        <v>1118</v>
      </c>
      <c r="C1159">
        <v>52</v>
      </c>
      <c r="D1159" t="s">
        <v>24</v>
      </c>
      <c r="E1159" t="s">
        <v>25</v>
      </c>
      <c r="F1159" t="s">
        <v>82</v>
      </c>
      <c r="G1159" t="s">
        <v>1450</v>
      </c>
      <c r="H1159" t="s">
        <v>28</v>
      </c>
      <c r="I1159" t="s">
        <v>43</v>
      </c>
      <c r="J1159" t="s">
        <v>44</v>
      </c>
      <c r="K1159">
        <v>1</v>
      </c>
      <c r="L1159">
        <v>26362</v>
      </c>
      <c r="M1159">
        <v>0</v>
      </c>
      <c r="N1159" t="s">
        <v>31</v>
      </c>
      <c r="O1159" t="s">
        <v>32</v>
      </c>
      <c r="P1159" t="s">
        <v>174</v>
      </c>
      <c r="Q1159" t="s">
        <v>1120</v>
      </c>
      <c r="S1159">
        <v>3</v>
      </c>
      <c r="T1159" t="s">
        <v>36</v>
      </c>
      <c r="U1159">
        <v>309</v>
      </c>
      <c r="V1159" t="s">
        <v>37</v>
      </c>
    </row>
    <row r="1160" spans="1:22" x14ac:dyDescent="0.3">
      <c r="A1160" t="s">
        <v>3333</v>
      </c>
      <c r="B1160" t="s">
        <v>303</v>
      </c>
      <c r="C1160">
        <v>21</v>
      </c>
      <c r="D1160" t="s">
        <v>51</v>
      </c>
      <c r="E1160" t="s">
        <v>229</v>
      </c>
      <c r="F1160" t="s">
        <v>65</v>
      </c>
      <c r="G1160" t="s">
        <v>121</v>
      </c>
      <c r="H1160" t="s">
        <v>843</v>
      </c>
      <c r="I1160" t="s">
        <v>77</v>
      </c>
      <c r="J1160" t="s">
        <v>44</v>
      </c>
      <c r="L1160">
        <v>70547</v>
      </c>
      <c r="M1160">
        <v>0</v>
      </c>
      <c r="N1160" t="s">
        <v>45</v>
      </c>
      <c r="O1160" t="s">
        <v>173</v>
      </c>
      <c r="P1160" t="s">
        <v>69</v>
      </c>
      <c r="R1160" t="s">
        <v>3334</v>
      </c>
      <c r="S1160">
        <v>3</v>
      </c>
      <c r="T1160" t="s">
        <v>96</v>
      </c>
      <c r="U1160">
        <v>144</v>
      </c>
      <c r="V1160" t="s">
        <v>62</v>
      </c>
    </row>
    <row r="1161" spans="1:22" x14ac:dyDescent="0.3">
      <c r="A1161" t="s">
        <v>3335</v>
      </c>
      <c r="B1161" t="s">
        <v>617</v>
      </c>
      <c r="C1161">
        <v>22</v>
      </c>
      <c r="D1161" t="s">
        <v>163</v>
      </c>
      <c r="E1161" t="s">
        <v>131</v>
      </c>
      <c r="F1161" t="s">
        <v>91</v>
      </c>
      <c r="G1161" t="s">
        <v>3336</v>
      </c>
      <c r="H1161" t="s">
        <v>1019</v>
      </c>
      <c r="I1161" t="s">
        <v>85</v>
      </c>
      <c r="J1161" t="s">
        <v>44</v>
      </c>
      <c r="K1161">
        <v>4</v>
      </c>
      <c r="L1161">
        <v>23190</v>
      </c>
      <c r="M1161">
        <v>15</v>
      </c>
      <c r="N1161" t="s">
        <v>31</v>
      </c>
      <c r="O1161" t="s">
        <v>57</v>
      </c>
      <c r="P1161" t="s">
        <v>58</v>
      </c>
      <c r="Q1161" t="s">
        <v>620</v>
      </c>
      <c r="R1161" t="s">
        <v>3337</v>
      </c>
      <c r="S1161">
        <v>5</v>
      </c>
      <c r="T1161" t="s">
        <v>61</v>
      </c>
      <c r="U1161">
        <v>134</v>
      </c>
      <c r="V1161" t="s">
        <v>37</v>
      </c>
    </row>
    <row r="1162" spans="1:22" x14ac:dyDescent="0.3">
      <c r="A1162" t="s">
        <v>3338</v>
      </c>
      <c r="B1162" t="s">
        <v>1876</v>
      </c>
      <c r="C1162">
        <v>29</v>
      </c>
      <c r="D1162" t="s">
        <v>51</v>
      </c>
      <c r="E1162" t="s">
        <v>25</v>
      </c>
      <c r="F1162" t="s">
        <v>53</v>
      </c>
      <c r="G1162" t="s">
        <v>1062</v>
      </c>
      <c r="H1162" t="s">
        <v>768</v>
      </c>
      <c r="I1162" t="s">
        <v>43</v>
      </c>
      <c r="J1162" t="s">
        <v>44</v>
      </c>
      <c r="K1162">
        <v>1</v>
      </c>
      <c r="L1162">
        <v>62028</v>
      </c>
      <c r="M1162">
        <v>10</v>
      </c>
      <c r="N1162" t="s">
        <v>45</v>
      </c>
      <c r="O1162" t="s">
        <v>133</v>
      </c>
      <c r="P1162" t="s">
        <v>58</v>
      </c>
      <c r="S1162">
        <v>1</v>
      </c>
      <c r="T1162" t="s">
        <v>96</v>
      </c>
      <c r="U1162">
        <v>429</v>
      </c>
      <c r="V1162" t="s">
        <v>79</v>
      </c>
    </row>
    <row r="1163" spans="1:22" x14ac:dyDescent="0.3">
      <c r="A1163" t="s">
        <v>3339</v>
      </c>
      <c r="B1163" t="s">
        <v>1779</v>
      </c>
      <c r="C1163">
        <v>35</v>
      </c>
      <c r="D1163" t="s">
        <v>51</v>
      </c>
      <c r="E1163" t="s">
        <v>142</v>
      </c>
      <c r="F1163" t="s">
        <v>65</v>
      </c>
      <c r="G1163" t="s">
        <v>926</v>
      </c>
      <c r="H1163" t="s">
        <v>768</v>
      </c>
      <c r="I1163" t="s">
        <v>77</v>
      </c>
      <c r="J1163" t="s">
        <v>30</v>
      </c>
      <c r="K1163">
        <v>3</v>
      </c>
      <c r="L1163">
        <v>73309</v>
      </c>
      <c r="M1163">
        <v>10</v>
      </c>
      <c r="N1163" t="s">
        <v>166</v>
      </c>
      <c r="O1163" t="s">
        <v>102</v>
      </c>
      <c r="P1163" t="s">
        <v>33</v>
      </c>
      <c r="Q1163" t="s">
        <v>1687</v>
      </c>
      <c r="R1163" t="s">
        <v>3340</v>
      </c>
      <c r="S1163">
        <v>2</v>
      </c>
      <c r="T1163" t="s">
        <v>96</v>
      </c>
      <c r="U1163">
        <v>385</v>
      </c>
      <c r="V1163" t="s">
        <v>62</v>
      </c>
    </row>
    <row r="1164" spans="1:22" x14ac:dyDescent="0.3">
      <c r="A1164" t="s">
        <v>3341</v>
      </c>
      <c r="B1164" t="s">
        <v>840</v>
      </c>
      <c r="C1164">
        <v>19</v>
      </c>
      <c r="D1164" t="s">
        <v>51</v>
      </c>
      <c r="E1164" t="s">
        <v>99</v>
      </c>
      <c r="F1164" t="s">
        <v>82</v>
      </c>
      <c r="G1164" t="s">
        <v>2166</v>
      </c>
      <c r="H1164" t="s">
        <v>1544</v>
      </c>
      <c r="I1164" t="s">
        <v>77</v>
      </c>
      <c r="J1164" t="s">
        <v>30</v>
      </c>
      <c r="K1164">
        <v>4</v>
      </c>
      <c r="L1164">
        <v>49524</v>
      </c>
      <c r="M1164">
        <v>10</v>
      </c>
      <c r="N1164" t="s">
        <v>45</v>
      </c>
      <c r="O1164" t="s">
        <v>57</v>
      </c>
      <c r="P1164" t="s">
        <v>69</v>
      </c>
      <c r="Q1164" t="s">
        <v>1147</v>
      </c>
      <c r="R1164" t="s">
        <v>3342</v>
      </c>
      <c r="S1164">
        <v>2</v>
      </c>
      <c r="T1164" t="s">
        <v>72</v>
      </c>
      <c r="U1164">
        <v>201</v>
      </c>
      <c r="V1164" t="s">
        <v>79</v>
      </c>
    </row>
    <row r="1165" spans="1:22" x14ac:dyDescent="0.3">
      <c r="A1165" t="s">
        <v>3343</v>
      </c>
      <c r="B1165" t="s">
        <v>150</v>
      </c>
      <c r="C1165">
        <v>50</v>
      </c>
      <c r="D1165" t="s">
        <v>24</v>
      </c>
      <c r="E1165" t="s">
        <v>25</v>
      </c>
      <c r="F1165" t="s">
        <v>26</v>
      </c>
      <c r="G1165" t="s">
        <v>1643</v>
      </c>
      <c r="H1165" t="s">
        <v>1230</v>
      </c>
      <c r="I1165" t="s">
        <v>93</v>
      </c>
      <c r="J1165" t="s">
        <v>30</v>
      </c>
      <c r="K1165">
        <v>1</v>
      </c>
      <c r="L1165">
        <v>58077</v>
      </c>
      <c r="M1165">
        <v>15</v>
      </c>
      <c r="N1165" t="s">
        <v>56</v>
      </c>
      <c r="O1165" t="s">
        <v>57</v>
      </c>
      <c r="P1165" t="s">
        <v>33</v>
      </c>
      <c r="R1165" t="s">
        <v>3344</v>
      </c>
      <c r="S1165">
        <v>4</v>
      </c>
      <c r="T1165" t="s">
        <v>96</v>
      </c>
      <c r="U1165">
        <v>101</v>
      </c>
      <c r="V1165" t="s">
        <v>37</v>
      </c>
    </row>
    <row r="1166" spans="1:22" x14ac:dyDescent="0.3">
      <c r="A1166" t="s">
        <v>3345</v>
      </c>
      <c r="B1166" t="s">
        <v>2016</v>
      </c>
      <c r="C1166">
        <v>50</v>
      </c>
      <c r="D1166" t="s">
        <v>51</v>
      </c>
      <c r="E1166" t="s">
        <v>40</v>
      </c>
      <c r="F1166" t="s">
        <v>82</v>
      </c>
      <c r="G1166" t="s">
        <v>3346</v>
      </c>
      <c r="H1166" t="s">
        <v>1077</v>
      </c>
      <c r="I1166" t="s">
        <v>108</v>
      </c>
      <c r="J1166" t="s">
        <v>44</v>
      </c>
      <c r="K1166">
        <v>4</v>
      </c>
      <c r="L1166">
        <v>11292</v>
      </c>
      <c r="M1166">
        <v>10</v>
      </c>
      <c r="N1166" t="s">
        <v>45</v>
      </c>
      <c r="O1166" t="s">
        <v>109</v>
      </c>
      <c r="P1166" t="s">
        <v>58</v>
      </c>
      <c r="Q1166" t="s">
        <v>1792</v>
      </c>
      <c r="R1166" t="s">
        <v>3347</v>
      </c>
      <c r="S1166">
        <v>2</v>
      </c>
      <c r="T1166" t="s">
        <v>96</v>
      </c>
      <c r="U1166">
        <v>406</v>
      </c>
      <c r="V1166" t="s">
        <v>62</v>
      </c>
    </row>
    <row r="1167" spans="1:22" x14ac:dyDescent="0.3">
      <c r="A1167" t="s">
        <v>3348</v>
      </c>
      <c r="B1167" t="s">
        <v>235</v>
      </c>
      <c r="C1167">
        <v>33</v>
      </c>
      <c r="D1167" t="s">
        <v>24</v>
      </c>
      <c r="E1167" t="s">
        <v>229</v>
      </c>
      <c r="F1167" t="s">
        <v>82</v>
      </c>
      <c r="G1167" t="s">
        <v>1477</v>
      </c>
      <c r="H1167" t="s">
        <v>1483</v>
      </c>
      <c r="I1167" t="s">
        <v>29</v>
      </c>
      <c r="J1167" t="s">
        <v>44</v>
      </c>
      <c r="K1167">
        <v>3</v>
      </c>
      <c r="L1167">
        <v>40410</v>
      </c>
      <c r="M1167">
        <v>10</v>
      </c>
      <c r="N1167" t="s">
        <v>56</v>
      </c>
      <c r="O1167" t="s">
        <v>109</v>
      </c>
      <c r="P1167" t="s">
        <v>174</v>
      </c>
      <c r="Q1167" t="s">
        <v>871</v>
      </c>
      <c r="R1167" t="s">
        <v>3349</v>
      </c>
      <c r="S1167">
        <v>3</v>
      </c>
      <c r="T1167" t="s">
        <v>96</v>
      </c>
      <c r="U1167">
        <v>123</v>
      </c>
      <c r="V1167" t="s">
        <v>79</v>
      </c>
    </row>
    <row r="1168" spans="1:22" x14ac:dyDescent="0.3">
      <c r="A1168" t="s">
        <v>3350</v>
      </c>
      <c r="B1168" t="s">
        <v>344</v>
      </c>
      <c r="C1168">
        <v>34</v>
      </c>
      <c r="D1168" t="s">
        <v>51</v>
      </c>
      <c r="E1168" t="s">
        <v>26</v>
      </c>
      <c r="F1168" t="s">
        <v>82</v>
      </c>
      <c r="G1168" t="s">
        <v>1756</v>
      </c>
      <c r="H1168" t="s">
        <v>28</v>
      </c>
      <c r="I1168" t="s">
        <v>108</v>
      </c>
      <c r="J1168" t="s">
        <v>30</v>
      </c>
      <c r="K1168">
        <v>4</v>
      </c>
      <c r="L1168">
        <v>72385</v>
      </c>
      <c r="M1168">
        <v>0</v>
      </c>
      <c r="N1168" t="s">
        <v>166</v>
      </c>
      <c r="O1168" t="s">
        <v>133</v>
      </c>
      <c r="P1168" t="s">
        <v>69</v>
      </c>
      <c r="Q1168" t="s">
        <v>347</v>
      </c>
      <c r="R1168" t="s">
        <v>3351</v>
      </c>
      <c r="S1168">
        <v>4</v>
      </c>
      <c r="T1168" t="s">
        <v>36</v>
      </c>
      <c r="U1168">
        <v>378</v>
      </c>
      <c r="V1168" t="s">
        <v>37</v>
      </c>
    </row>
    <row r="1169" spans="1:22" x14ac:dyDescent="0.3">
      <c r="A1169" t="s">
        <v>3352</v>
      </c>
      <c r="B1169" t="s">
        <v>1340</v>
      </c>
      <c r="C1169">
        <v>57</v>
      </c>
      <c r="D1169" t="s">
        <v>24</v>
      </c>
      <c r="E1169" t="s">
        <v>99</v>
      </c>
      <c r="F1169" t="s">
        <v>82</v>
      </c>
      <c r="G1169" t="s">
        <v>1151</v>
      </c>
      <c r="H1169" t="s">
        <v>1337</v>
      </c>
      <c r="I1169" t="s">
        <v>29</v>
      </c>
      <c r="J1169" t="s">
        <v>30</v>
      </c>
      <c r="K1169">
        <v>1</v>
      </c>
      <c r="L1169">
        <v>53313</v>
      </c>
      <c r="M1169">
        <v>15</v>
      </c>
      <c r="N1169" t="s">
        <v>166</v>
      </c>
      <c r="O1169" t="s">
        <v>32</v>
      </c>
      <c r="P1169" t="s">
        <v>174</v>
      </c>
      <c r="Q1169" t="s">
        <v>1342</v>
      </c>
      <c r="R1169" t="s">
        <v>3353</v>
      </c>
      <c r="S1169">
        <v>4</v>
      </c>
      <c r="T1169" t="s">
        <v>61</v>
      </c>
      <c r="U1169">
        <v>258</v>
      </c>
      <c r="V1169" t="s">
        <v>62</v>
      </c>
    </row>
    <row r="1170" spans="1:22" x14ac:dyDescent="0.3">
      <c r="A1170" t="s">
        <v>3354</v>
      </c>
      <c r="B1170" t="s">
        <v>193</v>
      </c>
      <c r="C1170">
        <v>21</v>
      </c>
      <c r="D1170" t="s">
        <v>24</v>
      </c>
      <c r="E1170" t="s">
        <v>25</v>
      </c>
      <c r="F1170" t="s">
        <v>26</v>
      </c>
      <c r="G1170" t="s">
        <v>3355</v>
      </c>
      <c r="H1170" t="s">
        <v>1759</v>
      </c>
      <c r="I1170" t="s">
        <v>29</v>
      </c>
      <c r="J1170" t="s">
        <v>30</v>
      </c>
      <c r="K1170">
        <v>5</v>
      </c>
      <c r="L1170">
        <v>24240</v>
      </c>
      <c r="M1170">
        <v>15</v>
      </c>
      <c r="N1170" t="s">
        <v>31</v>
      </c>
      <c r="O1170" t="s">
        <v>133</v>
      </c>
      <c r="P1170" t="s">
        <v>69</v>
      </c>
      <c r="Q1170" t="s">
        <v>195</v>
      </c>
      <c r="R1170" t="s">
        <v>3356</v>
      </c>
      <c r="S1170">
        <v>1</v>
      </c>
      <c r="T1170" t="s">
        <v>96</v>
      </c>
      <c r="U1170">
        <v>155</v>
      </c>
      <c r="V1170" t="s">
        <v>62</v>
      </c>
    </row>
    <row r="1171" spans="1:22" x14ac:dyDescent="0.3">
      <c r="A1171" t="s">
        <v>3357</v>
      </c>
      <c r="B1171" t="s">
        <v>1443</v>
      </c>
      <c r="C1171">
        <v>32</v>
      </c>
      <c r="D1171" t="s">
        <v>51</v>
      </c>
      <c r="E1171" t="s">
        <v>142</v>
      </c>
      <c r="F1171" t="s">
        <v>53</v>
      </c>
      <c r="G1171" t="s">
        <v>1270</v>
      </c>
      <c r="H1171" t="s">
        <v>2376</v>
      </c>
      <c r="I1171" t="s">
        <v>77</v>
      </c>
      <c r="J1171" t="s">
        <v>44</v>
      </c>
      <c r="K1171">
        <v>5</v>
      </c>
      <c r="L1171">
        <v>15911</v>
      </c>
      <c r="M1171">
        <v>5</v>
      </c>
      <c r="N1171" t="s">
        <v>56</v>
      </c>
      <c r="O1171" t="s">
        <v>173</v>
      </c>
      <c r="P1171" t="s">
        <v>33</v>
      </c>
      <c r="Q1171" t="s">
        <v>1444</v>
      </c>
      <c r="R1171" t="s">
        <v>3358</v>
      </c>
      <c r="S1171">
        <v>1</v>
      </c>
      <c r="T1171" t="s">
        <v>72</v>
      </c>
      <c r="U1171">
        <v>278</v>
      </c>
      <c r="V1171" t="s">
        <v>62</v>
      </c>
    </row>
    <row r="1172" spans="1:22" x14ac:dyDescent="0.3">
      <c r="A1172" t="s">
        <v>3359</v>
      </c>
      <c r="B1172" t="s">
        <v>1876</v>
      </c>
      <c r="C1172">
        <v>23</v>
      </c>
      <c r="D1172" t="s">
        <v>24</v>
      </c>
      <c r="E1172" t="s">
        <v>40</v>
      </c>
      <c r="F1172" t="s">
        <v>91</v>
      </c>
      <c r="G1172" t="s">
        <v>3360</v>
      </c>
      <c r="H1172" t="s">
        <v>295</v>
      </c>
      <c r="I1172" t="s">
        <v>108</v>
      </c>
      <c r="J1172" t="s">
        <v>44</v>
      </c>
      <c r="K1172">
        <v>5</v>
      </c>
      <c r="L1172">
        <v>48876</v>
      </c>
      <c r="M1172">
        <v>10</v>
      </c>
      <c r="N1172" t="s">
        <v>31</v>
      </c>
      <c r="O1172" t="s">
        <v>68</v>
      </c>
      <c r="P1172" t="s">
        <v>174</v>
      </c>
      <c r="R1172" t="s">
        <v>3361</v>
      </c>
      <c r="S1172">
        <v>3</v>
      </c>
      <c r="T1172" t="s">
        <v>61</v>
      </c>
      <c r="U1172">
        <v>481</v>
      </c>
      <c r="V1172" t="s">
        <v>37</v>
      </c>
    </row>
    <row r="1173" spans="1:22" x14ac:dyDescent="0.3">
      <c r="A1173" t="s">
        <v>3362</v>
      </c>
      <c r="B1173" t="s">
        <v>1690</v>
      </c>
      <c r="C1173">
        <v>37</v>
      </c>
      <c r="D1173" t="s">
        <v>24</v>
      </c>
      <c r="E1173" t="s">
        <v>26</v>
      </c>
      <c r="F1173" t="s">
        <v>82</v>
      </c>
      <c r="G1173" t="s">
        <v>223</v>
      </c>
      <c r="H1173" t="s">
        <v>1310</v>
      </c>
      <c r="I1173" t="s">
        <v>43</v>
      </c>
      <c r="J1173" t="s">
        <v>44</v>
      </c>
      <c r="K1173">
        <v>5</v>
      </c>
      <c r="L1173">
        <v>64534</v>
      </c>
      <c r="M1173">
        <v>15</v>
      </c>
      <c r="N1173" t="s">
        <v>31</v>
      </c>
      <c r="O1173" t="s">
        <v>173</v>
      </c>
      <c r="P1173" t="s">
        <v>58</v>
      </c>
      <c r="Q1173" t="s">
        <v>87</v>
      </c>
      <c r="S1173">
        <v>4</v>
      </c>
      <c r="T1173" t="s">
        <v>96</v>
      </c>
      <c r="U1173">
        <v>355</v>
      </c>
      <c r="V1173" t="s">
        <v>37</v>
      </c>
    </row>
    <row r="1174" spans="1:22" x14ac:dyDescent="0.3">
      <c r="A1174" t="s">
        <v>3363</v>
      </c>
      <c r="B1174" t="s">
        <v>235</v>
      </c>
      <c r="C1174">
        <v>32</v>
      </c>
      <c r="D1174" t="s">
        <v>24</v>
      </c>
      <c r="E1174" t="s">
        <v>142</v>
      </c>
      <c r="F1174" t="s">
        <v>91</v>
      </c>
      <c r="G1174" t="s">
        <v>3364</v>
      </c>
      <c r="H1174" t="s">
        <v>3365</v>
      </c>
      <c r="I1174" t="s">
        <v>108</v>
      </c>
      <c r="J1174" t="s">
        <v>30</v>
      </c>
      <c r="K1174">
        <v>3</v>
      </c>
      <c r="L1174">
        <v>35095</v>
      </c>
      <c r="M1174">
        <v>10</v>
      </c>
      <c r="N1174" t="s">
        <v>45</v>
      </c>
      <c r="O1174" t="s">
        <v>109</v>
      </c>
      <c r="P1174" t="s">
        <v>69</v>
      </c>
      <c r="Q1174" t="s">
        <v>871</v>
      </c>
      <c r="S1174">
        <v>3</v>
      </c>
      <c r="T1174" t="s">
        <v>61</v>
      </c>
      <c r="U1174">
        <v>62</v>
      </c>
      <c r="V1174" t="s">
        <v>79</v>
      </c>
    </row>
    <row r="1175" spans="1:22" x14ac:dyDescent="0.3">
      <c r="A1175" t="s">
        <v>3366</v>
      </c>
      <c r="B1175" t="s">
        <v>293</v>
      </c>
      <c r="C1175">
        <v>58</v>
      </c>
      <c r="D1175" t="s">
        <v>51</v>
      </c>
      <c r="E1175" t="s">
        <v>142</v>
      </c>
      <c r="F1175" t="s">
        <v>91</v>
      </c>
      <c r="G1175" t="s">
        <v>1430</v>
      </c>
      <c r="H1175" t="s">
        <v>901</v>
      </c>
      <c r="I1175" t="s">
        <v>85</v>
      </c>
      <c r="J1175" t="s">
        <v>30</v>
      </c>
      <c r="L1175">
        <v>42265</v>
      </c>
      <c r="M1175">
        <v>0</v>
      </c>
      <c r="N1175" t="s">
        <v>45</v>
      </c>
      <c r="O1175" t="s">
        <v>102</v>
      </c>
      <c r="P1175" t="s">
        <v>58</v>
      </c>
      <c r="Q1175" t="s">
        <v>1231</v>
      </c>
      <c r="R1175" t="s">
        <v>3367</v>
      </c>
      <c r="S1175">
        <v>5</v>
      </c>
      <c r="T1175" t="s">
        <v>72</v>
      </c>
      <c r="U1175">
        <v>172</v>
      </c>
      <c r="V1175" t="s">
        <v>79</v>
      </c>
    </row>
    <row r="1176" spans="1:22" x14ac:dyDescent="0.3">
      <c r="A1176" t="s">
        <v>3368</v>
      </c>
      <c r="B1176" t="s">
        <v>498</v>
      </c>
      <c r="C1176">
        <v>27</v>
      </c>
      <c r="D1176" t="s">
        <v>24</v>
      </c>
      <c r="E1176" t="s">
        <v>25</v>
      </c>
      <c r="F1176" t="s">
        <v>53</v>
      </c>
      <c r="G1176" t="s">
        <v>1722</v>
      </c>
      <c r="H1176" t="s">
        <v>724</v>
      </c>
      <c r="I1176" t="s">
        <v>85</v>
      </c>
      <c r="J1176" t="s">
        <v>30</v>
      </c>
      <c r="K1176">
        <v>1</v>
      </c>
      <c r="L1176">
        <v>24713</v>
      </c>
      <c r="M1176">
        <v>15</v>
      </c>
      <c r="N1176" t="s">
        <v>31</v>
      </c>
      <c r="O1176" t="s">
        <v>133</v>
      </c>
      <c r="P1176" t="s">
        <v>69</v>
      </c>
      <c r="Q1176" t="s">
        <v>500</v>
      </c>
      <c r="S1176">
        <v>3</v>
      </c>
      <c r="T1176" t="s">
        <v>36</v>
      </c>
      <c r="U1176">
        <v>356</v>
      </c>
      <c r="V1176" t="s">
        <v>37</v>
      </c>
    </row>
    <row r="1177" spans="1:22" x14ac:dyDescent="0.3">
      <c r="A1177" t="s">
        <v>3369</v>
      </c>
      <c r="B1177" t="s">
        <v>547</v>
      </c>
      <c r="C1177">
        <v>24</v>
      </c>
      <c r="D1177" t="s">
        <v>24</v>
      </c>
      <c r="E1177" t="s">
        <v>142</v>
      </c>
      <c r="F1177" t="s">
        <v>65</v>
      </c>
      <c r="G1177" t="s">
        <v>357</v>
      </c>
      <c r="H1177" t="s">
        <v>1197</v>
      </c>
      <c r="I1177" t="s">
        <v>77</v>
      </c>
      <c r="J1177" t="s">
        <v>44</v>
      </c>
      <c r="K1177">
        <v>1</v>
      </c>
      <c r="L1177">
        <v>6452</v>
      </c>
      <c r="M1177">
        <v>5</v>
      </c>
      <c r="N1177" t="s">
        <v>31</v>
      </c>
      <c r="O1177" t="s">
        <v>133</v>
      </c>
      <c r="P1177" t="s">
        <v>69</v>
      </c>
      <c r="Q1177" t="s">
        <v>549</v>
      </c>
      <c r="S1177">
        <v>5</v>
      </c>
      <c r="T1177" t="s">
        <v>36</v>
      </c>
      <c r="U1177">
        <v>457</v>
      </c>
      <c r="V1177" t="s">
        <v>62</v>
      </c>
    </row>
    <row r="1178" spans="1:22" x14ac:dyDescent="0.3">
      <c r="A1178" t="s">
        <v>3370</v>
      </c>
      <c r="B1178" t="s">
        <v>222</v>
      </c>
      <c r="C1178">
        <v>48</v>
      </c>
      <c r="D1178" t="s">
        <v>163</v>
      </c>
      <c r="E1178" t="s">
        <v>52</v>
      </c>
      <c r="F1178" t="s">
        <v>91</v>
      </c>
      <c r="G1178" t="s">
        <v>2062</v>
      </c>
      <c r="H1178" t="s">
        <v>751</v>
      </c>
      <c r="I1178" t="s">
        <v>93</v>
      </c>
      <c r="J1178" t="s">
        <v>30</v>
      </c>
      <c r="K1178">
        <v>1</v>
      </c>
      <c r="L1178">
        <v>5012</v>
      </c>
      <c r="M1178">
        <v>10</v>
      </c>
      <c r="N1178" t="s">
        <v>45</v>
      </c>
      <c r="O1178" t="s">
        <v>68</v>
      </c>
      <c r="P1178" t="s">
        <v>58</v>
      </c>
      <c r="S1178">
        <v>1</v>
      </c>
      <c r="T1178" t="s">
        <v>72</v>
      </c>
      <c r="U1178">
        <v>309</v>
      </c>
      <c r="V1178" t="s">
        <v>79</v>
      </c>
    </row>
    <row r="1179" spans="1:22" x14ac:dyDescent="0.3">
      <c r="A1179" t="s">
        <v>3371</v>
      </c>
      <c r="B1179" t="s">
        <v>50</v>
      </c>
      <c r="C1179">
        <v>28</v>
      </c>
      <c r="D1179" t="s">
        <v>183</v>
      </c>
      <c r="E1179" t="s">
        <v>26</v>
      </c>
      <c r="F1179" t="s">
        <v>91</v>
      </c>
      <c r="G1179" t="s">
        <v>561</v>
      </c>
      <c r="H1179" t="s">
        <v>824</v>
      </c>
      <c r="I1179" t="s">
        <v>93</v>
      </c>
      <c r="J1179" t="s">
        <v>30</v>
      </c>
      <c r="K1179">
        <v>5</v>
      </c>
      <c r="L1179">
        <v>39315</v>
      </c>
      <c r="M1179">
        <v>10</v>
      </c>
      <c r="N1179" t="s">
        <v>56</v>
      </c>
      <c r="O1179" t="s">
        <v>133</v>
      </c>
      <c r="P1179" t="s">
        <v>58</v>
      </c>
      <c r="Q1179" t="s">
        <v>59</v>
      </c>
      <c r="R1179" t="s">
        <v>3372</v>
      </c>
      <c r="S1179">
        <v>4</v>
      </c>
      <c r="T1179" t="s">
        <v>72</v>
      </c>
      <c r="U1179">
        <v>109</v>
      </c>
      <c r="V1179" t="s">
        <v>37</v>
      </c>
    </row>
    <row r="1180" spans="1:22" x14ac:dyDescent="0.3">
      <c r="A1180" t="s">
        <v>3373</v>
      </c>
      <c r="B1180" t="s">
        <v>222</v>
      </c>
      <c r="C1180">
        <v>54</v>
      </c>
      <c r="D1180" t="s">
        <v>51</v>
      </c>
      <c r="E1180" t="s">
        <v>40</v>
      </c>
      <c r="F1180" t="s">
        <v>82</v>
      </c>
      <c r="G1180" t="s">
        <v>2100</v>
      </c>
      <c r="H1180" t="s">
        <v>3374</v>
      </c>
      <c r="I1180" t="s">
        <v>43</v>
      </c>
      <c r="J1180" t="s">
        <v>30</v>
      </c>
      <c r="K1180">
        <v>4</v>
      </c>
      <c r="L1180">
        <v>16839</v>
      </c>
      <c r="M1180">
        <v>5</v>
      </c>
      <c r="N1180" t="s">
        <v>166</v>
      </c>
      <c r="O1180" t="s">
        <v>102</v>
      </c>
      <c r="P1180" t="s">
        <v>69</v>
      </c>
      <c r="R1180" t="s">
        <v>3375</v>
      </c>
      <c r="S1180">
        <v>1</v>
      </c>
      <c r="T1180" t="s">
        <v>96</v>
      </c>
      <c r="U1180">
        <v>166</v>
      </c>
      <c r="V1180" t="s">
        <v>37</v>
      </c>
    </row>
    <row r="1181" spans="1:22" x14ac:dyDescent="0.3">
      <c r="A1181" t="s">
        <v>3376</v>
      </c>
      <c r="B1181" t="s">
        <v>119</v>
      </c>
      <c r="C1181">
        <v>29</v>
      </c>
      <c r="D1181" t="s">
        <v>24</v>
      </c>
      <c r="E1181" t="s">
        <v>229</v>
      </c>
      <c r="F1181" t="s">
        <v>65</v>
      </c>
      <c r="G1181" t="s">
        <v>323</v>
      </c>
      <c r="H1181" t="s">
        <v>1358</v>
      </c>
      <c r="I1181" t="s">
        <v>108</v>
      </c>
      <c r="J1181" t="s">
        <v>30</v>
      </c>
      <c r="K1181">
        <v>1</v>
      </c>
      <c r="L1181">
        <v>12879</v>
      </c>
      <c r="M1181">
        <v>0</v>
      </c>
      <c r="N1181" t="s">
        <v>45</v>
      </c>
      <c r="O1181" t="s">
        <v>133</v>
      </c>
      <c r="P1181" t="s">
        <v>174</v>
      </c>
      <c r="Q1181" t="s">
        <v>122</v>
      </c>
      <c r="R1181" t="s">
        <v>3377</v>
      </c>
      <c r="S1181">
        <v>4</v>
      </c>
      <c r="T1181" t="s">
        <v>36</v>
      </c>
      <c r="U1181">
        <v>187</v>
      </c>
      <c r="V1181" t="s">
        <v>37</v>
      </c>
    </row>
    <row r="1182" spans="1:22" x14ac:dyDescent="0.3">
      <c r="A1182" t="s">
        <v>3378</v>
      </c>
      <c r="B1182" t="s">
        <v>476</v>
      </c>
      <c r="C1182">
        <v>55</v>
      </c>
      <c r="D1182" t="s">
        <v>24</v>
      </c>
      <c r="E1182" t="s">
        <v>229</v>
      </c>
      <c r="F1182" t="s">
        <v>65</v>
      </c>
      <c r="G1182" t="s">
        <v>2163</v>
      </c>
      <c r="H1182" t="s">
        <v>1447</v>
      </c>
      <c r="I1182" t="s">
        <v>43</v>
      </c>
      <c r="J1182" t="s">
        <v>44</v>
      </c>
      <c r="K1182">
        <v>4</v>
      </c>
      <c r="L1182">
        <v>65045</v>
      </c>
      <c r="M1182">
        <v>15</v>
      </c>
      <c r="N1182" t="s">
        <v>45</v>
      </c>
      <c r="O1182" t="s">
        <v>46</v>
      </c>
      <c r="P1182" t="s">
        <v>33</v>
      </c>
      <c r="Q1182" t="s">
        <v>478</v>
      </c>
      <c r="R1182" t="s">
        <v>3379</v>
      </c>
      <c r="S1182">
        <v>4</v>
      </c>
      <c r="T1182" t="s">
        <v>72</v>
      </c>
      <c r="U1182">
        <v>462</v>
      </c>
      <c r="V1182" t="s">
        <v>37</v>
      </c>
    </row>
    <row r="1183" spans="1:22" x14ac:dyDescent="0.3">
      <c r="A1183" t="s">
        <v>3380</v>
      </c>
      <c r="B1183" t="s">
        <v>2627</v>
      </c>
      <c r="C1183">
        <v>60</v>
      </c>
      <c r="D1183" t="s">
        <v>24</v>
      </c>
      <c r="E1183" t="s">
        <v>99</v>
      </c>
      <c r="F1183" t="s">
        <v>82</v>
      </c>
      <c r="G1183" t="s">
        <v>2542</v>
      </c>
      <c r="H1183" t="s">
        <v>504</v>
      </c>
      <c r="I1183" t="s">
        <v>43</v>
      </c>
      <c r="J1183" t="s">
        <v>30</v>
      </c>
      <c r="K1183">
        <v>3</v>
      </c>
      <c r="L1183">
        <v>36327</v>
      </c>
      <c r="M1183">
        <v>0</v>
      </c>
      <c r="N1183" t="s">
        <v>31</v>
      </c>
      <c r="O1183" t="s">
        <v>133</v>
      </c>
      <c r="P1183" t="s">
        <v>33</v>
      </c>
      <c r="Q1183" t="s">
        <v>225</v>
      </c>
      <c r="R1183" t="s">
        <v>3381</v>
      </c>
      <c r="S1183">
        <v>3</v>
      </c>
      <c r="T1183" t="s">
        <v>36</v>
      </c>
      <c r="U1183">
        <v>59</v>
      </c>
      <c r="V1183" t="s">
        <v>79</v>
      </c>
    </row>
    <row r="1184" spans="1:22" x14ac:dyDescent="0.3">
      <c r="A1184" t="s">
        <v>3382</v>
      </c>
      <c r="B1184" t="s">
        <v>309</v>
      </c>
      <c r="C1184">
        <v>53</v>
      </c>
      <c r="D1184" t="s">
        <v>183</v>
      </c>
      <c r="E1184" t="s">
        <v>131</v>
      </c>
      <c r="F1184" t="s">
        <v>91</v>
      </c>
      <c r="G1184" t="s">
        <v>960</v>
      </c>
      <c r="H1184" t="s">
        <v>809</v>
      </c>
      <c r="I1184" t="s">
        <v>29</v>
      </c>
      <c r="J1184" t="s">
        <v>30</v>
      </c>
      <c r="K1184">
        <v>1</v>
      </c>
      <c r="L1184">
        <v>63635</v>
      </c>
      <c r="M1184">
        <v>0</v>
      </c>
      <c r="N1184" t="s">
        <v>166</v>
      </c>
      <c r="O1184" t="s">
        <v>46</v>
      </c>
      <c r="P1184" t="s">
        <v>174</v>
      </c>
      <c r="Q1184" t="s">
        <v>312</v>
      </c>
      <c r="R1184" t="s">
        <v>3383</v>
      </c>
      <c r="S1184">
        <v>5</v>
      </c>
      <c r="T1184" t="s">
        <v>36</v>
      </c>
      <c r="U1184">
        <v>56</v>
      </c>
      <c r="V1184" t="s">
        <v>62</v>
      </c>
    </row>
    <row r="1185" spans="1:22" x14ac:dyDescent="0.3">
      <c r="A1185" t="s">
        <v>3384</v>
      </c>
      <c r="B1185" t="s">
        <v>1045</v>
      </c>
      <c r="C1185">
        <v>49</v>
      </c>
      <c r="D1185" t="s">
        <v>24</v>
      </c>
      <c r="E1185" t="s">
        <v>131</v>
      </c>
      <c r="F1185" t="s">
        <v>53</v>
      </c>
      <c r="G1185" t="s">
        <v>3385</v>
      </c>
      <c r="H1185" t="s">
        <v>833</v>
      </c>
      <c r="I1185" t="s">
        <v>108</v>
      </c>
      <c r="J1185" t="s">
        <v>30</v>
      </c>
      <c r="K1185">
        <v>4</v>
      </c>
      <c r="L1185">
        <v>31020</v>
      </c>
      <c r="M1185">
        <v>5</v>
      </c>
      <c r="N1185" t="s">
        <v>45</v>
      </c>
      <c r="O1185" t="s">
        <v>109</v>
      </c>
      <c r="P1185" t="s">
        <v>58</v>
      </c>
      <c r="Q1185" t="s">
        <v>1048</v>
      </c>
      <c r="R1185" t="s">
        <v>3386</v>
      </c>
      <c r="S1185">
        <v>3</v>
      </c>
      <c r="T1185" t="s">
        <v>72</v>
      </c>
      <c r="U1185">
        <v>303</v>
      </c>
      <c r="V1185" t="s">
        <v>79</v>
      </c>
    </row>
    <row r="1186" spans="1:22" x14ac:dyDescent="0.3">
      <c r="A1186" t="s">
        <v>3387</v>
      </c>
      <c r="B1186" t="s">
        <v>541</v>
      </c>
      <c r="C1186">
        <v>26</v>
      </c>
      <c r="D1186" t="s">
        <v>24</v>
      </c>
      <c r="E1186" t="s">
        <v>131</v>
      </c>
      <c r="F1186" t="s">
        <v>53</v>
      </c>
      <c r="G1186" t="s">
        <v>358</v>
      </c>
      <c r="H1186" t="s">
        <v>1560</v>
      </c>
      <c r="I1186" t="s">
        <v>108</v>
      </c>
      <c r="J1186" t="s">
        <v>30</v>
      </c>
      <c r="K1186">
        <v>3</v>
      </c>
      <c r="L1186">
        <v>19133</v>
      </c>
      <c r="M1186">
        <v>15</v>
      </c>
      <c r="N1186" t="s">
        <v>166</v>
      </c>
      <c r="O1186" t="s">
        <v>102</v>
      </c>
      <c r="P1186" t="s">
        <v>33</v>
      </c>
      <c r="Q1186" t="s">
        <v>544</v>
      </c>
      <c r="R1186" t="s">
        <v>3388</v>
      </c>
      <c r="S1186">
        <v>5</v>
      </c>
      <c r="T1186" t="s">
        <v>96</v>
      </c>
      <c r="U1186">
        <v>148</v>
      </c>
      <c r="V1186" t="s">
        <v>62</v>
      </c>
    </row>
    <row r="1187" spans="1:22" x14ac:dyDescent="0.3">
      <c r="A1187" t="s">
        <v>3389</v>
      </c>
      <c r="B1187" t="s">
        <v>1686</v>
      </c>
      <c r="C1187">
        <v>53</v>
      </c>
      <c r="D1187" t="s">
        <v>24</v>
      </c>
      <c r="E1187" t="s">
        <v>40</v>
      </c>
      <c r="F1187" t="s">
        <v>91</v>
      </c>
      <c r="G1187" t="s">
        <v>1916</v>
      </c>
      <c r="H1187" t="s">
        <v>1571</v>
      </c>
      <c r="I1187" t="s">
        <v>108</v>
      </c>
      <c r="J1187" t="s">
        <v>30</v>
      </c>
      <c r="K1187">
        <v>2</v>
      </c>
      <c r="L1187">
        <v>66421</v>
      </c>
      <c r="M1187">
        <v>5</v>
      </c>
      <c r="N1187" t="s">
        <v>56</v>
      </c>
      <c r="O1187" t="s">
        <v>173</v>
      </c>
      <c r="P1187" t="s">
        <v>58</v>
      </c>
      <c r="Q1187" t="s">
        <v>1687</v>
      </c>
      <c r="R1187" t="s">
        <v>3390</v>
      </c>
      <c r="S1187">
        <v>5</v>
      </c>
      <c r="T1187" t="s">
        <v>96</v>
      </c>
      <c r="U1187">
        <v>253</v>
      </c>
      <c r="V1187" t="s">
        <v>62</v>
      </c>
    </row>
    <row r="1188" spans="1:22" x14ac:dyDescent="0.3">
      <c r="A1188" t="s">
        <v>3391</v>
      </c>
      <c r="B1188" t="s">
        <v>74</v>
      </c>
      <c r="C1188">
        <v>46</v>
      </c>
      <c r="D1188" t="s">
        <v>24</v>
      </c>
      <c r="E1188" t="s">
        <v>131</v>
      </c>
      <c r="F1188" t="s">
        <v>65</v>
      </c>
      <c r="G1188" t="s">
        <v>199</v>
      </c>
      <c r="H1188" t="s">
        <v>200</v>
      </c>
      <c r="I1188" t="s">
        <v>43</v>
      </c>
      <c r="J1188" t="s">
        <v>30</v>
      </c>
      <c r="K1188">
        <v>2</v>
      </c>
      <c r="L1188">
        <v>27291</v>
      </c>
      <c r="M1188">
        <v>15</v>
      </c>
      <c r="N1188" t="s">
        <v>45</v>
      </c>
      <c r="O1188" t="s">
        <v>32</v>
      </c>
      <c r="P1188" t="s">
        <v>174</v>
      </c>
      <c r="Q1188" t="s">
        <v>78</v>
      </c>
      <c r="S1188">
        <v>4</v>
      </c>
      <c r="T1188" t="s">
        <v>96</v>
      </c>
      <c r="U1188">
        <v>90</v>
      </c>
      <c r="V1188" t="s">
        <v>62</v>
      </c>
    </row>
    <row r="1189" spans="1:22" x14ac:dyDescent="0.3">
      <c r="A1189" t="s">
        <v>3392</v>
      </c>
      <c r="B1189" t="s">
        <v>278</v>
      </c>
      <c r="C1189">
        <v>24</v>
      </c>
      <c r="D1189" t="s">
        <v>51</v>
      </c>
      <c r="E1189" t="s">
        <v>52</v>
      </c>
      <c r="F1189" t="s">
        <v>91</v>
      </c>
      <c r="G1189" t="s">
        <v>151</v>
      </c>
      <c r="H1189" t="s">
        <v>1004</v>
      </c>
      <c r="I1189" t="s">
        <v>108</v>
      </c>
      <c r="J1189" t="s">
        <v>30</v>
      </c>
      <c r="K1189">
        <v>4</v>
      </c>
      <c r="L1189">
        <v>34233</v>
      </c>
      <c r="M1189">
        <v>15</v>
      </c>
      <c r="N1189" t="s">
        <v>56</v>
      </c>
      <c r="O1189" t="s">
        <v>102</v>
      </c>
      <c r="P1189" t="s">
        <v>174</v>
      </c>
      <c r="Q1189" t="s">
        <v>282</v>
      </c>
      <c r="R1189" t="s">
        <v>3393</v>
      </c>
      <c r="S1189">
        <v>1</v>
      </c>
      <c r="T1189" t="s">
        <v>61</v>
      </c>
      <c r="U1189">
        <v>300</v>
      </c>
      <c r="V1189" t="s">
        <v>37</v>
      </c>
    </row>
    <row r="1190" spans="1:22" x14ac:dyDescent="0.3">
      <c r="A1190" t="s">
        <v>3394</v>
      </c>
      <c r="B1190" t="s">
        <v>674</v>
      </c>
      <c r="C1190">
        <v>57</v>
      </c>
      <c r="D1190" t="s">
        <v>51</v>
      </c>
      <c r="E1190" t="s">
        <v>229</v>
      </c>
      <c r="F1190" t="s">
        <v>82</v>
      </c>
      <c r="G1190" t="s">
        <v>1139</v>
      </c>
      <c r="H1190" t="s">
        <v>114</v>
      </c>
      <c r="I1190" t="s">
        <v>29</v>
      </c>
      <c r="J1190" t="s">
        <v>44</v>
      </c>
      <c r="K1190">
        <v>3</v>
      </c>
      <c r="L1190">
        <v>79259</v>
      </c>
      <c r="M1190">
        <v>15</v>
      </c>
      <c r="N1190" t="s">
        <v>56</v>
      </c>
      <c r="O1190" t="s">
        <v>173</v>
      </c>
      <c r="P1190" t="s">
        <v>58</v>
      </c>
      <c r="Q1190" t="s">
        <v>677</v>
      </c>
      <c r="R1190" t="s">
        <v>3395</v>
      </c>
      <c r="S1190">
        <v>4</v>
      </c>
      <c r="T1190" t="s">
        <v>96</v>
      </c>
      <c r="U1190">
        <v>368</v>
      </c>
      <c r="V1190" t="s">
        <v>37</v>
      </c>
    </row>
    <row r="1191" spans="1:22" x14ac:dyDescent="0.3">
      <c r="A1191" t="s">
        <v>3396</v>
      </c>
      <c r="B1191" t="s">
        <v>3397</v>
      </c>
      <c r="C1191">
        <v>46</v>
      </c>
      <c r="D1191" t="s">
        <v>51</v>
      </c>
      <c r="E1191" t="s">
        <v>131</v>
      </c>
      <c r="F1191" t="s">
        <v>53</v>
      </c>
      <c r="G1191" t="s">
        <v>1417</v>
      </c>
      <c r="H1191" t="s">
        <v>1202</v>
      </c>
      <c r="I1191" t="s">
        <v>43</v>
      </c>
      <c r="J1191" t="s">
        <v>30</v>
      </c>
      <c r="K1191">
        <v>4</v>
      </c>
      <c r="L1191">
        <v>66507</v>
      </c>
      <c r="M1191">
        <v>0</v>
      </c>
      <c r="N1191" t="s">
        <v>56</v>
      </c>
      <c r="O1191" t="s">
        <v>133</v>
      </c>
      <c r="P1191" t="s">
        <v>69</v>
      </c>
      <c r="Q1191" t="s">
        <v>662</v>
      </c>
      <c r="S1191">
        <v>1</v>
      </c>
      <c r="T1191" t="s">
        <v>96</v>
      </c>
      <c r="U1191">
        <v>186</v>
      </c>
      <c r="V1191" t="s">
        <v>37</v>
      </c>
    </row>
    <row r="1192" spans="1:22" x14ac:dyDescent="0.3">
      <c r="A1192" t="s">
        <v>3398</v>
      </c>
      <c r="B1192" t="s">
        <v>471</v>
      </c>
      <c r="C1192">
        <v>25</v>
      </c>
      <c r="D1192" t="s">
        <v>24</v>
      </c>
      <c r="E1192" t="s">
        <v>99</v>
      </c>
      <c r="F1192" t="s">
        <v>53</v>
      </c>
      <c r="G1192" t="s">
        <v>1489</v>
      </c>
      <c r="H1192" t="s">
        <v>1782</v>
      </c>
      <c r="I1192" t="s">
        <v>108</v>
      </c>
      <c r="J1192" t="s">
        <v>44</v>
      </c>
      <c r="K1192">
        <v>5</v>
      </c>
      <c r="L1192">
        <v>54576</v>
      </c>
      <c r="M1192">
        <v>15</v>
      </c>
      <c r="N1192" t="s">
        <v>31</v>
      </c>
      <c r="O1192" t="s">
        <v>86</v>
      </c>
      <c r="P1192" t="s">
        <v>33</v>
      </c>
      <c r="Q1192" t="s">
        <v>495</v>
      </c>
      <c r="S1192">
        <v>3</v>
      </c>
      <c r="T1192" t="s">
        <v>61</v>
      </c>
      <c r="U1192">
        <v>260</v>
      </c>
      <c r="V1192" t="s">
        <v>79</v>
      </c>
    </row>
    <row r="1193" spans="1:22" x14ac:dyDescent="0.3">
      <c r="A1193" t="s">
        <v>3399</v>
      </c>
      <c r="B1193" t="s">
        <v>1181</v>
      </c>
      <c r="C1193">
        <v>36</v>
      </c>
      <c r="D1193" t="s">
        <v>51</v>
      </c>
      <c r="E1193" t="s">
        <v>25</v>
      </c>
      <c r="F1193" t="s">
        <v>91</v>
      </c>
      <c r="G1193" t="s">
        <v>1867</v>
      </c>
      <c r="H1193" t="s">
        <v>236</v>
      </c>
      <c r="I1193" t="s">
        <v>77</v>
      </c>
      <c r="J1193" t="s">
        <v>30</v>
      </c>
      <c r="K1193">
        <v>4</v>
      </c>
      <c r="L1193">
        <v>36750</v>
      </c>
      <c r="M1193">
        <v>0</v>
      </c>
      <c r="N1193" t="s">
        <v>56</v>
      </c>
      <c r="O1193" t="s">
        <v>57</v>
      </c>
      <c r="P1193" t="s">
        <v>58</v>
      </c>
      <c r="Q1193" t="s">
        <v>427</v>
      </c>
      <c r="R1193" t="s">
        <v>3400</v>
      </c>
      <c r="S1193">
        <v>5</v>
      </c>
      <c r="T1193" t="s">
        <v>96</v>
      </c>
      <c r="U1193">
        <v>408</v>
      </c>
      <c r="V1193" t="s">
        <v>37</v>
      </c>
    </row>
    <row r="1194" spans="1:22" x14ac:dyDescent="0.3">
      <c r="A1194" t="s">
        <v>3401</v>
      </c>
      <c r="B1194" t="s">
        <v>617</v>
      </c>
      <c r="C1194">
        <v>38</v>
      </c>
      <c r="D1194" t="s">
        <v>24</v>
      </c>
      <c r="E1194" t="s">
        <v>40</v>
      </c>
      <c r="F1194" t="s">
        <v>65</v>
      </c>
      <c r="G1194" t="s">
        <v>257</v>
      </c>
      <c r="H1194" t="s">
        <v>671</v>
      </c>
      <c r="I1194" t="s">
        <v>93</v>
      </c>
      <c r="J1194" t="s">
        <v>44</v>
      </c>
      <c r="K1194">
        <v>3</v>
      </c>
      <c r="L1194">
        <v>79613</v>
      </c>
      <c r="M1194">
        <v>5</v>
      </c>
      <c r="N1194" t="s">
        <v>45</v>
      </c>
      <c r="O1194" t="s">
        <v>32</v>
      </c>
      <c r="P1194" t="s">
        <v>69</v>
      </c>
      <c r="Q1194" t="s">
        <v>620</v>
      </c>
      <c r="R1194" t="s">
        <v>3402</v>
      </c>
      <c r="S1194">
        <v>5</v>
      </c>
      <c r="T1194" t="s">
        <v>61</v>
      </c>
      <c r="U1194">
        <v>475</v>
      </c>
      <c r="V1194" t="s">
        <v>79</v>
      </c>
    </row>
    <row r="1195" spans="1:22" x14ac:dyDescent="0.3">
      <c r="A1195" t="s">
        <v>3403</v>
      </c>
      <c r="B1195" t="s">
        <v>228</v>
      </c>
      <c r="C1195">
        <v>60</v>
      </c>
      <c r="D1195" t="s">
        <v>24</v>
      </c>
      <c r="E1195" t="s">
        <v>26</v>
      </c>
      <c r="F1195" t="s">
        <v>26</v>
      </c>
      <c r="G1195" t="s">
        <v>2325</v>
      </c>
      <c r="H1195" t="s">
        <v>477</v>
      </c>
      <c r="I1195" t="s">
        <v>85</v>
      </c>
      <c r="J1195" t="s">
        <v>30</v>
      </c>
      <c r="K1195">
        <v>4</v>
      </c>
      <c r="L1195">
        <v>47796</v>
      </c>
      <c r="M1195">
        <v>0</v>
      </c>
      <c r="N1195" t="s">
        <v>166</v>
      </c>
      <c r="O1195" t="s">
        <v>102</v>
      </c>
      <c r="P1195" t="s">
        <v>58</v>
      </c>
      <c r="Q1195" t="s">
        <v>232</v>
      </c>
      <c r="R1195" t="s">
        <v>3404</v>
      </c>
      <c r="S1195">
        <v>2</v>
      </c>
      <c r="T1195" t="s">
        <v>72</v>
      </c>
      <c r="U1195">
        <v>377</v>
      </c>
      <c r="V1195" t="s">
        <v>37</v>
      </c>
    </row>
    <row r="1196" spans="1:22" x14ac:dyDescent="0.3">
      <c r="A1196" t="s">
        <v>3405</v>
      </c>
      <c r="B1196" t="s">
        <v>243</v>
      </c>
      <c r="C1196">
        <v>29</v>
      </c>
      <c r="D1196" t="s">
        <v>51</v>
      </c>
      <c r="E1196" t="s">
        <v>131</v>
      </c>
      <c r="F1196" t="s">
        <v>26</v>
      </c>
      <c r="G1196" t="s">
        <v>1613</v>
      </c>
      <c r="H1196" t="s">
        <v>1190</v>
      </c>
      <c r="I1196" t="s">
        <v>93</v>
      </c>
      <c r="J1196" t="s">
        <v>44</v>
      </c>
      <c r="K1196">
        <v>4</v>
      </c>
      <c r="L1196">
        <v>52062</v>
      </c>
      <c r="M1196">
        <v>5</v>
      </c>
      <c r="N1196" t="s">
        <v>56</v>
      </c>
      <c r="O1196" t="s">
        <v>133</v>
      </c>
      <c r="P1196" t="s">
        <v>58</v>
      </c>
      <c r="Q1196" t="s">
        <v>246</v>
      </c>
      <c r="R1196" t="s">
        <v>3406</v>
      </c>
      <c r="S1196">
        <v>4</v>
      </c>
      <c r="T1196" t="s">
        <v>72</v>
      </c>
      <c r="U1196">
        <v>261</v>
      </c>
      <c r="V1196" t="s">
        <v>37</v>
      </c>
    </row>
    <row r="1197" spans="1:22" x14ac:dyDescent="0.3">
      <c r="A1197" t="s">
        <v>3407</v>
      </c>
      <c r="B1197" t="s">
        <v>689</v>
      </c>
      <c r="C1197">
        <v>31</v>
      </c>
      <c r="D1197" t="s">
        <v>51</v>
      </c>
      <c r="E1197" t="s">
        <v>131</v>
      </c>
      <c r="F1197" t="s">
        <v>82</v>
      </c>
      <c r="G1197" t="s">
        <v>2577</v>
      </c>
      <c r="H1197" t="s">
        <v>1288</v>
      </c>
      <c r="I1197" t="s">
        <v>85</v>
      </c>
      <c r="J1197" t="s">
        <v>44</v>
      </c>
      <c r="K1197">
        <v>1</v>
      </c>
      <c r="L1197">
        <v>53970</v>
      </c>
      <c r="M1197">
        <v>10</v>
      </c>
      <c r="N1197" t="s">
        <v>45</v>
      </c>
      <c r="O1197" t="s">
        <v>133</v>
      </c>
      <c r="P1197" t="s">
        <v>58</v>
      </c>
      <c r="Q1197" t="s">
        <v>1105</v>
      </c>
      <c r="S1197">
        <v>1</v>
      </c>
      <c r="T1197" t="s">
        <v>72</v>
      </c>
      <c r="U1197">
        <v>249</v>
      </c>
      <c r="V1197" t="s">
        <v>62</v>
      </c>
    </row>
    <row r="1198" spans="1:22" x14ac:dyDescent="0.3">
      <c r="A1198" t="s">
        <v>3408</v>
      </c>
      <c r="B1198" t="s">
        <v>860</v>
      </c>
      <c r="C1198">
        <v>58</v>
      </c>
      <c r="D1198" t="s">
        <v>51</v>
      </c>
      <c r="E1198" t="s">
        <v>229</v>
      </c>
      <c r="F1198" t="s">
        <v>91</v>
      </c>
      <c r="G1198" t="s">
        <v>493</v>
      </c>
      <c r="H1198" t="s">
        <v>1469</v>
      </c>
      <c r="I1198" t="s">
        <v>43</v>
      </c>
      <c r="J1198" t="s">
        <v>44</v>
      </c>
      <c r="K1198">
        <v>1</v>
      </c>
      <c r="L1198">
        <v>21878</v>
      </c>
      <c r="M1198">
        <v>15</v>
      </c>
      <c r="N1198" t="s">
        <v>56</v>
      </c>
      <c r="O1198" t="s">
        <v>32</v>
      </c>
      <c r="P1198" t="s">
        <v>174</v>
      </c>
      <c r="Q1198" t="s">
        <v>862</v>
      </c>
      <c r="R1198" t="s">
        <v>3409</v>
      </c>
      <c r="S1198">
        <v>3</v>
      </c>
      <c r="T1198" t="s">
        <v>72</v>
      </c>
      <c r="U1198">
        <v>56</v>
      </c>
      <c r="V1198" t="s">
        <v>62</v>
      </c>
    </row>
    <row r="1199" spans="1:22" x14ac:dyDescent="0.3">
      <c r="A1199" t="s">
        <v>3410</v>
      </c>
      <c r="B1199" t="s">
        <v>50</v>
      </c>
      <c r="C1199">
        <v>38</v>
      </c>
      <c r="D1199" t="s">
        <v>24</v>
      </c>
      <c r="E1199" t="s">
        <v>142</v>
      </c>
      <c r="F1199" t="s">
        <v>26</v>
      </c>
      <c r="G1199" t="s">
        <v>1854</v>
      </c>
      <c r="H1199" t="s">
        <v>2239</v>
      </c>
      <c r="I1199" t="s">
        <v>77</v>
      </c>
      <c r="J1199" t="s">
        <v>44</v>
      </c>
      <c r="K1199">
        <v>1</v>
      </c>
      <c r="L1199">
        <v>74355</v>
      </c>
      <c r="M1199">
        <v>5</v>
      </c>
      <c r="N1199" t="s">
        <v>56</v>
      </c>
      <c r="O1199" t="s">
        <v>57</v>
      </c>
      <c r="P1199" t="s">
        <v>174</v>
      </c>
      <c r="Q1199" t="s">
        <v>59</v>
      </c>
      <c r="R1199" t="s">
        <v>3411</v>
      </c>
      <c r="S1199">
        <v>3</v>
      </c>
      <c r="T1199" t="s">
        <v>72</v>
      </c>
      <c r="U1199">
        <v>331</v>
      </c>
      <c r="V1199" t="s">
        <v>62</v>
      </c>
    </row>
    <row r="1200" spans="1:22" x14ac:dyDescent="0.3">
      <c r="A1200" t="s">
        <v>3412</v>
      </c>
      <c r="B1200" t="s">
        <v>411</v>
      </c>
      <c r="C1200">
        <v>26</v>
      </c>
      <c r="D1200" t="s">
        <v>51</v>
      </c>
      <c r="E1200" t="s">
        <v>52</v>
      </c>
      <c r="F1200" t="s">
        <v>91</v>
      </c>
      <c r="G1200" t="s">
        <v>1222</v>
      </c>
      <c r="H1200" t="s">
        <v>656</v>
      </c>
      <c r="I1200" t="s">
        <v>29</v>
      </c>
      <c r="J1200" t="s">
        <v>44</v>
      </c>
      <c r="K1200">
        <v>2</v>
      </c>
      <c r="L1200">
        <v>13180</v>
      </c>
      <c r="M1200">
        <v>10</v>
      </c>
      <c r="N1200" t="s">
        <v>56</v>
      </c>
      <c r="O1200" t="s">
        <v>46</v>
      </c>
      <c r="P1200" t="s">
        <v>69</v>
      </c>
      <c r="Q1200" t="s">
        <v>414</v>
      </c>
      <c r="S1200">
        <v>2</v>
      </c>
      <c r="T1200" t="s">
        <v>96</v>
      </c>
      <c r="U1200">
        <v>264</v>
      </c>
      <c r="V1200" t="s">
        <v>62</v>
      </c>
    </row>
    <row r="1201" spans="1:22" x14ac:dyDescent="0.3">
      <c r="A1201" t="s">
        <v>3413</v>
      </c>
      <c r="B1201" t="s">
        <v>361</v>
      </c>
      <c r="C1201">
        <v>45</v>
      </c>
      <c r="D1201" t="s">
        <v>24</v>
      </c>
      <c r="E1201" t="s">
        <v>26</v>
      </c>
      <c r="F1201" t="s">
        <v>65</v>
      </c>
      <c r="G1201" t="s">
        <v>910</v>
      </c>
      <c r="H1201" t="s">
        <v>1320</v>
      </c>
      <c r="I1201" t="s">
        <v>29</v>
      </c>
      <c r="J1201" t="s">
        <v>44</v>
      </c>
      <c r="K1201">
        <v>1</v>
      </c>
      <c r="L1201">
        <v>57248</v>
      </c>
      <c r="M1201">
        <v>15</v>
      </c>
      <c r="N1201" t="s">
        <v>45</v>
      </c>
      <c r="O1201" t="s">
        <v>32</v>
      </c>
      <c r="P1201" t="s">
        <v>58</v>
      </c>
      <c r="Q1201" t="s">
        <v>364</v>
      </c>
      <c r="S1201">
        <v>5</v>
      </c>
      <c r="T1201" t="s">
        <v>36</v>
      </c>
      <c r="U1201">
        <v>332</v>
      </c>
      <c r="V1201" t="s">
        <v>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1"/>
  <sheetViews>
    <sheetView topLeftCell="A2" workbookViewId="0">
      <selection activeCell="B12" sqref="B12"/>
    </sheetView>
  </sheetViews>
  <sheetFormatPr defaultRowHeight="14.4" x14ac:dyDescent="0.3"/>
  <cols>
    <col min="1" max="1" width="11.6640625" customWidth="1"/>
    <col min="2" max="2" width="14.33203125" style="3" customWidth="1"/>
    <col min="3" max="3" width="9" style="1" customWidth="1"/>
    <col min="4" max="4" width="8.88671875" style="1"/>
    <col min="5" max="5" width="11.77734375" style="1" customWidth="1"/>
    <col min="6" max="6" width="13.44140625" style="4" customWidth="1"/>
    <col min="7" max="7" width="13.5546875" style="4" customWidth="1"/>
    <col min="8" max="8" width="12" style="1" customWidth="1"/>
    <col min="9" max="9" width="10.44140625" customWidth="1"/>
    <col min="10" max="10" width="10.21875" style="3" customWidth="1"/>
    <col min="11" max="11" width="10.44140625" style="3" bestFit="1" customWidth="1"/>
    <col min="12" max="12" width="10.21875" style="2" customWidth="1"/>
    <col min="13" max="13" width="17.21875" style="1" customWidth="1"/>
    <col min="14" max="14" width="10.33203125" style="1" customWidth="1"/>
    <col min="15" max="16" width="8.88671875" style="1"/>
    <col min="17" max="17" width="24.6640625" style="1" customWidth="1"/>
    <col min="18" max="18" width="12.44140625" style="3" customWidth="1"/>
    <col min="19" max="19" width="10.88671875" style="1" customWidth="1"/>
    <col min="20" max="20" width="13.88671875" style="3" customWidth="1"/>
    <col min="21" max="21" width="12.88671875" style="1" customWidth="1"/>
    <col min="23" max="23" width="12.21875" style="5" customWidth="1"/>
    <col min="24" max="24" width="14.5546875" customWidth="1"/>
    <col min="25" max="25" width="10.88671875" customWidth="1"/>
  </cols>
  <sheetData>
    <row r="1" spans="1:26" x14ac:dyDescent="0.3">
      <c r="A1" t="s">
        <v>0</v>
      </c>
      <c r="B1" s="1" t="s">
        <v>1</v>
      </c>
      <c r="C1" s="3" t="s">
        <v>2</v>
      </c>
      <c r="D1" s="1" t="s">
        <v>3</v>
      </c>
      <c r="E1" s="1" t="s">
        <v>4</v>
      </c>
      <c r="F1" s="1" t="s">
        <v>5</v>
      </c>
      <c r="G1" s="4" t="s">
        <v>6</v>
      </c>
      <c r="H1" s="4" t="s">
        <v>7</v>
      </c>
      <c r="I1" s="1" t="s">
        <v>8</v>
      </c>
      <c r="J1" t="s">
        <v>9</v>
      </c>
      <c r="K1" s="3" t="s">
        <v>10</v>
      </c>
      <c r="L1" s="2" t="s">
        <v>11</v>
      </c>
      <c r="M1" s="3" t="s">
        <v>3414</v>
      </c>
      <c r="N1" s="1" t="s">
        <v>13</v>
      </c>
      <c r="O1" s="1" t="s">
        <v>14</v>
      </c>
      <c r="P1" s="1" t="s">
        <v>15</v>
      </c>
      <c r="Q1" s="1" t="s">
        <v>16</v>
      </c>
      <c r="R1" s="1" t="s">
        <v>17</v>
      </c>
      <c r="S1" s="3" t="s">
        <v>18</v>
      </c>
      <c r="T1" s="1" t="s">
        <v>19</v>
      </c>
      <c r="U1" s="3" t="s">
        <v>20</v>
      </c>
      <c r="V1" s="1" t="s">
        <v>21</v>
      </c>
      <c r="W1" s="5" t="s">
        <v>3419</v>
      </c>
      <c r="X1" t="s">
        <v>3418</v>
      </c>
      <c r="Y1" t="s">
        <v>3417</v>
      </c>
      <c r="Z1" t="s">
        <v>3416</v>
      </c>
    </row>
    <row r="2" spans="1:26" x14ac:dyDescent="0.3">
      <c r="A2" s="1" t="s">
        <v>22</v>
      </c>
      <c r="B2" t="s">
        <v>23</v>
      </c>
      <c r="C2" s="3">
        <v>27</v>
      </c>
      <c r="D2" s="1" t="s">
        <v>24</v>
      </c>
      <c r="E2" s="1" t="s">
        <v>25</v>
      </c>
      <c r="F2" s="1" t="s">
        <v>26</v>
      </c>
      <c r="G2" s="4">
        <v>44954</v>
      </c>
      <c r="H2" s="4">
        <v>44962</v>
      </c>
      <c r="I2" s="1" t="s">
        <v>29</v>
      </c>
      <c r="J2" s="1" t="s">
        <v>30</v>
      </c>
      <c r="K2" s="3">
        <v>4</v>
      </c>
      <c r="L2" s="2">
        <v>74820</v>
      </c>
      <c r="M2" s="3">
        <v>5</v>
      </c>
      <c r="N2" s="1" t="s">
        <v>31</v>
      </c>
      <c r="O2" s="1" t="s">
        <v>32</v>
      </c>
      <c r="P2" s="1" t="s">
        <v>33</v>
      </c>
      <c r="Q2" s="1" t="s">
        <v>34</v>
      </c>
      <c r="R2" s="1" t="s">
        <v>35</v>
      </c>
      <c r="S2" s="3">
        <v>4</v>
      </c>
      <c r="T2" s="1" t="s">
        <v>36</v>
      </c>
      <c r="U2" s="3">
        <v>91</v>
      </c>
      <c r="V2" s="1" t="s">
        <v>37</v>
      </c>
      <c r="W2" s="5">
        <f>Table1[[#This Row],[Quantity]]*Table1[[#This Row],[Price]]*(1-Table1[[#This Row],[Discount %]]/100)</f>
        <v>284316</v>
      </c>
      <c r="X2">
        <f>Table1[[#This Row],[DeliveryDate]]-Table1[[#This Row],[OrderDate]]</f>
        <v>8</v>
      </c>
      <c r="Y2" t="str">
        <f>TEXT(Table1[[#This Row],[OrderDate]],"MMMM")</f>
        <v>January</v>
      </c>
      <c r="Z2" s="5">
        <f>YEAR(Table1[[#This Row],[OrderDate]])</f>
        <v>2023</v>
      </c>
    </row>
    <row r="3" spans="1:26" x14ac:dyDescent="0.3">
      <c r="A3" s="1" t="s">
        <v>38</v>
      </c>
      <c r="B3" t="s">
        <v>39</v>
      </c>
      <c r="C3" s="3">
        <v>42</v>
      </c>
      <c r="D3" s="1" t="s">
        <v>24</v>
      </c>
      <c r="E3" s="1" t="s">
        <v>40</v>
      </c>
      <c r="F3" s="1" t="s">
        <v>26</v>
      </c>
      <c r="G3" s="4">
        <v>45032</v>
      </c>
      <c r="H3" s="4">
        <v>45035</v>
      </c>
      <c r="I3" s="1" t="s">
        <v>43</v>
      </c>
      <c r="J3" s="1" t="s">
        <v>44</v>
      </c>
      <c r="K3" s="3">
        <v>1</v>
      </c>
      <c r="L3" s="2">
        <v>60823</v>
      </c>
      <c r="M3" s="3">
        <v>0</v>
      </c>
      <c r="N3" s="1" t="s">
        <v>45</v>
      </c>
      <c r="O3" s="1" t="s">
        <v>46</v>
      </c>
      <c r="P3" s="1" t="s">
        <v>33</v>
      </c>
      <c r="Q3" s="1" t="s">
        <v>47</v>
      </c>
      <c r="R3" s="1" t="s">
        <v>48</v>
      </c>
      <c r="S3" s="3">
        <v>5</v>
      </c>
      <c r="T3" s="1" t="s">
        <v>36</v>
      </c>
      <c r="U3" s="3">
        <v>490</v>
      </c>
      <c r="V3" s="1" t="s">
        <v>37</v>
      </c>
      <c r="W3" s="5">
        <f>Table1[[#This Row],[Quantity]]*Table1[[#This Row],[Price]]*(1-Table1[[#This Row],[Discount %]]/100)</f>
        <v>60823</v>
      </c>
      <c r="X3">
        <f>Table1[[#This Row],[DeliveryDate]]-Table1[[#This Row],[OrderDate]]</f>
        <v>3</v>
      </c>
      <c r="Y3" t="str">
        <f>TEXT(Table1[[#This Row],[OrderDate]],"MMMM")</f>
        <v>April</v>
      </c>
      <c r="Z3" s="5">
        <f>YEAR(Table1[[#This Row],[OrderDate]])</f>
        <v>2023</v>
      </c>
    </row>
    <row r="4" spans="1:26" x14ac:dyDescent="0.3">
      <c r="A4" s="1" t="s">
        <v>49</v>
      </c>
      <c r="B4" t="s">
        <v>50</v>
      </c>
      <c r="C4" s="3">
        <v>20</v>
      </c>
      <c r="D4" s="1" t="s">
        <v>51</v>
      </c>
      <c r="E4" s="1" t="s">
        <v>52</v>
      </c>
      <c r="F4" s="1" t="s">
        <v>53</v>
      </c>
      <c r="G4" s="4">
        <v>45411</v>
      </c>
      <c r="H4" s="4">
        <v>45420</v>
      </c>
      <c r="I4" s="1" t="s">
        <v>29</v>
      </c>
      <c r="J4" s="1" t="s">
        <v>44</v>
      </c>
      <c r="K4" s="3">
        <v>5</v>
      </c>
      <c r="L4" s="2">
        <v>19904</v>
      </c>
      <c r="M4" s="3">
        <v>0</v>
      </c>
      <c r="N4" s="1" t="s">
        <v>56</v>
      </c>
      <c r="O4" s="1" t="s">
        <v>57</v>
      </c>
      <c r="P4" s="1" t="s">
        <v>58</v>
      </c>
      <c r="Q4" s="1" t="s">
        <v>59</v>
      </c>
      <c r="R4" s="1" t="s">
        <v>60</v>
      </c>
      <c r="S4" s="3">
        <v>1</v>
      </c>
      <c r="T4" s="1" t="s">
        <v>61</v>
      </c>
      <c r="U4" s="3">
        <v>393</v>
      </c>
      <c r="V4" s="1" t="s">
        <v>62</v>
      </c>
      <c r="W4" s="5">
        <f>Table1[[#This Row],[Quantity]]*Table1[[#This Row],[Price]]*(1-Table1[[#This Row],[Discount %]]/100)</f>
        <v>99520</v>
      </c>
      <c r="X4">
        <f>Table1[[#This Row],[DeliveryDate]]-Table1[[#This Row],[OrderDate]]</f>
        <v>9</v>
      </c>
      <c r="Y4" t="str">
        <f>TEXT(Table1[[#This Row],[OrderDate]],"MMMM")</f>
        <v>April</v>
      </c>
      <c r="Z4" s="5">
        <f>YEAR(Table1[[#This Row],[OrderDate]])</f>
        <v>2024</v>
      </c>
    </row>
    <row r="5" spans="1:26" x14ac:dyDescent="0.3">
      <c r="A5" s="1" t="s">
        <v>63</v>
      </c>
      <c r="B5" t="s">
        <v>64</v>
      </c>
      <c r="C5" s="3">
        <v>45</v>
      </c>
      <c r="D5" s="1" t="s">
        <v>51</v>
      </c>
      <c r="E5" s="1" t="s">
        <v>26</v>
      </c>
      <c r="F5" s="1" t="s">
        <v>65</v>
      </c>
      <c r="G5" s="4">
        <v>45545</v>
      </c>
      <c r="H5" s="4">
        <v>45553</v>
      </c>
      <c r="I5" s="1" t="s">
        <v>43</v>
      </c>
      <c r="J5" s="1" t="s">
        <v>44</v>
      </c>
      <c r="K5" s="3">
        <v>3</v>
      </c>
      <c r="L5" s="2">
        <v>27529</v>
      </c>
      <c r="M5" s="3">
        <v>0</v>
      </c>
      <c r="N5" s="1" t="s">
        <v>31</v>
      </c>
      <c r="O5" s="1" t="s">
        <v>68</v>
      </c>
      <c r="P5" s="1" t="s">
        <v>69</v>
      </c>
      <c r="Q5" s="1" t="s">
        <v>70</v>
      </c>
      <c r="R5" s="1" t="s">
        <v>71</v>
      </c>
      <c r="S5" s="3">
        <v>3</v>
      </c>
      <c r="T5" s="1" t="s">
        <v>72</v>
      </c>
      <c r="U5" s="3">
        <v>258</v>
      </c>
      <c r="V5" s="1" t="s">
        <v>62</v>
      </c>
      <c r="W5" s="5">
        <f>Table1[[#This Row],[Quantity]]*Table1[[#This Row],[Price]]*(1-Table1[[#This Row],[Discount %]]/100)</f>
        <v>82587</v>
      </c>
      <c r="X5">
        <f>Table1[[#This Row],[DeliveryDate]]-Table1[[#This Row],[OrderDate]]</f>
        <v>8</v>
      </c>
      <c r="Y5" t="str">
        <f>TEXT(Table1[[#This Row],[OrderDate]],"MMMM")</f>
        <v>September</v>
      </c>
      <c r="Z5" s="5">
        <f>YEAR(Table1[[#This Row],[OrderDate]])</f>
        <v>2024</v>
      </c>
    </row>
    <row r="6" spans="1:26" x14ac:dyDescent="0.3">
      <c r="A6" s="1" t="s">
        <v>73</v>
      </c>
      <c r="B6" t="s">
        <v>74</v>
      </c>
      <c r="C6" s="3">
        <v>38</v>
      </c>
      <c r="D6" s="1" t="s">
        <v>24</v>
      </c>
      <c r="E6" s="1" t="s">
        <v>52</v>
      </c>
      <c r="F6" s="1" t="s">
        <v>65</v>
      </c>
      <c r="G6" s="4">
        <v>45521</v>
      </c>
      <c r="H6" s="4">
        <v>45525</v>
      </c>
      <c r="I6" s="1" t="s">
        <v>77</v>
      </c>
      <c r="J6" s="1" t="s">
        <v>30</v>
      </c>
      <c r="K6" s="3">
        <v>1</v>
      </c>
      <c r="L6" s="2">
        <v>76158</v>
      </c>
      <c r="M6" s="3">
        <v>10</v>
      </c>
      <c r="N6" s="1" t="s">
        <v>45</v>
      </c>
      <c r="O6" s="1" t="s">
        <v>57</v>
      </c>
      <c r="P6" s="1" t="s">
        <v>33</v>
      </c>
      <c r="Q6" s="1" t="s">
        <v>78</v>
      </c>
      <c r="R6" s="1" t="s">
        <v>3415</v>
      </c>
      <c r="S6" s="3">
        <v>3</v>
      </c>
      <c r="T6" s="1" t="s">
        <v>36</v>
      </c>
      <c r="U6" s="3">
        <v>418</v>
      </c>
      <c r="V6" s="1" t="s">
        <v>79</v>
      </c>
      <c r="W6" s="5">
        <f>Table1[[#This Row],[Quantity]]*Table1[[#This Row],[Price]]*(1-Table1[[#This Row],[Discount %]]/100)</f>
        <v>68542.2</v>
      </c>
      <c r="X6">
        <f>Table1[[#This Row],[DeliveryDate]]-Table1[[#This Row],[OrderDate]]</f>
        <v>4</v>
      </c>
      <c r="Y6" t="str">
        <f>TEXT(Table1[[#This Row],[OrderDate]],"MMMM")</f>
        <v>August</v>
      </c>
      <c r="Z6" s="5">
        <f>YEAR(Table1[[#This Row],[OrderDate]])</f>
        <v>2024</v>
      </c>
    </row>
    <row r="7" spans="1:26" x14ac:dyDescent="0.3">
      <c r="A7" s="1" t="s">
        <v>80</v>
      </c>
      <c r="B7" t="s">
        <v>1690</v>
      </c>
      <c r="C7" s="3">
        <v>57</v>
      </c>
      <c r="D7" s="1" t="s">
        <v>51</v>
      </c>
      <c r="E7" s="1" t="s">
        <v>40</v>
      </c>
      <c r="F7" s="1" t="s">
        <v>82</v>
      </c>
      <c r="G7" s="4">
        <v>45121</v>
      </c>
      <c r="H7" s="4">
        <v>45122</v>
      </c>
      <c r="I7" s="1" t="s">
        <v>85</v>
      </c>
      <c r="J7" s="1" t="s">
        <v>30</v>
      </c>
      <c r="K7" s="3">
        <v>2</v>
      </c>
      <c r="L7" s="2">
        <v>58163</v>
      </c>
      <c r="M7" s="3">
        <v>0</v>
      </c>
      <c r="N7" s="1" t="s">
        <v>56</v>
      </c>
      <c r="O7" s="1" t="s">
        <v>86</v>
      </c>
      <c r="P7" s="1" t="s">
        <v>69</v>
      </c>
      <c r="Q7" s="1" t="s">
        <v>87</v>
      </c>
      <c r="R7" s="1" t="s">
        <v>88</v>
      </c>
      <c r="S7" s="3">
        <v>3</v>
      </c>
      <c r="T7" s="1" t="s">
        <v>72</v>
      </c>
      <c r="U7" s="3">
        <v>471</v>
      </c>
      <c r="V7" s="1" t="s">
        <v>79</v>
      </c>
      <c r="W7" s="5">
        <f>Table1[[#This Row],[Quantity]]*Table1[[#This Row],[Price]]*(1-Table1[[#This Row],[Discount %]]/100)</f>
        <v>116326</v>
      </c>
      <c r="X7">
        <f>Table1[[#This Row],[DeliveryDate]]-Table1[[#This Row],[OrderDate]]</f>
        <v>1</v>
      </c>
      <c r="Y7" t="str">
        <f>TEXT(Table1[[#This Row],[OrderDate]],"MMMM")</f>
        <v>July</v>
      </c>
      <c r="Z7" s="5">
        <f>YEAR(Table1[[#This Row],[OrderDate]])</f>
        <v>2023</v>
      </c>
    </row>
    <row r="8" spans="1:26" x14ac:dyDescent="0.3">
      <c r="A8" s="1" t="s">
        <v>89</v>
      </c>
      <c r="B8" t="s">
        <v>90</v>
      </c>
      <c r="C8" s="3">
        <v>44</v>
      </c>
      <c r="D8" s="1" t="s">
        <v>51</v>
      </c>
      <c r="E8" s="1" t="s">
        <v>25</v>
      </c>
      <c r="F8" s="1" t="s">
        <v>91</v>
      </c>
      <c r="G8" s="4">
        <v>45033</v>
      </c>
      <c r="H8" s="4">
        <v>45035</v>
      </c>
      <c r="I8" s="1" t="s">
        <v>93</v>
      </c>
      <c r="J8" s="1" t="s">
        <v>30</v>
      </c>
      <c r="K8" s="3">
        <v>4</v>
      </c>
      <c r="L8" s="2">
        <v>69041</v>
      </c>
      <c r="M8" s="3">
        <v>10</v>
      </c>
      <c r="N8" s="1" t="s">
        <v>56</v>
      </c>
      <c r="O8" s="1" t="s">
        <v>57</v>
      </c>
      <c r="P8" s="1" t="s">
        <v>69</v>
      </c>
      <c r="Q8" s="1" t="s">
        <v>94</v>
      </c>
      <c r="R8" s="1" t="s">
        <v>95</v>
      </c>
      <c r="S8" s="3">
        <v>5</v>
      </c>
      <c r="T8" s="1" t="s">
        <v>96</v>
      </c>
      <c r="U8" s="3">
        <v>91</v>
      </c>
      <c r="V8" s="1" t="s">
        <v>62</v>
      </c>
      <c r="W8" s="5">
        <f>Table1[[#This Row],[Quantity]]*Table1[[#This Row],[Price]]*(1-Table1[[#This Row],[Discount %]]/100)</f>
        <v>248547.6</v>
      </c>
      <c r="X8">
        <f>Table1[[#This Row],[DeliveryDate]]-Table1[[#This Row],[OrderDate]]</f>
        <v>2</v>
      </c>
      <c r="Y8" t="str">
        <f>TEXT(Table1[[#This Row],[OrderDate]],"MMMM")</f>
        <v>April</v>
      </c>
      <c r="Z8" s="5">
        <f>YEAR(Table1[[#This Row],[OrderDate]])</f>
        <v>2023</v>
      </c>
    </row>
    <row r="9" spans="1:26" x14ac:dyDescent="0.3">
      <c r="A9" s="1" t="s">
        <v>97</v>
      </c>
      <c r="B9" t="s">
        <v>98</v>
      </c>
      <c r="C9" s="3">
        <v>32</v>
      </c>
      <c r="D9" s="1" t="s">
        <v>24</v>
      </c>
      <c r="E9" s="1" t="s">
        <v>99</v>
      </c>
      <c r="F9" s="1" t="s">
        <v>91</v>
      </c>
      <c r="G9" s="4">
        <v>45167</v>
      </c>
      <c r="H9" s="4">
        <v>45169</v>
      </c>
      <c r="I9" s="1" t="s">
        <v>43</v>
      </c>
      <c r="J9" s="1" t="s">
        <v>30</v>
      </c>
      <c r="K9" s="3">
        <v>1</v>
      </c>
      <c r="L9" s="2">
        <v>41555</v>
      </c>
      <c r="M9" s="3">
        <v>0</v>
      </c>
      <c r="N9" s="1" t="s">
        <v>45</v>
      </c>
      <c r="O9" s="1" t="s">
        <v>102</v>
      </c>
      <c r="P9" s="1" t="s">
        <v>33</v>
      </c>
      <c r="Q9" s="1" t="s">
        <v>103</v>
      </c>
      <c r="R9" s="1" t="s">
        <v>3415</v>
      </c>
      <c r="S9" s="3">
        <v>4</v>
      </c>
      <c r="T9" s="1" t="s">
        <v>61</v>
      </c>
      <c r="U9" s="3">
        <v>387</v>
      </c>
      <c r="V9" s="1" t="s">
        <v>62</v>
      </c>
      <c r="W9" s="5">
        <f>Table1[[#This Row],[Quantity]]*Table1[[#This Row],[Price]]*(1-Table1[[#This Row],[Discount %]]/100)</f>
        <v>41555</v>
      </c>
      <c r="X9">
        <f>Table1[[#This Row],[DeliveryDate]]-Table1[[#This Row],[OrderDate]]</f>
        <v>2</v>
      </c>
      <c r="Y9" t="str">
        <f>TEXT(Table1[[#This Row],[OrderDate]],"MMMM")</f>
        <v>August</v>
      </c>
      <c r="Z9" s="5">
        <f>YEAR(Table1[[#This Row],[OrderDate]])</f>
        <v>2023</v>
      </c>
    </row>
    <row r="10" spans="1:26" x14ac:dyDescent="0.3">
      <c r="A10" s="1" t="s">
        <v>104</v>
      </c>
      <c r="B10" t="s">
        <v>105</v>
      </c>
      <c r="C10" s="3">
        <v>30</v>
      </c>
      <c r="D10" s="1" t="s">
        <v>24</v>
      </c>
      <c r="E10" s="1" t="s">
        <v>52</v>
      </c>
      <c r="F10" s="1" t="s">
        <v>82</v>
      </c>
      <c r="G10" s="4">
        <v>45398</v>
      </c>
      <c r="H10" s="4">
        <v>45403</v>
      </c>
      <c r="I10" s="1" t="s">
        <v>108</v>
      </c>
      <c r="J10" s="1" t="s">
        <v>44</v>
      </c>
      <c r="K10" s="3">
        <v>1</v>
      </c>
      <c r="L10" s="2">
        <v>70341</v>
      </c>
      <c r="M10" s="3">
        <v>15</v>
      </c>
      <c r="N10" s="1" t="s">
        <v>45</v>
      </c>
      <c r="O10" s="1" t="s">
        <v>109</v>
      </c>
      <c r="P10" s="1" t="s">
        <v>69</v>
      </c>
      <c r="Q10" s="1" t="s">
        <v>110</v>
      </c>
      <c r="R10" s="1" t="s">
        <v>111</v>
      </c>
      <c r="S10" s="3">
        <v>5</v>
      </c>
      <c r="T10" s="1" t="s">
        <v>61</v>
      </c>
      <c r="U10" s="3">
        <v>216</v>
      </c>
      <c r="V10" s="1" t="s">
        <v>62</v>
      </c>
      <c r="W10" s="5">
        <f>Table1[[#This Row],[Quantity]]*Table1[[#This Row],[Price]]*(1-Table1[[#This Row],[Discount %]]/100)</f>
        <v>59789.85</v>
      </c>
      <c r="X10">
        <f>Table1[[#This Row],[DeliveryDate]]-Table1[[#This Row],[OrderDate]]</f>
        <v>5</v>
      </c>
      <c r="Y10" t="str">
        <f>TEXT(Table1[[#This Row],[OrderDate]],"MMMM")</f>
        <v>April</v>
      </c>
      <c r="Z10" s="5">
        <f>YEAR(Table1[[#This Row],[OrderDate]])</f>
        <v>2024</v>
      </c>
    </row>
    <row r="11" spans="1:26" x14ac:dyDescent="0.3">
      <c r="A11" s="1" t="s">
        <v>112</v>
      </c>
      <c r="B11" t="s">
        <v>113</v>
      </c>
      <c r="C11" s="3">
        <v>20</v>
      </c>
      <c r="D11" s="1" t="s">
        <v>51</v>
      </c>
      <c r="E11" s="1" t="s">
        <v>99</v>
      </c>
      <c r="F11" s="1" t="s">
        <v>65</v>
      </c>
      <c r="G11" s="4">
        <v>45043</v>
      </c>
      <c r="H11" s="4">
        <v>45053</v>
      </c>
      <c r="I11" s="1" t="s">
        <v>85</v>
      </c>
      <c r="J11" s="1" t="s">
        <v>30</v>
      </c>
      <c r="K11" s="3">
        <v>2</v>
      </c>
      <c r="L11" s="2">
        <v>35515</v>
      </c>
      <c r="M11" s="3">
        <v>5</v>
      </c>
      <c r="N11" s="1" t="s">
        <v>56</v>
      </c>
      <c r="O11" s="1" t="s">
        <v>102</v>
      </c>
      <c r="P11" s="1" t="s">
        <v>69</v>
      </c>
      <c r="Q11" s="1" t="s">
        <v>116</v>
      </c>
      <c r="R11" s="1" t="s">
        <v>117</v>
      </c>
      <c r="S11" s="3">
        <v>4</v>
      </c>
      <c r="T11" s="1" t="s">
        <v>61</v>
      </c>
      <c r="U11" s="3">
        <v>482</v>
      </c>
      <c r="V11" s="1" t="s">
        <v>79</v>
      </c>
      <c r="W11" s="5">
        <f>Table1[[#This Row],[Quantity]]*Table1[[#This Row],[Price]]*(1-Table1[[#This Row],[Discount %]]/100)</f>
        <v>67478.5</v>
      </c>
      <c r="X11">
        <f>Table1[[#This Row],[DeliveryDate]]-Table1[[#This Row],[OrderDate]]</f>
        <v>10</v>
      </c>
      <c r="Y11" t="str">
        <f>TEXT(Table1[[#This Row],[OrderDate]],"MMMM")</f>
        <v>April</v>
      </c>
      <c r="Z11" s="5">
        <f>YEAR(Table1[[#This Row],[OrderDate]])</f>
        <v>2023</v>
      </c>
    </row>
    <row r="12" spans="1:26" x14ac:dyDescent="0.3">
      <c r="A12" s="1" t="s">
        <v>118</v>
      </c>
      <c r="B12" t="s">
        <v>119</v>
      </c>
      <c r="C12" s="3">
        <v>51</v>
      </c>
      <c r="D12" s="1" t="s">
        <v>24</v>
      </c>
      <c r="E12" s="1" t="s">
        <v>40</v>
      </c>
      <c r="F12" s="1" t="s">
        <v>91</v>
      </c>
      <c r="G12" s="4">
        <v>45208</v>
      </c>
      <c r="H12" s="4">
        <v>45209</v>
      </c>
      <c r="I12" s="1" t="s">
        <v>93</v>
      </c>
      <c r="J12" s="1" t="s">
        <v>30</v>
      </c>
      <c r="K12" s="3">
        <v>5</v>
      </c>
      <c r="L12" s="2">
        <v>5663</v>
      </c>
      <c r="M12" s="3">
        <v>5</v>
      </c>
      <c r="N12" s="1" t="s">
        <v>45</v>
      </c>
      <c r="O12" s="1" t="s">
        <v>86</v>
      </c>
      <c r="P12" s="1" t="s">
        <v>33</v>
      </c>
      <c r="Q12" s="1" t="s">
        <v>122</v>
      </c>
      <c r="R12" s="1" t="s">
        <v>123</v>
      </c>
      <c r="S12" s="3">
        <v>5</v>
      </c>
      <c r="T12" s="1" t="s">
        <v>36</v>
      </c>
      <c r="U12" s="3">
        <v>456</v>
      </c>
      <c r="V12" s="1" t="s">
        <v>79</v>
      </c>
      <c r="W12" s="5">
        <f>Table1[[#This Row],[Quantity]]*Table1[[#This Row],[Price]]*(1-Table1[[#This Row],[Discount %]]/100)</f>
        <v>26899.25</v>
      </c>
      <c r="X12">
        <f>Table1[[#This Row],[DeliveryDate]]-Table1[[#This Row],[OrderDate]]</f>
        <v>1</v>
      </c>
      <c r="Y12" t="str">
        <f>TEXT(Table1[[#This Row],[OrderDate]],"MMMM")</f>
        <v>October</v>
      </c>
      <c r="Z12" s="5">
        <f>YEAR(Table1[[#This Row],[OrderDate]])</f>
        <v>2023</v>
      </c>
    </row>
    <row r="13" spans="1:26" x14ac:dyDescent="0.3">
      <c r="A13" s="1" t="s">
        <v>124</v>
      </c>
      <c r="B13" t="s">
        <v>125</v>
      </c>
      <c r="C13" s="3">
        <v>37</v>
      </c>
      <c r="D13" s="1" t="s">
        <v>24</v>
      </c>
      <c r="E13" s="1" t="s">
        <v>25</v>
      </c>
      <c r="F13" s="1" t="s">
        <v>82</v>
      </c>
      <c r="G13" s="4">
        <v>45588</v>
      </c>
      <c r="H13" s="4">
        <v>45594</v>
      </c>
      <c r="I13" s="1" t="s">
        <v>43</v>
      </c>
      <c r="J13" s="1" t="s">
        <v>30</v>
      </c>
      <c r="K13" s="3">
        <v>4</v>
      </c>
      <c r="L13" s="2">
        <v>34012</v>
      </c>
      <c r="M13" s="3">
        <v>5</v>
      </c>
      <c r="N13" s="1" t="s">
        <v>45</v>
      </c>
      <c r="O13" s="1" t="s">
        <v>32</v>
      </c>
      <c r="P13" s="1" t="s">
        <v>33</v>
      </c>
      <c r="Q13" s="1" t="s">
        <v>3415</v>
      </c>
      <c r="R13" s="1" t="s">
        <v>128</v>
      </c>
      <c r="S13" s="3">
        <v>2</v>
      </c>
      <c r="T13" s="1" t="s">
        <v>96</v>
      </c>
      <c r="U13" s="3">
        <v>272</v>
      </c>
      <c r="V13" s="1" t="s">
        <v>79</v>
      </c>
      <c r="W13" s="5">
        <f>Table1[[#This Row],[Quantity]]*Table1[[#This Row],[Price]]*(1-Table1[[#This Row],[Discount %]]/100)</f>
        <v>129245.59999999999</v>
      </c>
      <c r="X13">
        <f>Table1[[#This Row],[DeliveryDate]]-Table1[[#This Row],[OrderDate]]</f>
        <v>6</v>
      </c>
      <c r="Y13" t="str">
        <f>TEXT(Table1[[#This Row],[OrderDate]],"MMMM")</f>
        <v>October</v>
      </c>
      <c r="Z13" s="5">
        <f>YEAR(Table1[[#This Row],[OrderDate]])</f>
        <v>2024</v>
      </c>
    </row>
    <row r="14" spans="1:26" x14ac:dyDescent="0.3">
      <c r="A14" s="1" t="s">
        <v>129</v>
      </c>
      <c r="B14" t="s">
        <v>130</v>
      </c>
      <c r="C14" s="3">
        <v>42</v>
      </c>
      <c r="D14" s="1" t="s">
        <v>24</v>
      </c>
      <c r="E14" s="1" t="s">
        <v>131</v>
      </c>
      <c r="F14" s="1" t="s">
        <v>82</v>
      </c>
      <c r="G14" s="4">
        <v>45401</v>
      </c>
      <c r="H14" s="4">
        <v>45403</v>
      </c>
      <c r="I14" s="1" t="s">
        <v>93</v>
      </c>
      <c r="J14" s="1" t="s">
        <v>44</v>
      </c>
      <c r="K14" s="3">
        <v>2</v>
      </c>
      <c r="L14" s="2">
        <v>50358</v>
      </c>
      <c r="M14" s="3">
        <v>5</v>
      </c>
      <c r="N14" s="1" t="s">
        <v>31</v>
      </c>
      <c r="O14" s="1" t="s">
        <v>133</v>
      </c>
      <c r="P14" s="1" t="s">
        <v>58</v>
      </c>
      <c r="Q14" s="1" t="s">
        <v>3415</v>
      </c>
      <c r="R14" s="1" t="s">
        <v>134</v>
      </c>
      <c r="S14" s="3">
        <v>3</v>
      </c>
      <c r="T14" s="1" t="s">
        <v>72</v>
      </c>
      <c r="U14" s="3">
        <v>82</v>
      </c>
      <c r="V14" s="1" t="s">
        <v>79</v>
      </c>
      <c r="W14" s="5">
        <f>Table1[[#This Row],[Quantity]]*Table1[[#This Row],[Price]]*(1-Table1[[#This Row],[Discount %]]/100)</f>
        <v>95680.2</v>
      </c>
      <c r="X14">
        <f>Table1[[#This Row],[DeliveryDate]]-Table1[[#This Row],[OrderDate]]</f>
        <v>2</v>
      </c>
      <c r="Y14" t="str">
        <f>TEXT(Table1[[#This Row],[OrderDate]],"MMMM")</f>
        <v>April</v>
      </c>
      <c r="Z14" s="5">
        <f>YEAR(Table1[[#This Row],[OrderDate]])</f>
        <v>2024</v>
      </c>
    </row>
    <row r="15" spans="1:26" x14ac:dyDescent="0.3">
      <c r="A15" s="1" t="s">
        <v>135</v>
      </c>
      <c r="B15" t="s">
        <v>136</v>
      </c>
      <c r="C15" s="3">
        <v>34</v>
      </c>
      <c r="D15" s="1" t="s">
        <v>24</v>
      </c>
      <c r="E15" s="1" t="s">
        <v>26</v>
      </c>
      <c r="F15" s="1" t="s">
        <v>65</v>
      </c>
      <c r="G15" s="4">
        <v>45519</v>
      </c>
      <c r="H15" s="4">
        <v>45526</v>
      </c>
      <c r="I15" s="1" t="s">
        <v>29</v>
      </c>
      <c r="J15" s="1" t="s">
        <v>30</v>
      </c>
      <c r="K15" s="3">
        <v>4</v>
      </c>
      <c r="L15" s="2">
        <v>60856</v>
      </c>
      <c r="M15" s="3">
        <v>15</v>
      </c>
      <c r="N15" s="1" t="s">
        <v>56</v>
      </c>
      <c r="O15" s="1" t="s">
        <v>46</v>
      </c>
      <c r="P15" s="1" t="s">
        <v>69</v>
      </c>
      <c r="Q15" s="1" t="s">
        <v>3415</v>
      </c>
      <c r="R15" s="1" t="s">
        <v>139</v>
      </c>
      <c r="S15" s="3">
        <v>1</v>
      </c>
      <c r="T15" s="1" t="s">
        <v>96</v>
      </c>
      <c r="U15" s="3">
        <v>467</v>
      </c>
      <c r="V15" s="1" t="s">
        <v>37</v>
      </c>
      <c r="W15" s="5">
        <f>Table1[[#This Row],[Quantity]]*Table1[[#This Row],[Price]]*(1-Table1[[#This Row],[Discount %]]/100)</f>
        <v>206910.4</v>
      </c>
      <c r="X15">
        <f>Table1[[#This Row],[DeliveryDate]]-Table1[[#This Row],[OrderDate]]</f>
        <v>7</v>
      </c>
      <c r="Y15" t="str">
        <f>TEXT(Table1[[#This Row],[OrderDate]],"MMMM")</f>
        <v>August</v>
      </c>
      <c r="Z15" s="5">
        <f>YEAR(Table1[[#This Row],[OrderDate]])</f>
        <v>2024</v>
      </c>
    </row>
    <row r="16" spans="1:26" x14ac:dyDescent="0.3">
      <c r="A16" s="1" t="s">
        <v>140</v>
      </c>
      <c r="B16" t="s">
        <v>141</v>
      </c>
      <c r="C16" s="3">
        <v>53</v>
      </c>
      <c r="D16" s="1" t="s">
        <v>51</v>
      </c>
      <c r="E16" s="1" t="s">
        <v>142</v>
      </c>
      <c r="F16" s="1" t="s">
        <v>82</v>
      </c>
      <c r="G16" s="4">
        <v>45122</v>
      </c>
      <c r="H16" s="4">
        <v>45125</v>
      </c>
      <c r="I16" s="1" t="s">
        <v>108</v>
      </c>
      <c r="J16" s="1" t="s">
        <v>44</v>
      </c>
      <c r="K16" s="3">
        <v>3</v>
      </c>
      <c r="L16" s="2">
        <v>42109.716287215415</v>
      </c>
      <c r="M16" s="3">
        <v>15</v>
      </c>
      <c r="N16" s="1" t="s">
        <v>31</v>
      </c>
      <c r="O16" s="1" t="s">
        <v>102</v>
      </c>
      <c r="P16" s="1" t="s">
        <v>33</v>
      </c>
      <c r="Q16" s="1" t="s">
        <v>144</v>
      </c>
      <c r="R16" s="1" t="s">
        <v>3415</v>
      </c>
      <c r="S16" s="3">
        <v>5</v>
      </c>
      <c r="T16" s="1" t="s">
        <v>36</v>
      </c>
      <c r="U16" s="3">
        <v>161</v>
      </c>
      <c r="V16" s="1" t="s">
        <v>37</v>
      </c>
      <c r="W16" s="5">
        <f>Table1[[#This Row],[Quantity]]*Table1[[#This Row],[Price]]*(1-Table1[[#This Row],[Discount %]]/100)</f>
        <v>107379.77653239931</v>
      </c>
      <c r="X16">
        <f>Table1[[#This Row],[DeliveryDate]]-Table1[[#This Row],[OrderDate]]</f>
        <v>3</v>
      </c>
      <c r="Y16" t="str">
        <f>TEXT(Table1[[#This Row],[OrderDate]],"MMMM")</f>
        <v>July</v>
      </c>
      <c r="Z16" s="5">
        <f>YEAR(Table1[[#This Row],[OrderDate]])</f>
        <v>2023</v>
      </c>
    </row>
    <row r="17" spans="1:26" x14ac:dyDescent="0.3">
      <c r="A17" s="1" t="s">
        <v>145</v>
      </c>
      <c r="B17" t="s">
        <v>141</v>
      </c>
      <c r="C17" s="3">
        <v>36</v>
      </c>
      <c r="D17" s="1" t="s">
        <v>24</v>
      </c>
      <c r="E17" s="1" t="s">
        <v>99</v>
      </c>
      <c r="F17" s="1" t="s">
        <v>65</v>
      </c>
      <c r="G17" s="4">
        <v>45583</v>
      </c>
      <c r="H17" s="4">
        <v>45589</v>
      </c>
      <c r="I17" s="1" t="s">
        <v>29</v>
      </c>
      <c r="J17" s="1" t="s">
        <v>44</v>
      </c>
      <c r="K17" s="3">
        <v>4</v>
      </c>
      <c r="L17" s="2">
        <v>67350</v>
      </c>
      <c r="M17" s="3">
        <v>0</v>
      </c>
      <c r="N17" s="1" t="s">
        <v>45</v>
      </c>
      <c r="O17" s="1" t="s">
        <v>68</v>
      </c>
      <c r="P17" s="1" t="s">
        <v>33</v>
      </c>
      <c r="Q17" s="1" t="s">
        <v>144</v>
      </c>
      <c r="R17" s="1" t="s">
        <v>148</v>
      </c>
      <c r="S17" s="3">
        <v>3</v>
      </c>
      <c r="T17" s="1" t="s">
        <v>36</v>
      </c>
      <c r="U17" s="3">
        <v>141</v>
      </c>
      <c r="V17" s="1" t="s">
        <v>79</v>
      </c>
      <c r="W17" s="5">
        <f>Table1[[#This Row],[Quantity]]*Table1[[#This Row],[Price]]*(1-Table1[[#This Row],[Discount %]]/100)</f>
        <v>269400</v>
      </c>
      <c r="X17">
        <f>Table1[[#This Row],[DeliveryDate]]-Table1[[#This Row],[OrderDate]]</f>
        <v>6</v>
      </c>
      <c r="Y17" t="str">
        <f>TEXT(Table1[[#This Row],[OrderDate]],"MMMM")</f>
        <v>October</v>
      </c>
      <c r="Z17" s="5">
        <f>YEAR(Table1[[#This Row],[OrderDate]])</f>
        <v>2024</v>
      </c>
    </row>
    <row r="18" spans="1:26" x14ac:dyDescent="0.3">
      <c r="A18" s="1" t="s">
        <v>149</v>
      </c>
      <c r="B18" t="s">
        <v>150</v>
      </c>
      <c r="C18" s="3">
        <v>51</v>
      </c>
      <c r="D18" s="1" t="s">
        <v>24</v>
      </c>
      <c r="E18" s="1" t="s">
        <v>26</v>
      </c>
      <c r="F18" s="1" t="s">
        <v>26</v>
      </c>
      <c r="G18" s="4">
        <v>45073</v>
      </c>
      <c r="H18" s="4">
        <v>45079</v>
      </c>
      <c r="I18" s="1" t="s">
        <v>108</v>
      </c>
      <c r="J18" s="1" t="s">
        <v>30</v>
      </c>
      <c r="K18" s="3">
        <v>3</v>
      </c>
      <c r="L18" s="2">
        <v>5673</v>
      </c>
      <c r="M18" s="3">
        <v>10</v>
      </c>
      <c r="N18" s="1" t="s">
        <v>56</v>
      </c>
      <c r="O18" s="1" t="s">
        <v>46</v>
      </c>
      <c r="P18" s="1" t="s">
        <v>33</v>
      </c>
      <c r="Q18" s="1" t="s">
        <v>153</v>
      </c>
      <c r="R18" s="1" t="s">
        <v>154</v>
      </c>
      <c r="S18" s="3">
        <v>2</v>
      </c>
      <c r="T18" s="1" t="s">
        <v>72</v>
      </c>
      <c r="U18" s="3">
        <v>459</v>
      </c>
      <c r="V18" s="1" t="s">
        <v>37</v>
      </c>
      <c r="W18" s="5">
        <f>Table1[[#This Row],[Quantity]]*Table1[[#This Row],[Price]]*(1-Table1[[#This Row],[Discount %]]/100)</f>
        <v>15317.1</v>
      </c>
      <c r="X18">
        <f>Table1[[#This Row],[DeliveryDate]]-Table1[[#This Row],[OrderDate]]</f>
        <v>6</v>
      </c>
      <c r="Y18" t="str">
        <f>TEXT(Table1[[#This Row],[OrderDate]],"MMMM")</f>
        <v>May</v>
      </c>
      <c r="Z18" s="5">
        <f>YEAR(Table1[[#This Row],[OrderDate]])</f>
        <v>2023</v>
      </c>
    </row>
    <row r="19" spans="1:26" x14ac:dyDescent="0.3">
      <c r="A19" s="1" t="s">
        <v>155</v>
      </c>
      <c r="B19" t="s">
        <v>156</v>
      </c>
      <c r="C19" s="3">
        <v>48</v>
      </c>
      <c r="D19" s="1" t="s">
        <v>51</v>
      </c>
      <c r="E19" s="1" t="s">
        <v>99</v>
      </c>
      <c r="F19" s="1" t="s">
        <v>65</v>
      </c>
      <c r="G19" s="4">
        <v>45235</v>
      </c>
      <c r="H19" s="4">
        <v>45243</v>
      </c>
      <c r="I19" s="1" t="s">
        <v>77</v>
      </c>
      <c r="J19" s="1" t="s">
        <v>44</v>
      </c>
      <c r="K19" s="3">
        <v>4</v>
      </c>
      <c r="L19" s="2">
        <v>35069</v>
      </c>
      <c r="M19" s="3">
        <v>5</v>
      </c>
      <c r="N19" s="1" t="s">
        <v>31</v>
      </c>
      <c r="O19" s="1" t="s">
        <v>68</v>
      </c>
      <c r="P19" s="1" t="s">
        <v>33</v>
      </c>
      <c r="Q19" s="1" t="s">
        <v>159</v>
      </c>
      <c r="R19" s="1" t="s">
        <v>160</v>
      </c>
      <c r="S19" s="3">
        <v>3</v>
      </c>
      <c r="T19" s="1" t="s">
        <v>96</v>
      </c>
      <c r="U19" s="3">
        <v>263</v>
      </c>
      <c r="V19" s="1" t="s">
        <v>62</v>
      </c>
      <c r="W19" s="5">
        <f>Table1[[#This Row],[Quantity]]*Table1[[#This Row],[Price]]*(1-Table1[[#This Row],[Discount %]]/100)</f>
        <v>133262.19999999998</v>
      </c>
      <c r="X19">
        <f>Table1[[#This Row],[DeliveryDate]]-Table1[[#This Row],[OrderDate]]</f>
        <v>8</v>
      </c>
      <c r="Y19" t="str">
        <f>TEXT(Table1[[#This Row],[OrderDate]],"MMMM")</f>
        <v>November</v>
      </c>
      <c r="Z19" s="5">
        <f>YEAR(Table1[[#This Row],[OrderDate]])</f>
        <v>2023</v>
      </c>
    </row>
    <row r="20" spans="1:26" x14ac:dyDescent="0.3">
      <c r="A20" s="1" t="s">
        <v>161</v>
      </c>
      <c r="B20" t="s">
        <v>162</v>
      </c>
      <c r="C20" s="3">
        <v>53</v>
      </c>
      <c r="D20" s="1" t="s">
        <v>51</v>
      </c>
      <c r="E20" s="1" t="s">
        <v>131</v>
      </c>
      <c r="F20" s="1" t="s">
        <v>82</v>
      </c>
      <c r="G20" s="4">
        <v>44940</v>
      </c>
      <c r="H20" s="4">
        <v>44942</v>
      </c>
      <c r="I20" s="1" t="s">
        <v>77</v>
      </c>
      <c r="J20" s="1" t="s">
        <v>30</v>
      </c>
      <c r="K20" s="3">
        <v>1</v>
      </c>
      <c r="L20" s="2">
        <v>28582</v>
      </c>
      <c r="M20" s="3">
        <v>0</v>
      </c>
      <c r="N20" s="1" t="s">
        <v>166</v>
      </c>
      <c r="O20" s="1" t="s">
        <v>57</v>
      </c>
      <c r="P20" s="1" t="s">
        <v>69</v>
      </c>
      <c r="Q20" s="1" t="s">
        <v>167</v>
      </c>
      <c r="R20" s="1" t="s">
        <v>168</v>
      </c>
      <c r="S20" s="3">
        <v>5</v>
      </c>
      <c r="T20" s="1" t="s">
        <v>96</v>
      </c>
      <c r="U20" s="3">
        <v>95</v>
      </c>
      <c r="V20" s="1" t="s">
        <v>37</v>
      </c>
      <c r="W20" s="5">
        <f>Table1[[#This Row],[Quantity]]*Table1[[#This Row],[Price]]*(1-Table1[[#This Row],[Discount %]]/100)</f>
        <v>28582</v>
      </c>
      <c r="X20">
        <f>Table1[[#This Row],[DeliveryDate]]-Table1[[#This Row],[OrderDate]]</f>
        <v>2</v>
      </c>
      <c r="Y20" t="str">
        <f>TEXT(Table1[[#This Row],[OrderDate]],"MMMM")</f>
        <v>January</v>
      </c>
      <c r="Z20" s="5">
        <f>YEAR(Table1[[#This Row],[OrderDate]])</f>
        <v>2023</v>
      </c>
    </row>
    <row r="21" spans="1:26" x14ac:dyDescent="0.3">
      <c r="A21" s="1" t="s">
        <v>169</v>
      </c>
      <c r="B21" t="s">
        <v>170</v>
      </c>
      <c r="C21" s="3">
        <v>37</v>
      </c>
      <c r="D21" s="1" t="s">
        <v>51</v>
      </c>
      <c r="E21" s="1" t="s">
        <v>131</v>
      </c>
      <c r="F21" s="1" t="s">
        <v>82</v>
      </c>
      <c r="G21" s="4">
        <v>45134</v>
      </c>
      <c r="H21" s="4">
        <v>45143</v>
      </c>
      <c r="I21" s="1" t="s">
        <v>93</v>
      </c>
      <c r="J21" s="1" t="s">
        <v>30</v>
      </c>
      <c r="K21" s="3">
        <v>2</v>
      </c>
      <c r="L21" s="2">
        <v>42817</v>
      </c>
      <c r="M21" s="3">
        <v>0</v>
      </c>
      <c r="N21" s="1" t="s">
        <v>166</v>
      </c>
      <c r="O21" s="1" t="s">
        <v>173</v>
      </c>
      <c r="P21" s="1" t="s">
        <v>174</v>
      </c>
      <c r="Q21" s="1" t="s">
        <v>175</v>
      </c>
      <c r="R21" s="1" t="s">
        <v>176</v>
      </c>
      <c r="S21" s="3">
        <v>5</v>
      </c>
      <c r="T21" s="1" t="s">
        <v>36</v>
      </c>
      <c r="U21" s="3">
        <v>312</v>
      </c>
      <c r="V21" s="1" t="s">
        <v>62</v>
      </c>
      <c r="W21" s="5">
        <f>Table1[[#This Row],[Quantity]]*Table1[[#This Row],[Price]]*(1-Table1[[#This Row],[Discount %]]/100)</f>
        <v>85634</v>
      </c>
      <c r="X21">
        <f>Table1[[#This Row],[DeliveryDate]]-Table1[[#This Row],[OrderDate]]</f>
        <v>9</v>
      </c>
      <c r="Y21" t="str">
        <f>TEXT(Table1[[#This Row],[OrderDate]],"MMMM")</f>
        <v>July</v>
      </c>
      <c r="Z21" s="5">
        <f>YEAR(Table1[[#This Row],[OrderDate]])</f>
        <v>2023</v>
      </c>
    </row>
    <row r="22" spans="1:26" x14ac:dyDescent="0.3">
      <c r="A22" s="1" t="s">
        <v>177</v>
      </c>
      <c r="B22" t="s">
        <v>98</v>
      </c>
      <c r="C22" s="3">
        <v>60</v>
      </c>
      <c r="D22" s="1" t="s">
        <v>51</v>
      </c>
      <c r="E22" s="1" t="s">
        <v>25</v>
      </c>
      <c r="F22" s="1" t="s">
        <v>26</v>
      </c>
      <c r="G22" s="4">
        <v>45184</v>
      </c>
      <c r="H22" s="4">
        <v>45192</v>
      </c>
      <c r="I22" s="1" t="s">
        <v>29</v>
      </c>
      <c r="J22" s="1" t="s">
        <v>44</v>
      </c>
      <c r="K22" s="3">
        <v>3</v>
      </c>
      <c r="L22" s="2">
        <v>45158</v>
      </c>
      <c r="M22" s="3">
        <v>0</v>
      </c>
      <c r="N22" s="1" t="s">
        <v>31</v>
      </c>
      <c r="O22" s="1" t="s">
        <v>109</v>
      </c>
      <c r="P22" s="1" t="s">
        <v>174</v>
      </c>
      <c r="Q22" s="1" t="s">
        <v>3415</v>
      </c>
      <c r="R22" s="1" t="s">
        <v>180</v>
      </c>
      <c r="S22" s="3">
        <v>4</v>
      </c>
      <c r="T22" s="1" t="s">
        <v>72</v>
      </c>
      <c r="U22" s="3">
        <v>274</v>
      </c>
      <c r="V22" s="1" t="s">
        <v>37</v>
      </c>
      <c r="W22" s="5">
        <f>Table1[[#This Row],[Quantity]]*Table1[[#This Row],[Price]]*(1-Table1[[#This Row],[Discount %]]/100)</f>
        <v>135474</v>
      </c>
      <c r="X22">
        <f>Table1[[#This Row],[DeliveryDate]]-Table1[[#This Row],[OrderDate]]</f>
        <v>8</v>
      </c>
      <c r="Y22" t="str">
        <f>TEXT(Table1[[#This Row],[OrderDate]],"MMMM")</f>
        <v>September</v>
      </c>
      <c r="Z22" s="5">
        <f>YEAR(Table1[[#This Row],[OrderDate]])</f>
        <v>2023</v>
      </c>
    </row>
    <row r="23" spans="1:26" x14ac:dyDescent="0.3">
      <c r="A23" s="1" t="s">
        <v>181</v>
      </c>
      <c r="B23" t="s">
        <v>182</v>
      </c>
      <c r="C23" s="3">
        <v>37</v>
      </c>
      <c r="D23" s="1" t="s">
        <v>24</v>
      </c>
      <c r="E23" s="1" t="s">
        <v>52</v>
      </c>
      <c r="F23" s="1" t="s">
        <v>53</v>
      </c>
      <c r="G23" s="4">
        <v>45117</v>
      </c>
      <c r="H23" s="4">
        <v>45124</v>
      </c>
      <c r="I23" s="1" t="s">
        <v>85</v>
      </c>
      <c r="J23" s="1" t="s">
        <v>44</v>
      </c>
      <c r="K23" s="3">
        <v>1</v>
      </c>
      <c r="L23" s="2">
        <v>56566</v>
      </c>
      <c r="M23" s="3">
        <v>10</v>
      </c>
      <c r="N23" s="1" t="s">
        <v>166</v>
      </c>
      <c r="O23" s="1" t="s">
        <v>32</v>
      </c>
      <c r="P23" s="1" t="s">
        <v>33</v>
      </c>
      <c r="Q23" s="1" t="s">
        <v>186</v>
      </c>
      <c r="R23" s="1" t="s">
        <v>187</v>
      </c>
      <c r="S23" s="3">
        <v>3</v>
      </c>
      <c r="T23" s="1" t="s">
        <v>96</v>
      </c>
      <c r="U23" s="3">
        <v>134</v>
      </c>
      <c r="V23" s="1" t="s">
        <v>79</v>
      </c>
      <c r="W23" s="5">
        <f>Table1[[#This Row],[Quantity]]*Table1[[#This Row],[Price]]*(1-Table1[[#This Row],[Discount %]]/100)</f>
        <v>50909.4</v>
      </c>
      <c r="X23">
        <f>Table1[[#This Row],[DeliveryDate]]-Table1[[#This Row],[OrderDate]]</f>
        <v>7</v>
      </c>
      <c r="Y23" t="str">
        <f>TEXT(Table1[[#This Row],[OrderDate]],"MMMM")</f>
        <v>July</v>
      </c>
      <c r="Z23" s="5">
        <f>YEAR(Table1[[#This Row],[OrderDate]])</f>
        <v>2023</v>
      </c>
    </row>
    <row r="24" spans="1:26" x14ac:dyDescent="0.3">
      <c r="A24" s="1" t="s">
        <v>188</v>
      </c>
      <c r="B24" t="s">
        <v>808</v>
      </c>
      <c r="C24" s="3">
        <v>25</v>
      </c>
      <c r="D24" s="1" t="s">
        <v>51</v>
      </c>
      <c r="E24" s="1" t="s">
        <v>99</v>
      </c>
      <c r="F24" s="1" t="s">
        <v>82</v>
      </c>
      <c r="G24" s="4">
        <v>45053</v>
      </c>
      <c r="H24" s="4">
        <v>45063</v>
      </c>
      <c r="I24" s="1" t="s">
        <v>93</v>
      </c>
      <c r="J24" s="1" t="s">
        <v>44</v>
      </c>
      <c r="K24" s="3">
        <v>5</v>
      </c>
      <c r="L24" s="2">
        <v>14757</v>
      </c>
      <c r="M24" s="3">
        <v>0</v>
      </c>
      <c r="N24" s="1" t="s">
        <v>31</v>
      </c>
      <c r="O24" s="1" t="s">
        <v>57</v>
      </c>
      <c r="P24" s="1" t="s">
        <v>33</v>
      </c>
      <c r="Q24" s="1" t="s">
        <v>191</v>
      </c>
      <c r="R24" s="1" t="s">
        <v>3415</v>
      </c>
      <c r="S24" s="3">
        <v>1</v>
      </c>
      <c r="T24" s="1" t="s">
        <v>96</v>
      </c>
      <c r="U24" s="3">
        <v>341</v>
      </c>
      <c r="V24" s="1" t="s">
        <v>62</v>
      </c>
      <c r="W24" s="5">
        <f>Table1[[#This Row],[Quantity]]*Table1[[#This Row],[Price]]*(1-Table1[[#This Row],[Discount %]]/100)</f>
        <v>73785</v>
      </c>
      <c r="X24">
        <f>Table1[[#This Row],[DeliveryDate]]-Table1[[#This Row],[OrderDate]]</f>
        <v>10</v>
      </c>
      <c r="Y24" t="str">
        <f>TEXT(Table1[[#This Row],[OrderDate]],"MMMM")</f>
        <v>May</v>
      </c>
      <c r="Z24" s="5">
        <f>YEAR(Table1[[#This Row],[OrderDate]])</f>
        <v>2023</v>
      </c>
    </row>
    <row r="25" spans="1:26" x14ac:dyDescent="0.3">
      <c r="A25" s="1" t="s">
        <v>192</v>
      </c>
      <c r="B25" t="s">
        <v>193</v>
      </c>
      <c r="C25" s="3">
        <v>23</v>
      </c>
      <c r="D25" s="1" t="s">
        <v>51</v>
      </c>
      <c r="E25" s="1" t="s">
        <v>25</v>
      </c>
      <c r="F25" s="1" t="s">
        <v>53</v>
      </c>
      <c r="G25" s="4">
        <v>45577</v>
      </c>
      <c r="H25" s="4">
        <v>45583</v>
      </c>
      <c r="I25" s="1" t="s">
        <v>43</v>
      </c>
      <c r="J25" s="1" t="s">
        <v>44</v>
      </c>
      <c r="K25" s="3">
        <v>5</v>
      </c>
      <c r="L25" s="2">
        <v>16091</v>
      </c>
      <c r="M25" s="3">
        <v>15</v>
      </c>
      <c r="N25" s="1" t="s">
        <v>166</v>
      </c>
      <c r="O25" s="1" t="s">
        <v>86</v>
      </c>
      <c r="P25" s="1" t="s">
        <v>174</v>
      </c>
      <c r="Q25" s="1" t="s">
        <v>195</v>
      </c>
      <c r="R25" s="1" t="s">
        <v>196</v>
      </c>
      <c r="S25" s="3">
        <v>3</v>
      </c>
      <c r="T25" s="1" t="s">
        <v>36</v>
      </c>
      <c r="U25" s="3">
        <v>421</v>
      </c>
      <c r="V25" s="1" t="s">
        <v>37</v>
      </c>
      <c r="W25" s="5">
        <f>Table1[[#This Row],[Quantity]]*Table1[[#This Row],[Price]]*(1-Table1[[#This Row],[Discount %]]/100)</f>
        <v>68386.75</v>
      </c>
      <c r="X25">
        <f>Table1[[#This Row],[DeliveryDate]]-Table1[[#This Row],[OrderDate]]</f>
        <v>6</v>
      </c>
      <c r="Y25" t="str">
        <f>TEXT(Table1[[#This Row],[OrderDate]],"MMMM")</f>
        <v>October</v>
      </c>
      <c r="Z25" s="5">
        <f>YEAR(Table1[[#This Row],[OrderDate]])</f>
        <v>2024</v>
      </c>
    </row>
    <row r="26" spans="1:26" x14ac:dyDescent="0.3">
      <c r="A26" s="1" t="s">
        <v>197</v>
      </c>
      <c r="B26" t="s">
        <v>198</v>
      </c>
      <c r="C26" s="3">
        <v>47</v>
      </c>
      <c r="D26" s="1" t="s">
        <v>51</v>
      </c>
      <c r="E26" s="1" t="s">
        <v>99</v>
      </c>
      <c r="F26" s="1" t="s">
        <v>53</v>
      </c>
      <c r="G26" s="4">
        <v>45600</v>
      </c>
      <c r="H26" s="4">
        <v>45601</v>
      </c>
      <c r="I26" s="1" t="s">
        <v>108</v>
      </c>
      <c r="J26" s="1" t="s">
        <v>30</v>
      </c>
      <c r="K26" s="3">
        <v>1</v>
      </c>
      <c r="L26" s="2">
        <v>38597</v>
      </c>
      <c r="M26" s="3">
        <v>15</v>
      </c>
      <c r="N26" s="1" t="s">
        <v>56</v>
      </c>
      <c r="O26" s="1" t="s">
        <v>133</v>
      </c>
      <c r="P26" s="1" t="s">
        <v>174</v>
      </c>
      <c r="Q26" s="1" t="s">
        <v>201</v>
      </c>
      <c r="R26" s="1" t="s">
        <v>202</v>
      </c>
      <c r="S26" s="3">
        <v>4</v>
      </c>
      <c r="T26" s="1" t="s">
        <v>36</v>
      </c>
      <c r="U26" s="3">
        <v>466</v>
      </c>
      <c r="V26" s="1" t="s">
        <v>79</v>
      </c>
      <c r="W26" s="5">
        <f>Table1[[#This Row],[Quantity]]*Table1[[#This Row],[Price]]*(1-Table1[[#This Row],[Discount %]]/100)</f>
        <v>32807.449999999997</v>
      </c>
      <c r="X26">
        <f>Table1[[#This Row],[DeliveryDate]]-Table1[[#This Row],[OrderDate]]</f>
        <v>1</v>
      </c>
      <c r="Y26" t="str">
        <f>TEXT(Table1[[#This Row],[OrderDate]],"MMMM")</f>
        <v>November</v>
      </c>
      <c r="Z26" s="5">
        <f>YEAR(Table1[[#This Row],[OrderDate]])</f>
        <v>2024</v>
      </c>
    </row>
    <row r="27" spans="1:26" x14ac:dyDescent="0.3">
      <c r="A27" s="1" t="s">
        <v>203</v>
      </c>
      <c r="B27" t="s">
        <v>204</v>
      </c>
      <c r="C27" s="3">
        <v>24</v>
      </c>
      <c r="D27" s="1" t="s">
        <v>24</v>
      </c>
      <c r="E27" s="1" t="s">
        <v>26</v>
      </c>
      <c r="F27" s="1" t="s">
        <v>26</v>
      </c>
      <c r="G27" s="4">
        <v>45619</v>
      </c>
      <c r="H27" s="4">
        <v>45624</v>
      </c>
      <c r="I27" s="1" t="s">
        <v>85</v>
      </c>
      <c r="J27" s="1" t="s">
        <v>30</v>
      </c>
      <c r="K27" s="3">
        <v>3</v>
      </c>
      <c r="L27" s="2">
        <v>16895</v>
      </c>
      <c r="M27" s="3">
        <v>5</v>
      </c>
      <c r="N27" s="1" t="s">
        <v>166</v>
      </c>
      <c r="O27" s="1" t="s">
        <v>86</v>
      </c>
      <c r="P27" s="1" t="s">
        <v>69</v>
      </c>
      <c r="Q27" s="1" t="s">
        <v>207</v>
      </c>
      <c r="R27" s="1" t="s">
        <v>3415</v>
      </c>
      <c r="S27" s="3">
        <v>4</v>
      </c>
      <c r="T27" s="1" t="s">
        <v>96</v>
      </c>
      <c r="U27" s="3">
        <v>318</v>
      </c>
      <c r="V27" s="1" t="s">
        <v>79</v>
      </c>
      <c r="W27" s="5">
        <f>Table1[[#This Row],[Quantity]]*Table1[[#This Row],[Price]]*(1-Table1[[#This Row],[Discount %]]/100)</f>
        <v>48150.75</v>
      </c>
      <c r="X27">
        <f>Table1[[#This Row],[DeliveryDate]]-Table1[[#This Row],[OrderDate]]</f>
        <v>5</v>
      </c>
      <c r="Y27" t="str">
        <f>TEXT(Table1[[#This Row],[OrderDate]],"MMMM")</f>
        <v>November</v>
      </c>
      <c r="Z27" s="5">
        <f>YEAR(Table1[[#This Row],[OrderDate]])</f>
        <v>2024</v>
      </c>
    </row>
    <row r="28" spans="1:26" x14ac:dyDescent="0.3">
      <c r="A28" s="1" t="s">
        <v>208</v>
      </c>
      <c r="B28" t="s">
        <v>209</v>
      </c>
      <c r="C28" s="3">
        <v>39</v>
      </c>
      <c r="D28" s="1" t="s">
        <v>51</v>
      </c>
      <c r="E28" s="1" t="s">
        <v>142</v>
      </c>
      <c r="F28" s="1" t="s">
        <v>26</v>
      </c>
      <c r="G28" s="4">
        <v>45420</v>
      </c>
      <c r="H28" s="4">
        <v>45423</v>
      </c>
      <c r="I28" s="1" t="s">
        <v>77</v>
      </c>
      <c r="J28" s="1" t="s">
        <v>30</v>
      </c>
      <c r="K28" s="3">
        <v>1</v>
      </c>
      <c r="L28" s="2">
        <v>25660</v>
      </c>
      <c r="M28" s="3">
        <v>5</v>
      </c>
      <c r="N28" s="1" t="s">
        <v>45</v>
      </c>
      <c r="O28" s="1" t="s">
        <v>173</v>
      </c>
      <c r="P28" s="1" t="s">
        <v>33</v>
      </c>
      <c r="Q28" s="1" t="s">
        <v>3415</v>
      </c>
      <c r="R28" s="1" t="s">
        <v>3415</v>
      </c>
      <c r="S28" s="3">
        <v>4</v>
      </c>
      <c r="T28" s="1" t="s">
        <v>36</v>
      </c>
      <c r="U28" s="3">
        <v>212</v>
      </c>
      <c r="V28" s="1" t="s">
        <v>79</v>
      </c>
      <c r="W28" s="5">
        <f>Table1[[#This Row],[Quantity]]*Table1[[#This Row],[Price]]*(1-Table1[[#This Row],[Discount %]]/100)</f>
        <v>24377</v>
      </c>
      <c r="X28">
        <f>Table1[[#This Row],[DeliveryDate]]-Table1[[#This Row],[OrderDate]]</f>
        <v>3</v>
      </c>
      <c r="Y28" t="str">
        <f>TEXT(Table1[[#This Row],[OrderDate]],"MMMM")</f>
        <v>May</v>
      </c>
      <c r="Z28" s="5">
        <f>YEAR(Table1[[#This Row],[OrderDate]])</f>
        <v>2024</v>
      </c>
    </row>
    <row r="29" spans="1:26" x14ac:dyDescent="0.3">
      <c r="A29" s="1" t="s">
        <v>211</v>
      </c>
      <c r="B29" t="s">
        <v>74</v>
      </c>
      <c r="C29" s="3">
        <v>59</v>
      </c>
      <c r="D29" s="1" t="s">
        <v>51</v>
      </c>
      <c r="E29" s="1" t="s">
        <v>142</v>
      </c>
      <c r="F29" s="1" t="s">
        <v>53</v>
      </c>
      <c r="G29" s="4">
        <v>45586</v>
      </c>
      <c r="H29" s="4">
        <v>45591</v>
      </c>
      <c r="I29" s="1" t="s">
        <v>108</v>
      </c>
      <c r="J29" s="1" t="s">
        <v>30</v>
      </c>
      <c r="K29" s="3">
        <v>2</v>
      </c>
      <c r="L29" s="2">
        <v>17174</v>
      </c>
      <c r="M29" s="3">
        <v>15</v>
      </c>
      <c r="N29" s="1" t="s">
        <v>31</v>
      </c>
      <c r="O29" s="1" t="s">
        <v>57</v>
      </c>
      <c r="P29" s="1" t="s">
        <v>69</v>
      </c>
      <c r="Q29" s="1" t="s">
        <v>78</v>
      </c>
      <c r="R29" s="1" t="s">
        <v>214</v>
      </c>
      <c r="S29" s="3">
        <v>3</v>
      </c>
      <c r="T29" s="1" t="s">
        <v>61</v>
      </c>
      <c r="U29" s="3">
        <v>383</v>
      </c>
      <c r="V29" s="1" t="s">
        <v>79</v>
      </c>
      <c r="W29" s="5">
        <f>Table1[[#This Row],[Quantity]]*Table1[[#This Row],[Price]]*(1-Table1[[#This Row],[Discount %]]/100)</f>
        <v>29195.8</v>
      </c>
      <c r="X29">
        <f>Table1[[#This Row],[DeliveryDate]]-Table1[[#This Row],[OrderDate]]</f>
        <v>5</v>
      </c>
      <c r="Y29" t="str">
        <f>TEXT(Table1[[#This Row],[OrderDate]],"MMMM")</f>
        <v>October</v>
      </c>
      <c r="Z29" s="5">
        <f>YEAR(Table1[[#This Row],[OrderDate]])</f>
        <v>2024</v>
      </c>
    </row>
    <row r="30" spans="1:26" x14ac:dyDescent="0.3">
      <c r="A30" s="1" t="s">
        <v>215</v>
      </c>
      <c r="B30" t="s">
        <v>216</v>
      </c>
      <c r="C30" s="3">
        <v>47</v>
      </c>
      <c r="D30" s="1" t="s">
        <v>51</v>
      </c>
      <c r="E30" s="1" t="s">
        <v>52</v>
      </c>
      <c r="F30" s="1" t="s">
        <v>26</v>
      </c>
      <c r="G30" s="4">
        <v>45344</v>
      </c>
      <c r="H30" s="4">
        <v>45345</v>
      </c>
      <c r="I30" s="1" t="s">
        <v>93</v>
      </c>
      <c r="J30" s="1" t="s">
        <v>30</v>
      </c>
      <c r="K30" s="3">
        <v>5</v>
      </c>
      <c r="L30" s="2">
        <v>57424</v>
      </c>
      <c r="M30" s="3">
        <v>5</v>
      </c>
      <c r="N30" s="1" t="s">
        <v>166</v>
      </c>
      <c r="O30" s="1" t="s">
        <v>133</v>
      </c>
      <c r="P30" s="1" t="s">
        <v>69</v>
      </c>
      <c r="Q30" s="1" t="s">
        <v>219</v>
      </c>
      <c r="R30" s="1" t="s">
        <v>220</v>
      </c>
      <c r="S30" s="3">
        <v>2</v>
      </c>
      <c r="T30" s="1" t="s">
        <v>36</v>
      </c>
      <c r="U30" s="3">
        <v>290</v>
      </c>
      <c r="V30" s="1" t="s">
        <v>37</v>
      </c>
      <c r="W30" s="5">
        <f>Table1[[#This Row],[Quantity]]*Table1[[#This Row],[Price]]*(1-Table1[[#This Row],[Discount %]]/100)</f>
        <v>272764</v>
      </c>
      <c r="X30">
        <f>Table1[[#This Row],[DeliveryDate]]-Table1[[#This Row],[OrderDate]]</f>
        <v>1</v>
      </c>
      <c r="Y30" t="str">
        <f>TEXT(Table1[[#This Row],[OrderDate]],"MMMM")</f>
        <v>February</v>
      </c>
      <c r="Z30" s="5">
        <f>YEAR(Table1[[#This Row],[OrderDate]])</f>
        <v>2024</v>
      </c>
    </row>
    <row r="31" spans="1:26" x14ac:dyDescent="0.3">
      <c r="A31" s="1" t="s">
        <v>221</v>
      </c>
      <c r="B31" t="s">
        <v>222</v>
      </c>
      <c r="C31" s="3">
        <v>24</v>
      </c>
      <c r="D31" s="1" t="s">
        <v>24</v>
      </c>
      <c r="E31" s="1" t="s">
        <v>142</v>
      </c>
      <c r="F31" s="1" t="s">
        <v>91</v>
      </c>
      <c r="G31" s="4">
        <v>45470</v>
      </c>
      <c r="H31" s="4">
        <v>45473</v>
      </c>
      <c r="I31" s="1" t="s">
        <v>29</v>
      </c>
      <c r="J31" s="1" t="s">
        <v>44</v>
      </c>
      <c r="K31" s="3">
        <v>1</v>
      </c>
      <c r="L31" s="2">
        <v>48390</v>
      </c>
      <c r="M31" s="3">
        <v>10</v>
      </c>
      <c r="N31" s="1" t="s">
        <v>45</v>
      </c>
      <c r="O31" s="1" t="s">
        <v>68</v>
      </c>
      <c r="P31" s="1" t="s">
        <v>174</v>
      </c>
      <c r="Q31" s="1" t="s">
        <v>225</v>
      </c>
      <c r="R31" s="1" t="s">
        <v>226</v>
      </c>
      <c r="S31" s="3">
        <v>5</v>
      </c>
      <c r="T31" s="1" t="s">
        <v>61</v>
      </c>
      <c r="U31" s="3">
        <v>63</v>
      </c>
      <c r="V31" s="1" t="s">
        <v>37</v>
      </c>
      <c r="W31" s="5">
        <f>Table1[[#This Row],[Quantity]]*Table1[[#This Row],[Price]]*(1-Table1[[#This Row],[Discount %]]/100)</f>
        <v>43551</v>
      </c>
      <c r="X31">
        <f>Table1[[#This Row],[DeliveryDate]]-Table1[[#This Row],[OrderDate]]</f>
        <v>3</v>
      </c>
      <c r="Y31" t="str">
        <f>TEXT(Table1[[#This Row],[OrderDate]],"MMMM")</f>
        <v>June</v>
      </c>
      <c r="Z31" s="5">
        <f>YEAR(Table1[[#This Row],[OrderDate]])</f>
        <v>2024</v>
      </c>
    </row>
    <row r="32" spans="1:26" x14ac:dyDescent="0.3">
      <c r="A32" s="1" t="s">
        <v>227</v>
      </c>
      <c r="B32" t="s">
        <v>228</v>
      </c>
      <c r="C32" s="3">
        <v>24</v>
      </c>
      <c r="D32" s="1" t="s">
        <v>51</v>
      </c>
      <c r="E32" s="1" t="s">
        <v>229</v>
      </c>
      <c r="F32" s="1" t="s">
        <v>82</v>
      </c>
      <c r="G32" s="4">
        <v>45210</v>
      </c>
      <c r="H32" s="4">
        <v>45218</v>
      </c>
      <c r="I32" s="1" t="s">
        <v>77</v>
      </c>
      <c r="J32" s="1" t="s">
        <v>44</v>
      </c>
      <c r="K32" s="3">
        <v>5</v>
      </c>
      <c r="L32" s="2">
        <v>71901</v>
      </c>
      <c r="M32" s="3">
        <v>15</v>
      </c>
      <c r="N32" s="1" t="s">
        <v>56</v>
      </c>
      <c r="O32" s="1" t="s">
        <v>109</v>
      </c>
      <c r="P32" s="1" t="s">
        <v>174</v>
      </c>
      <c r="Q32" s="1" t="s">
        <v>232</v>
      </c>
      <c r="R32" s="1" t="s">
        <v>233</v>
      </c>
      <c r="S32" s="3">
        <v>4</v>
      </c>
      <c r="T32" s="1" t="s">
        <v>72</v>
      </c>
      <c r="U32" s="3">
        <v>371</v>
      </c>
      <c r="V32" s="1" t="s">
        <v>37</v>
      </c>
      <c r="W32" s="5">
        <f>Table1[[#This Row],[Quantity]]*Table1[[#This Row],[Price]]*(1-Table1[[#This Row],[Discount %]]/100)</f>
        <v>305579.25</v>
      </c>
      <c r="X32">
        <f>Table1[[#This Row],[DeliveryDate]]-Table1[[#This Row],[OrderDate]]</f>
        <v>8</v>
      </c>
      <c r="Y32" t="str">
        <f>TEXT(Table1[[#This Row],[OrderDate]],"MMMM")</f>
        <v>October</v>
      </c>
      <c r="Z32" s="5">
        <f>YEAR(Table1[[#This Row],[OrderDate]])</f>
        <v>2023</v>
      </c>
    </row>
    <row r="33" spans="1:26" x14ac:dyDescent="0.3">
      <c r="A33" s="1" t="s">
        <v>234</v>
      </c>
      <c r="B33" t="s">
        <v>235</v>
      </c>
      <c r="C33" s="3">
        <v>36</v>
      </c>
      <c r="D33" s="1" t="s">
        <v>24</v>
      </c>
      <c r="E33" s="1" t="s">
        <v>131</v>
      </c>
      <c r="F33" s="1" t="s">
        <v>91</v>
      </c>
      <c r="G33" s="4">
        <v>45119</v>
      </c>
      <c r="H33" s="4">
        <v>45128</v>
      </c>
      <c r="I33" s="1" t="s">
        <v>43</v>
      </c>
      <c r="J33" s="1" t="s">
        <v>30</v>
      </c>
      <c r="K33" s="3">
        <v>1</v>
      </c>
      <c r="L33" s="2">
        <v>48189</v>
      </c>
      <c r="M33" s="3">
        <v>15</v>
      </c>
      <c r="N33" s="1" t="s">
        <v>31</v>
      </c>
      <c r="O33" s="1" t="s">
        <v>32</v>
      </c>
      <c r="P33" s="1" t="s">
        <v>69</v>
      </c>
      <c r="Q33" s="1" t="s">
        <v>3415</v>
      </c>
      <c r="R33" s="1" t="s">
        <v>238</v>
      </c>
      <c r="S33" s="3">
        <v>2</v>
      </c>
      <c r="T33" s="1" t="s">
        <v>61</v>
      </c>
      <c r="U33" s="3">
        <v>88</v>
      </c>
      <c r="V33" s="1" t="s">
        <v>37</v>
      </c>
      <c r="W33" s="5">
        <f>Table1[[#This Row],[Quantity]]*Table1[[#This Row],[Price]]*(1-Table1[[#This Row],[Discount %]]/100)</f>
        <v>40960.65</v>
      </c>
      <c r="X33">
        <f>Table1[[#This Row],[DeliveryDate]]-Table1[[#This Row],[OrderDate]]</f>
        <v>9</v>
      </c>
      <c r="Y33" t="str">
        <f>TEXT(Table1[[#This Row],[OrderDate]],"MMMM")</f>
        <v>July</v>
      </c>
      <c r="Z33" s="5">
        <f>YEAR(Table1[[#This Row],[OrderDate]])</f>
        <v>2023</v>
      </c>
    </row>
    <row r="34" spans="1:26" x14ac:dyDescent="0.3">
      <c r="A34" s="1" t="s">
        <v>239</v>
      </c>
      <c r="B34" t="s">
        <v>90</v>
      </c>
      <c r="C34" s="3">
        <v>23</v>
      </c>
      <c r="D34" s="1" t="s">
        <v>51</v>
      </c>
      <c r="E34" s="1" t="s">
        <v>25</v>
      </c>
      <c r="F34" s="1" t="s">
        <v>91</v>
      </c>
      <c r="G34" s="4">
        <v>45472</v>
      </c>
      <c r="H34" s="4">
        <v>45473</v>
      </c>
      <c r="I34" s="1" t="s">
        <v>108</v>
      </c>
      <c r="J34" s="1" t="s">
        <v>30</v>
      </c>
      <c r="K34" s="3">
        <v>1</v>
      </c>
      <c r="L34" s="2">
        <v>42109.716287215415</v>
      </c>
      <c r="M34" s="3">
        <v>15</v>
      </c>
      <c r="N34" s="1" t="s">
        <v>56</v>
      </c>
      <c r="O34" s="1" t="s">
        <v>109</v>
      </c>
      <c r="P34" s="1" t="s">
        <v>58</v>
      </c>
      <c r="Q34" s="1" t="s">
        <v>94</v>
      </c>
      <c r="R34" s="1" t="s">
        <v>241</v>
      </c>
      <c r="S34" s="3">
        <v>3</v>
      </c>
      <c r="T34" s="1" t="s">
        <v>36</v>
      </c>
      <c r="U34" s="3">
        <v>421</v>
      </c>
      <c r="V34" s="1" t="s">
        <v>62</v>
      </c>
      <c r="W34" s="5">
        <f>Table1[[#This Row],[Quantity]]*Table1[[#This Row],[Price]]*(1-Table1[[#This Row],[Discount %]]/100)</f>
        <v>35793.258844133103</v>
      </c>
      <c r="X34">
        <f>Table1[[#This Row],[DeliveryDate]]-Table1[[#This Row],[OrderDate]]</f>
        <v>1</v>
      </c>
      <c r="Y34" t="str">
        <f>TEXT(Table1[[#This Row],[OrderDate]],"MMMM")</f>
        <v>June</v>
      </c>
      <c r="Z34" s="5">
        <f>YEAR(Table1[[#This Row],[OrderDate]])</f>
        <v>2024</v>
      </c>
    </row>
    <row r="35" spans="1:26" x14ac:dyDescent="0.3">
      <c r="A35" s="1" t="s">
        <v>242</v>
      </c>
      <c r="B35" t="s">
        <v>243</v>
      </c>
      <c r="C35" s="3">
        <v>46</v>
      </c>
      <c r="D35" s="1" t="s">
        <v>51</v>
      </c>
      <c r="E35" s="1" t="s">
        <v>142</v>
      </c>
      <c r="F35" s="1" t="s">
        <v>53</v>
      </c>
      <c r="G35" s="4">
        <v>45006</v>
      </c>
      <c r="H35" s="4">
        <v>45014</v>
      </c>
      <c r="I35" s="1" t="s">
        <v>85</v>
      </c>
      <c r="J35" s="1" t="s">
        <v>30</v>
      </c>
      <c r="K35" s="3">
        <v>4</v>
      </c>
      <c r="L35" s="2">
        <v>42109.716287215415</v>
      </c>
      <c r="M35" s="3">
        <v>10</v>
      </c>
      <c r="N35" s="1" t="s">
        <v>45</v>
      </c>
      <c r="O35" s="1" t="s">
        <v>173</v>
      </c>
      <c r="P35" s="1" t="s">
        <v>33</v>
      </c>
      <c r="Q35" s="1" t="s">
        <v>246</v>
      </c>
      <c r="R35" s="1" t="s">
        <v>247</v>
      </c>
      <c r="S35" s="3">
        <v>3</v>
      </c>
      <c r="T35" s="1" t="s">
        <v>96</v>
      </c>
      <c r="U35" s="3">
        <v>237</v>
      </c>
      <c r="V35" s="1" t="s">
        <v>79</v>
      </c>
      <c r="W35" s="5">
        <f>Table1[[#This Row],[Quantity]]*Table1[[#This Row],[Price]]*(1-Table1[[#This Row],[Discount %]]/100)</f>
        <v>151594.97863397549</v>
      </c>
      <c r="X35">
        <f>Table1[[#This Row],[DeliveryDate]]-Table1[[#This Row],[OrderDate]]</f>
        <v>8</v>
      </c>
      <c r="Y35" t="str">
        <f>TEXT(Table1[[#This Row],[OrderDate]],"MMMM")</f>
        <v>March</v>
      </c>
      <c r="Z35" s="5">
        <f>YEAR(Table1[[#This Row],[OrderDate]])</f>
        <v>2023</v>
      </c>
    </row>
    <row r="36" spans="1:26" x14ac:dyDescent="0.3">
      <c r="A36" s="1" t="s">
        <v>248</v>
      </c>
      <c r="B36" t="s">
        <v>249</v>
      </c>
      <c r="C36" s="3">
        <v>48</v>
      </c>
      <c r="D36" s="1" t="s">
        <v>24</v>
      </c>
      <c r="E36" s="1" t="s">
        <v>40</v>
      </c>
      <c r="F36" s="1" t="s">
        <v>53</v>
      </c>
      <c r="G36" s="4">
        <v>45078</v>
      </c>
      <c r="H36" s="4">
        <v>45082</v>
      </c>
      <c r="I36" s="1" t="s">
        <v>77</v>
      </c>
      <c r="J36" s="1" t="s">
        <v>44</v>
      </c>
      <c r="K36" s="3">
        <v>5</v>
      </c>
      <c r="L36" s="2">
        <v>5317</v>
      </c>
      <c r="M36" s="3">
        <v>5</v>
      </c>
      <c r="N36" s="1" t="s">
        <v>31</v>
      </c>
      <c r="O36" s="1" t="s">
        <v>86</v>
      </c>
      <c r="P36" s="1" t="s">
        <v>69</v>
      </c>
      <c r="Q36" s="1" t="s">
        <v>252</v>
      </c>
      <c r="R36" s="1" t="s">
        <v>253</v>
      </c>
      <c r="S36" s="3">
        <v>1</v>
      </c>
      <c r="T36" s="1" t="s">
        <v>72</v>
      </c>
      <c r="U36" s="3">
        <v>299</v>
      </c>
      <c r="V36" s="1" t="s">
        <v>62</v>
      </c>
      <c r="W36" s="5">
        <f>Table1[[#This Row],[Quantity]]*Table1[[#This Row],[Price]]*(1-Table1[[#This Row],[Discount %]]/100)</f>
        <v>25255.75</v>
      </c>
      <c r="X36">
        <f>Table1[[#This Row],[DeliveryDate]]-Table1[[#This Row],[OrderDate]]</f>
        <v>4</v>
      </c>
      <c r="Y36" t="str">
        <f>TEXT(Table1[[#This Row],[OrderDate]],"MMMM")</f>
        <v>June</v>
      </c>
      <c r="Z36" s="5">
        <f>YEAR(Table1[[#This Row],[OrderDate]])</f>
        <v>2023</v>
      </c>
    </row>
    <row r="37" spans="1:26" x14ac:dyDescent="0.3">
      <c r="A37" s="1" t="s">
        <v>254</v>
      </c>
      <c r="B37" t="s">
        <v>850</v>
      </c>
      <c r="C37" s="3">
        <v>32</v>
      </c>
      <c r="D37" s="1" t="s">
        <v>24</v>
      </c>
      <c r="E37" s="1" t="s">
        <v>142</v>
      </c>
      <c r="F37" s="1" t="s">
        <v>65</v>
      </c>
      <c r="G37" s="4">
        <v>44975</v>
      </c>
      <c r="H37" s="4">
        <v>44979</v>
      </c>
      <c r="I37" s="1" t="s">
        <v>93</v>
      </c>
      <c r="J37" s="1" t="s">
        <v>30</v>
      </c>
      <c r="K37" s="3">
        <v>1</v>
      </c>
      <c r="L37" s="2">
        <v>42221</v>
      </c>
      <c r="M37" s="3">
        <v>0</v>
      </c>
      <c r="N37" s="1" t="s">
        <v>56</v>
      </c>
      <c r="O37" s="1" t="s">
        <v>109</v>
      </c>
      <c r="P37" s="1" t="s">
        <v>69</v>
      </c>
      <c r="Q37" s="1" t="s">
        <v>258</v>
      </c>
      <c r="R37" s="1" t="s">
        <v>259</v>
      </c>
      <c r="S37" s="3">
        <v>4</v>
      </c>
      <c r="T37" s="1" t="s">
        <v>72</v>
      </c>
      <c r="U37" s="3">
        <v>153</v>
      </c>
      <c r="V37" s="1" t="s">
        <v>79</v>
      </c>
      <c r="W37" s="5">
        <f>Table1[[#This Row],[Quantity]]*Table1[[#This Row],[Price]]*(1-Table1[[#This Row],[Discount %]]/100)</f>
        <v>42221</v>
      </c>
      <c r="X37">
        <f>Table1[[#This Row],[DeliveryDate]]-Table1[[#This Row],[OrderDate]]</f>
        <v>4</v>
      </c>
      <c r="Y37" t="str">
        <f>TEXT(Table1[[#This Row],[OrderDate]],"MMMM")</f>
        <v>February</v>
      </c>
      <c r="Z37" s="5">
        <f>YEAR(Table1[[#This Row],[OrderDate]])</f>
        <v>2023</v>
      </c>
    </row>
    <row r="38" spans="1:26" x14ac:dyDescent="0.3">
      <c r="A38" s="1" t="s">
        <v>260</v>
      </c>
      <c r="B38" t="s">
        <v>261</v>
      </c>
      <c r="C38" s="3">
        <v>49</v>
      </c>
      <c r="D38" s="1" t="s">
        <v>24</v>
      </c>
      <c r="E38" s="1" t="s">
        <v>26</v>
      </c>
      <c r="F38" s="1" t="s">
        <v>65</v>
      </c>
      <c r="G38" s="4">
        <v>45165</v>
      </c>
      <c r="H38" s="4">
        <v>45171</v>
      </c>
      <c r="I38" s="1" t="s">
        <v>43</v>
      </c>
      <c r="J38" s="1" t="s">
        <v>30</v>
      </c>
      <c r="K38" s="3">
        <v>1</v>
      </c>
      <c r="L38" s="2">
        <v>12673</v>
      </c>
      <c r="M38" s="3">
        <v>10</v>
      </c>
      <c r="N38" s="1" t="s">
        <v>56</v>
      </c>
      <c r="O38" s="1" t="s">
        <v>86</v>
      </c>
      <c r="P38" s="1" t="s">
        <v>174</v>
      </c>
      <c r="Q38" s="1" t="s">
        <v>264</v>
      </c>
      <c r="R38" s="1" t="s">
        <v>265</v>
      </c>
      <c r="S38" s="3">
        <v>1</v>
      </c>
      <c r="T38" s="1" t="s">
        <v>72</v>
      </c>
      <c r="U38" s="3">
        <v>466</v>
      </c>
      <c r="V38" s="1" t="s">
        <v>62</v>
      </c>
      <c r="W38" s="5">
        <f>Table1[[#This Row],[Quantity]]*Table1[[#This Row],[Price]]*(1-Table1[[#This Row],[Discount %]]/100)</f>
        <v>11405.7</v>
      </c>
      <c r="X38">
        <f>Table1[[#This Row],[DeliveryDate]]-Table1[[#This Row],[OrderDate]]</f>
        <v>6</v>
      </c>
      <c r="Y38" t="str">
        <f>TEXT(Table1[[#This Row],[OrderDate]],"MMMM")</f>
        <v>August</v>
      </c>
      <c r="Z38" s="5">
        <f>YEAR(Table1[[#This Row],[OrderDate]])</f>
        <v>2023</v>
      </c>
    </row>
    <row r="39" spans="1:26" x14ac:dyDescent="0.3">
      <c r="A39" s="1" t="s">
        <v>266</v>
      </c>
      <c r="B39" t="s">
        <v>136</v>
      </c>
      <c r="C39" s="3">
        <v>55</v>
      </c>
      <c r="D39" s="1" t="s">
        <v>24</v>
      </c>
      <c r="E39" s="1" t="s">
        <v>229</v>
      </c>
      <c r="F39" s="1" t="s">
        <v>26</v>
      </c>
      <c r="G39" s="4">
        <v>45404</v>
      </c>
      <c r="H39" s="4">
        <v>45407</v>
      </c>
      <c r="I39" s="1" t="s">
        <v>108</v>
      </c>
      <c r="J39" s="1" t="s">
        <v>30</v>
      </c>
      <c r="K39" s="3">
        <v>4</v>
      </c>
      <c r="L39" s="2">
        <v>39376</v>
      </c>
      <c r="M39" s="3">
        <v>0</v>
      </c>
      <c r="N39" s="1" t="s">
        <v>45</v>
      </c>
      <c r="O39" s="1" t="s">
        <v>173</v>
      </c>
      <c r="P39" s="1" t="s">
        <v>33</v>
      </c>
      <c r="Q39" s="1" t="s">
        <v>269</v>
      </c>
      <c r="R39" s="1" t="s">
        <v>270</v>
      </c>
      <c r="S39" s="3">
        <v>1</v>
      </c>
      <c r="T39" s="1" t="s">
        <v>96</v>
      </c>
      <c r="U39" s="3">
        <v>236</v>
      </c>
      <c r="V39" s="1" t="s">
        <v>37</v>
      </c>
      <c r="W39" s="5">
        <f>Table1[[#This Row],[Quantity]]*Table1[[#This Row],[Price]]*(1-Table1[[#This Row],[Discount %]]/100)</f>
        <v>157504</v>
      </c>
      <c r="X39">
        <f>Table1[[#This Row],[DeliveryDate]]-Table1[[#This Row],[OrderDate]]</f>
        <v>3</v>
      </c>
      <c r="Y39" t="str">
        <f>TEXT(Table1[[#This Row],[OrderDate]],"MMMM")</f>
        <v>April</v>
      </c>
      <c r="Z39" s="5">
        <f>YEAR(Table1[[#This Row],[OrderDate]])</f>
        <v>2024</v>
      </c>
    </row>
    <row r="40" spans="1:26" x14ac:dyDescent="0.3">
      <c r="A40" s="1" t="s">
        <v>271</v>
      </c>
      <c r="B40" t="s">
        <v>272</v>
      </c>
      <c r="C40" s="3">
        <v>31</v>
      </c>
      <c r="D40" s="1" t="s">
        <v>24</v>
      </c>
      <c r="E40" s="1" t="s">
        <v>142</v>
      </c>
      <c r="F40" s="1" t="s">
        <v>65</v>
      </c>
      <c r="G40" s="4">
        <v>45441</v>
      </c>
      <c r="H40" s="4">
        <v>45442</v>
      </c>
      <c r="I40" s="1" t="s">
        <v>77</v>
      </c>
      <c r="J40" s="1" t="s">
        <v>30</v>
      </c>
      <c r="K40" s="3">
        <v>3</v>
      </c>
      <c r="L40" s="2">
        <v>49128</v>
      </c>
      <c r="M40" s="3">
        <v>0</v>
      </c>
      <c r="N40" s="1" t="s">
        <v>45</v>
      </c>
      <c r="O40" s="1" t="s">
        <v>102</v>
      </c>
      <c r="P40" s="1" t="s">
        <v>69</v>
      </c>
      <c r="Q40" s="1" t="s">
        <v>275</v>
      </c>
      <c r="R40" s="1" t="s">
        <v>276</v>
      </c>
      <c r="S40" s="3">
        <v>3</v>
      </c>
      <c r="T40" s="1" t="s">
        <v>96</v>
      </c>
      <c r="U40" s="3">
        <v>285</v>
      </c>
      <c r="V40" s="1" t="s">
        <v>79</v>
      </c>
      <c r="W40" s="5">
        <f>Table1[[#This Row],[Quantity]]*Table1[[#This Row],[Price]]*(1-Table1[[#This Row],[Discount %]]/100)</f>
        <v>147384</v>
      </c>
      <c r="X40">
        <f>Table1[[#This Row],[DeliveryDate]]-Table1[[#This Row],[OrderDate]]</f>
        <v>1</v>
      </c>
      <c r="Y40" t="str">
        <f>TEXT(Table1[[#This Row],[OrderDate]],"MMMM")</f>
        <v>May</v>
      </c>
      <c r="Z40" s="5">
        <f>YEAR(Table1[[#This Row],[OrderDate]])</f>
        <v>2024</v>
      </c>
    </row>
    <row r="41" spans="1:26" x14ac:dyDescent="0.3">
      <c r="A41" s="1" t="s">
        <v>277</v>
      </c>
      <c r="B41" t="s">
        <v>278</v>
      </c>
      <c r="C41" s="3">
        <v>57</v>
      </c>
      <c r="D41" s="1" t="s">
        <v>24</v>
      </c>
      <c r="E41" s="1" t="s">
        <v>25</v>
      </c>
      <c r="F41" s="1" t="s">
        <v>26</v>
      </c>
      <c r="G41" s="4">
        <v>45311</v>
      </c>
      <c r="H41" s="4">
        <v>45317</v>
      </c>
      <c r="I41" s="1" t="s">
        <v>43</v>
      </c>
      <c r="J41" s="1" t="s">
        <v>30</v>
      </c>
      <c r="K41" s="3">
        <v>4</v>
      </c>
      <c r="L41" s="2">
        <v>42109.716287215415</v>
      </c>
      <c r="M41" s="3">
        <v>0</v>
      </c>
      <c r="N41" s="1" t="s">
        <v>45</v>
      </c>
      <c r="O41" s="1" t="s">
        <v>281</v>
      </c>
      <c r="P41" s="1" t="s">
        <v>174</v>
      </c>
      <c r="Q41" s="1" t="s">
        <v>282</v>
      </c>
      <c r="R41" s="1" t="s">
        <v>283</v>
      </c>
      <c r="S41" s="3">
        <v>4</v>
      </c>
      <c r="T41" s="1" t="s">
        <v>96</v>
      </c>
      <c r="U41" s="3">
        <v>351</v>
      </c>
      <c r="V41" s="1" t="s">
        <v>79</v>
      </c>
      <c r="W41" s="5">
        <f>Table1[[#This Row],[Quantity]]*Table1[[#This Row],[Price]]*(1-Table1[[#This Row],[Discount %]]/100)</f>
        <v>168438.86514886166</v>
      </c>
      <c r="X41">
        <f>Table1[[#This Row],[DeliveryDate]]-Table1[[#This Row],[OrderDate]]</f>
        <v>6</v>
      </c>
      <c r="Y41" t="str">
        <f>TEXT(Table1[[#This Row],[OrderDate]],"MMMM")</f>
        <v>January</v>
      </c>
      <c r="Z41" s="5">
        <f>YEAR(Table1[[#This Row],[OrderDate]])</f>
        <v>2024</v>
      </c>
    </row>
    <row r="42" spans="1:26" x14ac:dyDescent="0.3">
      <c r="A42" s="1" t="s">
        <v>284</v>
      </c>
      <c r="B42" t="s">
        <v>285</v>
      </c>
      <c r="C42" s="3">
        <v>57</v>
      </c>
      <c r="D42" s="1" t="s">
        <v>51</v>
      </c>
      <c r="E42" s="1" t="s">
        <v>229</v>
      </c>
      <c r="F42" s="1" t="s">
        <v>26</v>
      </c>
      <c r="G42" s="4">
        <v>45579</v>
      </c>
      <c r="H42" s="4">
        <v>45585</v>
      </c>
      <c r="I42" s="1" t="s">
        <v>85</v>
      </c>
      <c r="J42" s="1" t="s">
        <v>44</v>
      </c>
      <c r="K42" s="3">
        <v>1</v>
      </c>
      <c r="L42" s="2">
        <v>42109.716287215415</v>
      </c>
      <c r="M42" s="3">
        <v>10</v>
      </c>
      <c r="N42" s="1" t="s">
        <v>56</v>
      </c>
      <c r="O42" s="1" t="s">
        <v>133</v>
      </c>
      <c r="P42" s="1" t="s">
        <v>174</v>
      </c>
      <c r="Q42" s="1" t="s">
        <v>3415</v>
      </c>
      <c r="R42" s="1" t="s">
        <v>288</v>
      </c>
      <c r="S42" s="3">
        <v>4</v>
      </c>
      <c r="T42" s="1" t="s">
        <v>36</v>
      </c>
      <c r="U42" s="3">
        <v>204</v>
      </c>
      <c r="V42" s="1" t="s">
        <v>62</v>
      </c>
      <c r="W42" s="5">
        <f>Table1[[#This Row],[Quantity]]*Table1[[#This Row],[Price]]*(1-Table1[[#This Row],[Discount %]]/100)</f>
        <v>37898.744658493873</v>
      </c>
      <c r="X42">
        <f>Table1[[#This Row],[DeliveryDate]]-Table1[[#This Row],[OrderDate]]</f>
        <v>6</v>
      </c>
      <c r="Y42" t="str">
        <f>TEXT(Table1[[#This Row],[OrderDate]],"MMMM")</f>
        <v>October</v>
      </c>
      <c r="Z42" s="5">
        <f>YEAR(Table1[[#This Row],[OrderDate]])</f>
        <v>2024</v>
      </c>
    </row>
    <row r="43" spans="1:26" x14ac:dyDescent="0.3">
      <c r="A43" s="1" t="s">
        <v>289</v>
      </c>
      <c r="B43" t="s">
        <v>136</v>
      </c>
      <c r="C43" s="3">
        <v>23</v>
      </c>
      <c r="D43" s="1" t="s">
        <v>51</v>
      </c>
      <c r="E43" s="1" t="s">
        <v>229</v>
      </c>
      <c r="F43" s="1" t="s">
        <v>82</v>
      </c>
      <c r="G43" s="4">
        <v>45519</v>
      </c>
      <c r="H43" s="4">
        <v>45525</v>
      </c>
      <c r="I43" s="1" t="s">
        <v>108</v>
      </c>
      <c r="J43" s="1" t="s">
        <v>30</v>
      </c>
      <c r="K43" s="3">
        <v>4</v>
      </c>
      <c r="L43" s="2">
        <v>7537</v>
      </c>
      <c r="M43" s="3">
        <v>15</v>
      </c>
      <c r="N43" s="1" t="s">
        <v>166</v>
      </c>
      <c r="O43" s="1" t="s">
        <v>102</v>
      </c>
      <c r="P43" s="1" t="s">
        <v>33</v>
      </c>
      <c r="Q43" s="1" t="s">
        <v>269</v>
      </c>
      <c r="R43" s="1" t="s">
        <v>291</v>
      </c>
      <c r="S43" s="3">
        <v>1</v>
      </c>
      <c r="T43" s="1" t="s">
        <v>72</v>
      </c>
      <c r="U43" s="3">
        <v>397</v>
      </c>
      <c r="V43" s="1" t="s">
        <v>79</v>
      </c>
      <c r="W43" s="5">
        <f>Table1[[#This Row],[Quantity]]*Table1[[#This Row],[Price]]*(1-Table1[[#This Row],[Discount %]]/100)</f>
        <v>25625.8</v>
      </c>
      <c r="X43">
        <f>Table1[[#This Row],[DeliveryDate]]-Table1[[#This Row],[OrderDate]]</f>
        <v>6</v>
      </c>
      <c r="Y43" t="str">
        <f>TEXT(Table1[[#This Row],[OrderDate]],"MMMM")</f>
        <v>August</v>
      </c>
      <c r="Z43" s="5">
        <f>YEAR(Table1[[#This Row],[OrderDate]])</f>
        <v>2024</v>
      </c>
    </row>
    <row r="44" spans="1:26" x14ac:dyDescent="0.3">
      <c r="A44" s="1" t="s">
        <v>292</v>
      </c>
      <c r="B44" t="s">
        <v>293</v>
      </c>
      <c r="C44" s="3">
        <v>44</v>
      </c>
      <c r="D44" s="1" t="s">
        <v>24</v>
      </c>
      <c r="E44" s="1" t="s">
        <v>142</v>
      </c>
      <c r="F44" s="1" t="s">
        <v>26</v>
      </c>
      <c r="G44" s="4">
        <v>45327</v>
      </c>
      <c r="H44" s="4">
        <v>45328</v>
      </c>
      <c r="I44" s="1" t="s">
        <v>29</v>
      </c>
      <c r="J44" s="1" t="s">
        <v>44</v>
      </c>
      <c r="K44" s="3">
        <v>5</v>
      </c>
      <c r="L44" s="2">
        <v>10734</v>
      </c>
      <c r="M44" s="3">
        <v>15</v>
      </c>
      <c r="N44" s="1" t="s">
        <v>56</v>
      </c>
      <c r="O44" s="1" t="s">
        <v>68</v>
      </c>
      <c r="P44" s="1" t="s">
        <v>33</v>
      </c>
      <c r="Q44" s="1" t="s">
        <v>3415</v>
      </c>
      <c r="R44" s="1" t="s">
        <v>3415</v>
      </c>
      <c r="S44" s="3">
        <v>3</v>
      </c>
      <c r="T44" s="1" t="s">
        <v>36</v>
      </c>
      <c r="U44" s="3">
        <v>431</v>
      </c>
      <c r="V44" s="1" t="s">
        <v>37</v>
      </c>
      <c r="W44" s="5">
        <f>Table1[[#This Row],[Quantity]]*Table1[[#This Row],[Price]]*(1-Table1[[#This Row],[Discount %]]/100)</f>
        <v>45619.5</v>
      </c>
      <c r="X44">
        <f>Table1[[#This Row],[DeliveryDate]]-Table1[[#This Row],[OrderDate]]</f>
        <v>1</v>
      </c>
      <c r="Y44" t="str">
        <f>TEXT(Table1[[#This Row],[OrderDate]],"MMMM")</f>
        <v>February</v>
      </c>
      <c r="Z44" s="5">
        <f>YEAR(Table1[[#This Row],[OrderDate]])</f>
        <v>2024</v>
      </c>
    </row>
    <row r="45" spans="1:26" x14ac:dyDescent="0.3">
      <c r="A45" s="1" t="s">
        <v>296</v>
      </c>
      <c r="B45" t="s">
        <v>285</v>
      </c>
      <c r="C45" s="3">
        <v>27</v>
      </c>
      <c r="D45" s="1" t="s">
        <v>51</v>
      </c>
      <c r="E45" s="1" t="s">
        <v>142</v>
      </c>
      <c r="F45" s="1" t="s">
        <v>82</v>
      </c>
      <c r="G45" s="4">
        <v>44961</v>
      </c>
      <c r="H45" s="4">
        <v>44969</v>
      </c>
      <c r="I45" s="1" t="s">
        <v>43</v>
      </c>
      <c r="J45" s="1" t="s">
        <v>30</v>
      </c>
      <c r="K45" s="3">
        <v>4</v>
      </c>
      <c r="L45" s="2">
        <v>73419</v>
      </c>
      <c r="M45" s="3">
        <v>10</v>
      </c>
      <c r="N45" s="1" t="s">
        <v>166</v>
      </c>
      <c r="O45" s="1" t="s">
        <v>133</v>
      </c>
      <c r="P45" s="1" t="s">
        <v>33</v>
      </c>
      <c r="Q45" s="1" t="s">
        <v>300</v>
      </c>
      <c r="R45" s="1" t="s">
        <v>301</v>
      </c>
      <c r="S45" s="3">
        <v>2</v>
      </c>
      <c r="T45" s="1" t="s">
        <v>72</v>
      </c>
      <c r="U45" s="3">
        <v>479</v>
      </c>
      <c r="V45" s="1" t="s">
        <v>62</v>
      </c>
      <c r="W45" s="5">
        <f>Table1[[#This Row],[Quantity]]*Table1[[#This Row],[Price]]*(1-Table1[[#This Row],[Discount %]]/100)</f>
        <v>264308.40000000002</v>
      </c>
      <c r="X45">
        <f>Table1[[#This Row],[DeliveryDate]]-Table1[[#This Row],[OrderDate]]</f>
        <v>8</v>
      </c>
      <c r="Y45" t="str">
        <f>TEXT(Table1[[#This Row],[OrderDate]],"MMMM")</f>
        <v>February</v>
      </c>
      <c r="Z45" s="5">
        <f>YEAR(Table1[[#This Row],[OrderDate]])</f>
        <v>2023</v>
      </c>
    </row>
    <row r="46" spans="1:26" x14ac:dyDescent="0.3">
      <c r="A46" s="1" t="s">
        <v>302</v>
      </c>
      <c r="B46" t="s">
        <v>303</v>
      </c>
      <c r="C46" s="3">
        <v>47</v>
      </c>
      <c r="D46" s="1" t="s">
        <v>24</v>
      </c>
      <c r="E46" s="1" t="s">
        <v>25</v>
      </c>
      <c r="F46" s="1" t="s">
        <v>82</v>
      </c>
      <c r="G46" s="4">
        <v>45395</v>
      </c>
      <c r="H46" s="4">
        <v>45402</v>
      </c>
      <c r="I46" s="1" t="s">
        <v>29</v>
      </c>
      <c r="J46" s="1" t="s">
        <v>44</v>
      </c>
      <c r="K46" s="3">
        <v>3</v>
      </c>
      <c r="L46" s="2">
        <v>68209</v>
      </c>
      <c r="M46" s="3">
        <v>5</v>
      </c>
      <c r="N46" s="1" t="s">
        <v>166</v>
      </c>
      <c r="O46" s="1" t="s">
        <v>173</v>
      </c>
      <c r="P46" s="1" t="s">
        <v>33</v>
      </c>
      <c r="Q46" s="1" t="s">
        <v>306</v>
      </c>
      <c r="R46" s="1" t="s">
        <v>307</v>
      </c>
      <c r="S46" s="3">
        <v>3</v>
      </c>
      <c r="T46" s="1" t="s">
        <v>36</v>
      </c>
      <c r="U46" s="3">
        <v>124</v>
      </c>
      <c r="V46" s="1" t="s">
        <v>79</v>
      </c>
      <c r="W46" s="5">
        <f>Table1[[#This Row],[Quantity]]*Table1[[#This Row],[Price]]*(1-Table1[[#This Row],[Discount %]]/100)</f>
        <v>194395.65</v>
      </c>
      <c r="X46">
        <f>Table1[[#This Row],[DeliveryDate]]-Table1[[#This Row],[OrderDate]]</f>
        <v>7</v>
      </c>
      <c r="Y46" t="str">
        <f>TEXT(Table1[[#This Row],[OrderDate]],"MMMM")</f>
        <v>April</v>
      </c>
      <c r="Z46" s="5">
        <f>YEAR(Table1[[#This Row],[OrderDate]])</f>
        <v>2024</v>
      </c>
    </row>
    <row r="47" spans="1:26" x14ac:dyDescent="0.3">
      <c r="A47" s="1" t="s">
        <v>308</v>
      </c>
      <c r="B47" t="s">
        <v>309</v>
      </c>
      <c r="C47" s="3">
        <v>48</v>
      </c>
      <c r="D47" s="1" t="s">
        <v>51</v>
      </c>
      <c r="E47" s="1" t="s">
        <v>40</v>
      </c>
      <c r="F47" s="1" t="s">
        <v>82</v>
      </c>
      <c r="G47" s="4">
        <v>45626</v>
      </c>
      <c r="H47" s="4">
        <v>45635</v>
      </c>
      <c r="I47" s="1" t="s">
        <v>43</v>
      </c>
      <c r="J47" s="1" t="s">
        <v>30</v>
      </c>
      <c r="K47" s="3">
        <v>5</v>
      </c>
      <c r="L47" s="2">
        <v>58638</v>
      </c>
      <c r="M47" s="3">
        <v>0</v>
      </c>
      <c r="N47" s="1" t="s">
        <v>56</v>
      </c>
      <c r="O47" s="1" t="s">
        <v>68</v>
      </c>
      <c r="P47" s="1" t="s">
        <v>58</v>
      </c>
      <c r="Q47" s="1" t="s">
        <v>312</v>
      </c>
      <c r="R47" s="1" t="s">
        <v>313</v>
      </c>
      <c r="S47" s="3">
        <v>1</v>
      </c>
      <c r="T47" s="1" t="s">
        <v>72</v>
      </c>
      <c r="U47" s="3">
        <v>483</v>
      </c>
      <c r="V47" s="1" t="s">
        <v>37</v>
      </c>
      <c r="W47" s="5">
        <f>Table1[[#This Row],[Quantity]]*Table1[[#This Row],[Price]]*(1-Table1[[#This Row],[Discount %]]/100)</f>
        <v>293190</v>
      </c>
      <c r="X47">
        <f>Table1[[#This Row],[DeliveryDate]]-Table1[[#This Row],[OrderDate]]</f>
        <v>9</v>
      </c>
      <c r="Y47" t="str">
        <f>TEXT(Table1[[#This Row],[OrderDate]],"MMMM")</f>
        <v>November</v>
      </c>
      <c r="Z47" s="5">
        <f>YEAR(Table1[[#This Row],[OrderDate]])</f>
        <v>2024</v>
      </c>
    </row>
    <row r="48" spans="1:26" x14ac:dyDescent="0.3">
      <c r="A48" s="1" t="s">
        <v>314</v>
      </c>
      <c r="B48" t="s">
        <v>315</v>
      </c>
      <c r="C48" s="3">
        <v>34</v>
      </c>
      <c r="D48" s="1" t="s">
        <v>24</v>
      </c>
      <c r="E48" s="1" t="s">
        <v>40</v>
      </c>
      <c r="F48" s="1" t="s">
        <v>65</v>
      </c>
      <c r="G48" s="4">
        <v>45414</v>
      </c>
      <c r="H48" s="4">
        <v>45424</v>
      </c>
      <c r="I48" s="1" t="s">
        <v>85</v>
      </c>
      <c r="J48" s="1" t="s">
        <v>30</v>
      </c>
      <c r="K48" s="3">
        <v>3</v>
      </c>
      <c r="L48" s="2">
        <v>70545</v>
      </c>
      <c r="M48" s="3">
        <v>5</v>
      </c>
      <c r="N48" s="1" t="s">
        <v>45</v>
      </c>
      <c r="O48" s="1" t="s">
        <v>173</v>
      </c>
      <c r="P48" s="1" t="s">
        <v>69</v>
      </c>
      <c r="Q48" s="1" t="s">
        <v>318</v>
      </c>
      <c r="R48" s="1" t="s">
        <v>319</v>
      </c>
      <c r="S48" s="3">
        <v>5</v>
      </c>
      <c r="T48" s="1" t="s">
        <v>36</v>
      </c>
      <c r="U48" s="3">
        <v>232</v>
      </c>
      <c r="V48" s="1" t="s">
        <v>37</v>
      </c>
      <c r="W48" s="5">
        <f>Table1[[#This Row],[Quantity]]*Table1[[#This Row],[Price]]*(1-Table1[[#This Row],[Discount %]]/100)</f>
        <v>201053.25</v>
      </c>
      <c r="X48">
        <f>Table1[[#This Row],[DeliveryDate]]-Table1[[#This Row],[OrderDate]]</f>
        <v>10</v>
      </c>
      <c r="Y48" t="str">
        <f>TEXT(Table1[[#This Row],[OrderDate]],"MMMM")</f>
        <v>May</v>
      </c>
      <c r="Z48" s="5">
        <f>YEAR(Table1[[#This Row],[OrderDate]])</f>
        <v>2024</v>
      </c>
    </row>
    <row r="49" spans="1:26" x14ac:dyDescent="0.3">
      <c r="A49" s="1" t="s">
        <v>320</v>
      </c>
      <c r="B49" t="s">
        <v>321</v>
      </c>
      <c r="C49" s="3">
        <v>57</v>
      </c>
      <c r="D49" s="1" t="s">
        <v>24</v>
      </c>
      <c r="E49" s="1" t="s">
        <v>131</v>
      </c>
      <c r="F49" s="1" t="s">
        <v>53</v>
      </c>
      <c r="G49" s="4">
        <v>45052</v>
      </c>
      <c r="H49" s="4">
        <v>45056</v>
      </c>
      <c r="I49" s="1" t="s">
        <v>43</v>
      </c>
      <c r="J49" s="1" t="s">
        <v>44</v>
      </c>
      <c r="K49" s="3">
        <v>1</v>
      </c>
      <c r="L49" s="2">
        <v>77979</v>
      </c>
      <c r="M49" s="3">
        <v>10</v>
      </c>
      <c r="N49" s="1" t="s">
        <v>56</v>
      </c>
      <c r="O49" s="1" t="s">
        <v>133</v>
      </c>
      <c r="P49" s="1" t="s">
        <v>174</v>
      </c>
      <c r="Q49" s="1" t="s">
        <v>324</v>
      </c>
      <c r="R49" s="1" t="s">
        <v>325</v>
      </c>
      <c r="S49" s="3">
        <v>2</v>
      </c>
      <c r="T49" s="1" t="s">
        <v>96</v>
      </c>
      <c r="U49" s="3">
        <v>147</v>
      </c>
      <c r="V49" s="1" t="s">
        <v>37</v>
      </c>
      <c r="W49" s="5">
        <f>Table1[[#This Row],[Quantity]]*Table1[[#This Row],[Price]]*(1-Table1[[#This Row],[Discount %]]/100)</f>
        <v>70181.100000000006</v>
      </c>
      <c r="X49">
        <f>Table1[[#This Row],[DeliveryDate]]-Table1[[#This Row],[OrderDate]]</f>
        <v>4</v>
      </c>
      <c r="Y49" t="str">
        <f>TEXT(Table1[[#This Row],[OrderDate]],"MMMM")</f>
        <v>May</v>
      </c>
      <c r="Z49" s="5">
        <f>YEAR(Table1[[#This Row],[OrderDate]])</f>
        <v>2023</v>
      </c>
    </row>
    <row r="50" spans="1:26" x14ac:dyDescent="0.3">
      <c r="A50" s="1" t="s">
        <v>326</v>
      </c>
      <c r="B50" t="s">
        <v>327</v>
      </c>
      <c r="C50" s="3">
        <v>43</v>
      </c>
      <c r="D50" s="1" t="s">
        <v>24</v>
      </c>
      <c r="E50" s="1" t="s">
        <v>229</v>
      </c>
      <c r="F50" s="1" t="s">
        <v>65</v>
      </c>
      <c r="G50" s="4">
        <v>45381</v>
      </c>
      <c r="H50" s="4">
        <v>45382</v>
      </c>
      <c r="I50" s="1" t="s">
        <v>93</v>
      </c>
      <c r="J50" s="1" t="s">
        <v>30</v>
      </c>
      <c r="K50" s="3">
        <v>4</v>
      </c>
      <c r="L50" s="2">
        <v>66660</v>
      </c>
      <c r="M50" s="3">
        <v>10</v>
      </c>
      <c r="N50" s="1" t="s">
        <v>45</v>
      </c>
      <c r="O50" s="1" t="s">
        <v>133</v>
      </c>
      <c r="P50" s="1" t="s">
        <v>33</v>
      </c>
      <c r="Q50" s="1" t="s">
        <v>330</v>
      </c>
      <c r="R50" s="1" t="s">
        <v>331</v>
      </c>
      <c r="S50" s="3">
        <v>2</v>
      </c>
      <c r="T50" s="1" t="s">
        <v>61</v>
      </c>
      <c r="U50" s="3">
        <v>442</v>
      </c>
      <c r="V50" s="1" t="s">
        <v>79</v>
      </c>
      <c r="W50" s="5">
        <f>Table1[[#This Row],[Quantity]]*Table1[[#This Row],[Price]]*(1-Table1[[#This Row],[Discount %]]/100)</f>
        <v>239976</v>
      </c>
      <c r="X50">
        <f>Table1[[#This Row],[DeliveryDate]]-Table1[[#This Row],[OrderDate]]</f>
        <v>1</v>
      </c>
      <c r="Y50" t="str">
        <f>TEXT(Table1[[#This Row],[OrderDate]],"MMMM")</f>
        <v>March</v>
      </c>
      <c r="Z50" s="5">
        <f>YEAR(Table1[[#This Row],[OrderDate]])</f>
        <v>2024</v>
      </c>
    </row>
    <row r="51" spans="1:26" x14ac:dyDescent="0.3">
      <c r="A51" s="1" t="s">
        <v>332</v>
      </c>
      <c r="B51" t="s">
        <v>333</v>
      </c>
      <c r="C51" s="3">
        <v>55</v>
      </c>
      <c r="D51" s="1" t="s">
        <v>24</v>
      </c>
      <c r="E51" s="1" t="s">
        <v>99</v>
      </c>
      <c r="F51" s="1" t="s">
        <v>53</v>
      </c>
      <c r="G51" s="4">
        <v>45002</v>
      </c>
      <c r="H51" s="4">
        <v>45012</v>
      </c>
      <c r="I51" s="1" t="s">
        <v>29</v>
      </c>
      <c r="J51" s="1" t="s">
        <v>30</v>
      </c>
      <c r="K51" s="3">
        <v>2</v>
      </c>
      <c r="L51" s="2">
        <v>55227</v>
      </c>
      <c r="M51" s="3">
        <v>0</v>
      </c>
      <c r="N51" s="1" t="s">
        <v>166</v>
      </c>
      <c r="O51" s="1" t="s">
        <v>109</v>
      </c>
      <c r="P51" s="1" t="s">
        <v>69</v>
      </c>
      <c r="Q51" s="1" t="s">
        <v>336</v>
      </c>
      <c r="R51" s="1" t="s">
        <v>3415</v>
      </c>
      <c r="S51" s="3">
        <v>5</v>
      </c>
      <c r="T51" s="1" t="s">
        <v>96</v>
      </c>
      <c r="U51" s="3">
        <v>290</v>
      </c>
      <c r="V51" s="1" t="s">
        <v>62</v>
      </c>
      <c r="W51" s="5">
        <f>Table1[[#This Row],[Quantity]]*Table1[[#This Row],[Price]]*(1-Table1[[#This Row],[Discount %]]/100)</f>
        <v>110454</v>
      </c>
      <c r="X51">
        <f>Table1[[#This Row],[DeliveryDate]]-Table1[[#This Row],[OrderDate]]</f>
        <v>10</v>
      </c>
      <c r="Y51" t="str">
        <f>TEXT(Table1[[#This Row],[OrderDate]],"MMMM")</f>
        <v>March</v>
      </c>
      <c r="Z51" s="5">
        <f>YEAR(Table1[[#This Row],[OrderDate]])</f>
        <v>2023</v>
      </c>
    </row>
    <row r="52" spans="1:26" x14ac:dyDescent="0.3">
      <c r="A52" s="1" t="s">
        <v>337</v>
      </c>
      <c r="B52" t="s">
        <v>338</v>
      </c>
      <c r="C52" s="3">
        <v>18</v>
      </c>
      <c r="D52" s="1" t="s">
        <v>51</v>
      </c>
      <c r="E52" s="1" t="s">
        <v>26</v>
      </c>
      <c r="F52" s="1" t="s">
        <v>82</v>
      </c>
      <c r="G52" s="4">
        <v>45099</v>
      </c>
      <c r="H52" s="4">
        <v>45105</v>
      </c>
      <c r="I52" s="1" t="s">
        <v>108</v>
      </c>
      <c r="J52" s="1" t="s">
        <v>44</v>
      </c>
      <c r="K52" s="3">
        <v>4</v>
      </c>
      <c r="L52" s="2">
        <v>31119</v>
      </c>
      <c r="M52" s="3">
        <v>0</v>
      </c>
      <c r="N52" s="1" t="s">
        <v>45</v>
      </c>
      <c r="O52" s="1" t="s">
        <v>57</v>
      </c>
      <c r="P52" s="1" t="s">
        <v>58</v>
      </c>
      <c r="Q52" s="1" t="s">
        <v>341</v>
      </c>
      <c r="R52" s="1" t="s">
        <v>342</v>
      </c>
      <c r="S52" s="3">
        <v>4</v>
      </c>
      <c r="T52" s="1" t="s">
        <v>36</v>
      </c>
      <c r="U52" s="3">
        <v>239</v>
      </c>
      <c r="V52" s="1" t="s">
        <v>79</v>
      </c>
      <c r="W52" s="5">
        <f>Table1[[#This Row],[Quantity]]*Table1[[#This Row],[Price]]*(1-Table1[[#This Row],[Discount %]]/100)</f>
        <v>124476</v>
      </c>
      <c r="X52">
        <f>Table1[[#This Row],[DeliveryDate]]-Table1[[#This Row],[OrderDate]]</f>
        <v>6</v>
      </c>
      <c r="Y52" t="str">
        <f>TEXT(Table1[[#This Row],[OrderDate]],"MMMM")</f>
        <v>June</v>
      </c>
      <c r="Z52" s="5">
        <f>YEAR(Table1[[#This Row],[OrderDate]])</f>
        <v>2023</v>
      </c>
    </row>
    <row r="53" spans="1:26" x14ac:dyDescent="0.3">
      <c r="A53" s="1" t="s">
        <v>343</v>
      </c>
      <c r="B53" t="s">
        <v>344</v>
      </c>
      <c r="C53" s="3">
        <v>33</v>
      </c>
      <c r="D53" s="1" t="s">
        <v>24</v>
      </c>
      <c r="E53" s="1" t="s">
        <v>25</v>
      </c>
      <c r="F53" s="1" t="s">
        <v>82</v>
      </c>
      <c r="G53" s="4">
        <v>45271</v>
      </c>
      <c r="H53" s="4">
        <v>45279</v>
      </c>
      <c r="I53" s="1" t="s">
        <v>93</v>
      </c>
      <c r="J53" s="1" t="s">
        <v>44</v>
      </c>
      <c r="K53" s="3">
        <v>3</v>
      </c>
      <c r="L53" s="2">
        <v>70143</v>
      </c>
      <c r="M53" s="3">
        <v>0</v>
      </c>
      <c r="N53" s="1" t="s">
        <v>31</v>
      </c>
      <c r="O53" s="1" t="s">
        <v>86</v>
      </c>
      <c r="P53" s="1" t="s">
        <v>69</v>
      </c>
      <c r="Q53" s="1" t="s">
        <v>347</v>
      </c>
      <c r="R53" s="1" t="s">
        <v>348</v>
      </c>
      <c r="S53" s="3">
        <v>3</v>
      </c>
      <c r="T53" s="1" t="s">
        <v>72</v>
      </c>
      <c r="U53" s="3">
        <v>166</v>
      </c>
      <c r="V53" s="1" t="s">
        <v>62</v>
      </c>
      <c r="W53" s="5">
        <f>Table1[[#This Row],[Quantity]]*Table1[[#This Row],[Price]]*(1-Table1[[#This Row],[Discount %]]/100)</f>
        <v>210429</v>
      </c>
      <c r="X53">
        <f>Table1[[#This Row],[DeliveryDate]]-Table1[[#This Row],[OrderDate]]</f>
        <v>8</v>
      </c>
      <c r="Y53" t="str">
        <f>TEXT(Table1[[#This Row],[OrderDate]],"MMMM")</f>
        <v>December</v>
      </c>
      <c r="Z53" s="5">
        <f>YEAR(Table1[[#This Row],[OrderDate]])</f>
        <v>2023</v>
      </c>
    </row>
    <row r="54" spans="1:26" x14ac:dyDescent="0.3">
      <c r="A54" s="1" t="s">
        <v>349</v>
      </c>
      <c r="B54" t="s">
        <v>261</v>
      </c>
      <c r="C54" s="3">
        <v>55</v>
      </c>
      <c r="D54" s="1" t="s">
        <v>24</v>
      </c>
      <c r="E54" s="1" t="s">
        <v>142</v>
      </c>
      <c r="F54" s="1" t="s">
        <v>82</v>
      </c>
      <c r="G54" s="4">
        <v>45492</v>
      </c>
      <c r="H54" s="4">
        <v>45496</v>
      </c>
      <c r="I54" s="1" t="s">
        <v>43</v>
      </c>
      <c r="J54" s="1" t="s">
        <v>30</v>
      </c>
      <c r="K54" s="3">
        <v>4</v>
      </c>
      <c r="L54" s="2">
        <v>60188</v>
      </c>
      <c r="M54" s="3">
        <v>10</v>
      </c>
      <c r="N54" s="1" t="s">
        <v>166</v>
      </c>
      <c r="O54" s="1" t="s">
        <v>281</v>
      </c>
      <c r="P54" s="1" t="s">
        <v>174</v>
      </c>
      <c r="Q54" s="1" t="s">
        <v>264</v>
      </c>
      <c r="R54" s="1" t="s">
        <v>3415</v>
      </c>
      <c r="S54" s="3">
        <v>3</v>
      </c>
      <c r="T54" s="1" t="s">
        <v>36</v>
      </c>
      <c r="U54" s="3">
        <v>265</v>
      </c>
      <c r="V54" s="1" t="s">
        <v>79</v>
      </c>
      <c r="W54" s="5">
        <f>Table1[[#This Row],[Quantity]]*Table1[[#This Row],[Price]]*(1-Table1[[#This Row],[Discount %]]/100)</f>
        <v>216676.80000000002</v>
      </c>
      <c r="X54">
        <f>Table1[[#This Row],[DeliveryDate]]-Table1[[#This Row],[OrderDate]]</f>
        <v>4</v>
      </c>
      <c r="Y54" t="str">
        <f>TEXT(Table1[[#This Row],[OrderDate]],"MMMM")</f>
        <v>July</v>
      </c>
      <c r="Z54" s="5">
        <f>YEAR(Table1[[#This Row],[OrderDate]])</f>
        <v>2024</v>
      </c>
    </row>
    <row r="55" spans="1:26" x14ac:dyDescent="0.3">
      <c r="A55" s="1" t="s">
        <v>352</v>
      </c>
      <c r="B55" t="s">
        <v>74</v>
      </c>
      <c r="C55" s="3">
        <v>30</v>
      </c>
      <c r="D55" s="1" t="s">
        <v>24</v>
      </c>
      <c r="E55" s="1" t="s">
        <v>40</v>
      </c>
      <c r="F55" s="1" t="s">
        <v>91</v>
      </c>
      <c r="G55" s="4">
        <v>45186</v>
      </c>
      <c r="H55" s="4">
        <v>45193</v>
      </c>
      <c r="I55" s="1" t="s">
        <v>43</v>
      </c>
      <c r="J55" s="1" t="s">
        <v>44</v>
      </c>
      <c r="K55" s="3">
        <v>3</v>
      </c>
      <c r="L55" s="2">
        <v>35964</v>
      </c>
      <c r="M55" s="3">
        <v>15</v>
      </c>
      <c r="N55" s="1" t="s">
        <v>45</v>
      </c>
      <c r="O55" s="1" t="s">
        <v>109</v>
      </c>
      <c r="P55" s="1" t="s">
        <v>69</v>
      </c>
      <c r="Q55" s="1" t="s">
        <v>78</v>
      </c>
      <c r="R55" s="1" t="s">
        <v>355</v>
      </c>
      <c r="S55" s="3">
        <v>1</v>
      </c>
      <c r="T55" s="1" t="s">
        <v>72</v>
      </c>
      <c r="U55" s="3">
        <v>410</v>
      </c>
      <c r="V55" s="1" t="s">
        <v>62</v>
      </c>
      <c r="W55" s="5">
        <f>Table1[[#This Row],[Quantity]]*Table1[[#This Row],[Price]]*(1-Table1[[#This Row],[Discount %]]/100)</f>
        <v>91708.2</v>
      </c>
      <c r="X55">
        <f>Table1[[#This Row],[DeliveryDate]]-Table1[[#This Row],[OrderDate]]</f>
        <v>7</v>
      </c>
      <c r="Y55" t="str">
        <f>TEXT(Table1[[#This Row],[OrderDate]],"MMMM")</f>
        <v>September</v>
      </c>
      <c r="Z55" s="5">
        <f>YEAR(Table1[[#This Row],[OrderDate]])</f>
        <v>2023</v>
      </c>
    </row>
    <row r="56" spans="1:26" x14ac:dyDescent="0.3">
      <c r="A56" s="1" t="s">
        <v>356</v>
      </c>
      <c r="B56" t="s">
        <v>141</v>
      </c>
      <c r="C56" s="3">
        <v>57</v>
      </c>
      <c r="D56" s="1" t="s">
        <v>51</v>
      </c>
      <c r="E56" s="1" t="s">
        <v>26</v>
      </c>
      <c r="F56" s="1" t="s">
        <v>91</v>
      </c>
      <c r="G56" s="4">
        <v>45087</v>
      </c>
      <c r="H56" s="4">
        <v>45089</v>
      </c>
      <c r="I56" s="1" t="s">
        <v>108</v>
      </c>
      <c r="J56" s="1" t="s">
        <v>30</v>
      </c>
      <c r="K56" s="3">
        <v>2.9447852760736195</v>
      </c>
      <c r="L56" s="2">
        <v>23925</v>
      </c>
      <c r="M56" s="3">
        <v>0</v>
      </c>
      <c r="N56" s="1" t="s">
        <v>31</v>
      </c>
      <c r="O56" s="1" t="s">
        <v>281</v>
      </c>
      <c r="P56" s="1" t="s">
        <v>174</v>
      </c>
      <c r="Q56" s="1" t="s">
        <v>144</v>
      </c>
      <c r="R56" s="1" t="s">
        <v>359</v>
      </c>
      <c r="S56" s="3">
        <v>3</v>
      </c>
      <c r="T56" s="1" t="s">
        <v>36</v>
      </c>
      <c r="U56" s="3">
        <v>470</v>
      </c>
      <c r="V56" s="1" t="s">
        <v>62</v>
      </c>
      <c r="W56" s="5">
        <f>Table1[[#This Row],[Quantity]]*Table1[[#This Row],[Price]]*(1-Table1[[#This Row],[Discount %]]/100)</f>
        <v>70453.987730061344</v>
      </c>
      <c r="X56">
        <f>Table1[[#This Row],[DeliveryDate]]-Table1[[#This Row],[OrderDate]]</f>
        <v>2</v>
      </c>
      <c r="Y56" t="str">
        <f>TEXT(Table1[[#This Row],[OrderDate]],"MMMM")</f>
        <v>June</v>
      </c>
      <c r="Z56" s="5">
        <f>YEAR(Table1[[#This Row],[OrderDate]])</f>
        <v>2023</v>
      </c>
    </row>
    <row r="57" spans="1:26" x14ac:dyDescent="0.3">
      <c r="A57" s="1" t="s">
        <v>360</v>
      </c>
      <c r="B57" t="s">
        <v>361</v>
      </c>
      <c r="C57" s="3">
        <v>18</v>
      </c>
      <c r="D57" s="1" t="s">
        <v>51</v>
      </c>
      <c r="E57" s="1" t="s">
        <v>26</v>
      </c>
      <c r="F57" s="1" t="s">
        <v>82</v>
      </c>
      <c r="G57" s="4">
        <v>45193</v>
      </c>
      <c r="H57" s="4">
        <v>45198</v>
      </c>
      <c r="I57" s="1" t="s">
        <v>108</v>
      </c>
      <c r="J57" s="1" t="s">
        <v>44</v>
      </c>
      <c r="K57" s="3">
        <v>5</v>
      </c>
      <c r="L57" s="2">
        <v>62214</v>
      </c>
      <c r="M57" s="3">
        <v>10</v>
      </c>
      <c r="N57" s="1" t="s">
        <v>45</v>
      </c>
      <c r="O57" s="1" t="s">
        <v>57</v>
      </c>
      <c r="P57" s="1" t="s">
        <v>58</v>
      </c>
      <c r="Q57" s="1" t="s">
        <v>364</v>
      </c>
      <c r="R57" s="1" t="s">
        <v>365</v>
      </c>
      <c r="S57" s="3">
        <v>5</v>
      </c>
      <c r="T57" s="1" t="s">
        <v>96</v>
      </c>
      <c r="U57" s="3">
        <v>492</v>
      </c>
      <c r="V57" s="1" t="s">
        <v>62</v>
      </c>
      <c r="W57" s="5">
        <f>Table1[[#This Row],[Quantity]]*Table1[[#This Row],[Price]]*(1-Table1[[#This Row],[Discount %]]/100)</f>
        <v>279963</v>
      </c>
      <c r="X57">
        <f>Table1[[#This Row],[DeliveryDate]]-Table1[[#This Row],[OrderDate]]</f>
        <v>5</v>
      </c>
      <c r="Y57" t="str">
        <f>TEXT(Table1[[#This Row],[OrderDate]],"MMMM")</f>
        <v>September</v>
      </c>
      <c r="Z57" s="5">
        <f>YEAR(Table1[[#This Row],[OrderDate]])</f>
        <v>2023</v>
      </c>
    </row>
    <row r="58" spans="1:26" x14ac:dyDescent="0.3">
      <c r="A58" s="1" t="s">
        <v>366</v>
      </c>
      <c r="B58" t="s">
        <v>222</v>
      </c>
      <c r="C58" s="3">
        <v>19</v>
      </c>
      <c r="D58" s="1" t="s">
        <v>24</v>
      </c>
      <c r="E58" s="1" t="s">
        <v>25</v>
      </c>
      <c r="F58" s="1" t="s">
        <v>26</v>
      </c>
      <c r="G58" s="4">
        <v>45282</v>
      </c>
      <c r="H58" s="4">
        <v>45286</v>
      </c>
      <c r="I58" s="1" t="s">
        <v>93</v>
      </c>
      <c r="J58" s="1" t="s">
        <v>44</v>
      </c>
      <c r="K58" s="3">
        <v>1</v>
      </c>
      <c r="L58" s="2">
        <v>9227</v>
      </c>
      <c r="M58" s="3">
        <v>5</v>
      </c>
      <c r="N58" s="1" t="s">
        <v>56</v>
      </c>
      <c r="O58" s="1" t="s">
        <v>32</v>
      </c>
      <c r="P58" s="1" t="s">
        <v>58</v>
      </c>
      <c r="Q58" s="1" t="s">
        <v>225</v>
      </c>
      <c r="R58" s="1" t="s">
        <v>369</v>
      </c>
      <c r="S58" s="3">
        <v>1</v>
      </c>
      <c r="T58" s="1" t="s">
        <v>72</v>
      </c>
      <c r="U58" s="3">
        <v>272</v>
      </c>
      <c r="V58" s="1" t="s">
        <v>62</v>
      </c>
      <c r="W58" s="5">
        <f>Table1[[#This Row],[Quantity]]*Table1[[#This Row],[Price]]*(1-Table1[[#This Row],[Discount %]]/100)</f>
        <v>8765.65</v>
      </c>
      <c r="X58">
        <f>Table1[[#This Row],[DeliveryDate]]-Table1[[#This Row],[OrderDate]]</f>
        <v>4</v>
      </c>
      <c r="Y58" t="str">
        <f>TEXT(Table1[[#This Row],[OrderDate]],"MMMM")</f>
        <v>December</v>
      </c>
      <c r="Z58" s="5">
        <f>YEAR(Table1[[#This Row],[OrderDate]])</f>
        <v>2023</v>
      </c>
    </row>
    <row r="59" spans="1:26" x14ac:dyDescent="0.3">
      <c r="A59" s="1" t="s">
        <v>370</v>
      </c>
      <c r="B59" t="s">
        <v>243</v>
      </c>
      <c r="C59" s="3">
        <v>27</v>
      </c>
      <c r="D59" s="1" t="s">
        <v>51</v>
      </c>
      <c r="E59" s="1" t="s">
        <v>40</v>
      </c>
      <c r="F59" s="1" t="s">
        <v>53</v>
      </c>
      <c r="G59" s="4">
        <v>45600</v>
      </c>
      <c r="H59" s="4">
        <v>45606</v>
      </c>
      <c r="I59" s="1" t="s">
        <v>77</v>
      </c>
      <c r="J59" s="1" t="s">
        <v>44</v>
      </c>
      <c r="K59" s="3">
        <v>5</v>
      </c>
      <c r="L59" s="2">
        <v>42109.716287215415</v>
      </c>
      <c r="M59" s="3">
        <v>10</v>
      </c>
      <c r="N59" s="1" t="s">
        <v>31</v>
      </c>
      <c r="O59" s="1" t="s">
        <v>173</v>
      </c>
      <c r="P59" s="1" t="s">
        <v>58</v>
      </c>
      <c r="Q59" s="1" t="s">
        <v>246</v>
      </c>
      <c r="R59" s="1" t="s">
        <v>372</v>
      </c>
      <c r="S59" s="3">
        <v>4</v>
      </c>
      <c r="T59" s="1" t="s">
        <v>72</v>
      </c>
      <c r="U59" s="3">
        <v>82</v>
      </c>
      <c r="V59" s="1" t="s">
        <v>79</v>
      </c>
      <c r="W59" s="5">
        <f>Table1[[#This Row],[Quantity]]*Table1[[#This Row],[Price]]*(1-Table1[[#This Row],[Discount %]]/100)</f>
        <v>189493.72329246937</v>
      </c>
      <c r="X59">
        <f>Table1[[#This Row],[DeliveryDate]]-Table1[[#This Row],[OrderDate]]</f>
        <v>6</v>
      </c>
      <c r="Y59" t="str">
        <f>TEXT(Table1[[#This Row],[OrderDate]],"MMMM")</f>
        <v>November</v>
      </c>
      <c r="Z59" s="5">
        <f>YEAR(Table1[[#This Row],[OrderDate]])</f>
        <v>2024</v>
      </c>
    </row>
    <row r="60" spans="1:26" x14ac:dyDescent="0.3">
      <c r="A60" s="1" t="s">
        <v>373</v>
      </c>
      <c r="B60" t="s">
        <v>309</v>
      </c>
      <c r="C60" s="3">
        <v>24</v>
      </c>
      <c r="D60" s="1" t="s">
        <v>51</v>
      </c>
      <c r="E60" s="1" t="s">
        <v>99</v>
      </c>
      <c r="F60" s="1" t="s">
        <v>82</v>
      </c>
      <c r="G60" s="4">
        <v>45470</v>
      </c>
      <c r="H60" s="4">
        <v>45472</v>
      </c>
      <c r="I60" s="1" t="s">
        <v>77</v>
      </c>
      <c r="J60" s="1" t="s">
        <v>30</v>
      </c>
      <c r="K60" s="3">
        <v>3</v>
      </c>
      <c r="L60" s="2">
        <v>73631</v>
      </c>
      <c r="M60" s="3">
        <v>10</v>
      </c>
      <c r="N60" s="1" t="s">
        <v>56</v>
      </c>
      <c r="O60" s="1" t="s">
        <v>133</v>
      </c>
      <c r="P60" s="1" t="s">
        <v>33</v>
      </c>
      <c r="Q60" s="1" t="s">
        <v>312</v>
      </c>
      <c r="R60" s="1" t="s">
        <v>376</v>
      </c>
      <c r="S60" s="3">
        <v>4</v>
      </c>
      <c r="T60" s="1" t="s">
        <v>36</v>
      </c>
      <c r="U60" s="3">
        <v>167</v>
      </c>
      <c r="V60" s="1" t="s">
        <v>62</v>
      </c>
      <c r="W60" s="5">
        <f>Table1[[#This Row],[Quantity]]*Table1[[#This Row],[Price]]*(1-Table1[[#This Row],[Discount %]]/100)</f>
        <v>198803.7</v>
      </c>
      <c r="X60">
        <f>Table1[[#This Row],[DeliveryDate]]-Table1[[#This Row],[OrderDate]]</f>
        <v>2</v>
      </c>
      <c r="Y60" t="str">
        <f>TEXT(Table1[[#This Row],[OrderDate]],"MMMM")</f>
        <v>June</v>
      </c>
      <c r="Z60" s="5">
        <f>YEAR(Table1[[#This Row],[OrderDate]])</f>
        <v>2024</v>
      </c>
    </row>
    <row r="61" spans="1:26" x14ac:dyDescent="0.3">
      <c r="A61" s="1" t="s">
        <v>377</v>
      </c>
      <c r="B61" t="s">
        <v>321</v>
      </c>
      <c r="C61" s="3">
        <v>35</v>
      </c>
      <c r="D61" s="1" t="s">
        <v>24</v>
      </c>
      <c r="E61" s="1" t="s">
        <v>26</v>
      </c>
      <c r="F61" s="1" t="s">
        <v>82</v>
      </c>
      <c r="G61" s="4">
        <v>45458</v>
      </c>
      <c r="H61" s="4">
        <v>45468</v>
      </c>
      <c r="I61" s="1" t="s">
        <v>29</v>
      </c>
      <c r="J61" s="1" t="s">
        <v>30</v>
      </c>
      <c r="K61" s="3">
        <v>4</v>
      </c>
      <c r="L61" s="2">
        <v>66562</v>
      </c>
      <c r="M61" s="3">
        <v>0</v>
      </c>
      <c r="N61" s="1" t="s">
        <v>166</v>
      </c>
      <c r="O61" s="1" t="s">
        <v>46</v>
      </c>
      <c r="P61" s="1" t="s">
        <v>69</v>
      </c>
      <c r="Q61" s="1" t="s">
        <v>324</v>
      </c>
      <c r="R61" s="1" t="s">
        <v>380</v>
      </c>
      <c r="S61" s="3">
        <v>2</v>
      </c>
      <c r="T61" s="1" t="s">
        <v>61</v>
      </c>
      <c r="U61" s="3">
        <v>477</v>
      </c>
      <c r="V61" s="1" t="s">
        <v>79</v>
      </c>
      <c r="W61" s="5">
        <f>Table1[[#This Row],[Quantity]]*Table1[[#This Row],[Price]]*(1-Table1[[#This Row],[Discount %]]/100)</f>
        <v>266248</v>
      </c>
      <c r="X61">
        <f>Table1[[#This Row],[DeliveryDate]]-Table1[[#This Row],[OrderDate]]</f>
        <v>10</v>
      </c>
      <c r="Y61" t="str">
        <f>TEXT(Table1[[#This Row],[OrderDate]],"MMMM")</f>
        <v>June</v>
      </c>
      <c r="Z61" s="5">
        <f>YEAR(Table1[[#This Row],[OrderDate]])</f>
        <v>2024</v>
      </c>
    </row>
    <row r="62" spans="1:26" x14ac:dyDescent="0.3">
      <c r="A62" s="1" t="s">
        <v>381</v>
      </c>
      <c r="B62" t="s">
        <v>382</v>
      </c>
      <c r="C62" s="3">
        <v>51</v>
      </c>
      <c r="D62" s="1" t="s">
        <v>24</v>
      </c>
      <c r="E62" s="1" t="s">
        <v>131</v>
      </c>
      <c r="F62" s="1" t="s">
        <v>91</v>
      </c>
      <c r="G62" s="4">
        <v>45141</v>
      </c>
      <c r="H62" s="4">
        <v>45142</v>
      </c>
      <c r="I62" s="1" t="s">
        <v>77</v>
      </c>
      <c r="J62" s="1" t="s">
        <v>30</v>
      </c>
      <c r="K62" s="3">
        <v>5</v>
      </c>
      <c r="L62" s="2">
        <v>8296</v>
      </c>
      <c r="M62" s="3">
        <v>0</v>
      </c>
      <c r="N62" s="1" t="s">
        <v>45</v>
      </c>
      <c r="O62" s="1" t="s">
        <v>57</v>
      </c>
      <c r="P62" s="1" t="s">
        <v>174</v>
      </c>
      <c r="Q62" s="1" t="s">
        <v>385</v>
      </c>
      <c r="R62" s="1" t="s">
        <v>386</v>
      </c>
      <c r="S62" s="3">
        <v>1</v>
      </c>
      <c r="T62" s="1" t="s">
        <v>96</v>
      </c>
      <c r="U62" s="3">
        <v>117</v>
      </c>
      <c r="V62" s="1" t="s">
        <v>62</v>
      </c>
      <c r="W62" s="5">
        <f>Table1[[#This Row],[Quantity]]*Table1[[#This Row],[Price]]*(1-Table1[[#This Row],[Discount %]]/100)</f>
        <v>41480</v>
      </c>
      <c r="X62">
        <f>Table1[[#This Row],[DeliveryDate]]-Table1[[#This Row],[OrderDate]]</f>
        <v>1</v>
      </c>
      <c r="Y62" t="str">
        <f>TEXT(Table1[[#This Row],[OrderDate]],"MMMM")</f>
        <v>August</v>
      </c>
      <c r="Z62" s="5">
        <f>YEAR(Table1[[#This Row],[OrderDate]])</f>
        <v>2023</v>
      </c>
    </row>
    <row r="63" spans="1:26" x14ac:dyDescent="0.3">
      <c r="A63" s="1" t="s">
        <v>387</v>
      </c>
      <c r="B63" t="s">
        <v>98</v>
      </c>
      <c r="C63" s="3">
        <v>22</v>
      </c>
      <c r="D63" s="1" t="s">
        <v>24</v>
      </c>
      <c r="E63" s="1" t="s">
        <v>25</v>
      </c>
      <c r="F63" s="1" t="s">
        <v>82</v>
      </c>
      <c r="G63" s="4">
        <v>44939</v>
      </c>
      <c r="H63" s="4">
        <v>44947</v>
      </c>
      <c r="I63" s="1" t="s">
        <v>29</v>
      </c>
      <c r="J63" s="1" t="s">
        <v>44</v>
      </c>
      <c r="K63" s="3">
        <v>2</v>
      </c>
      <c r="L63" s="2">
        <v>41685</v>
      </c>
      <c r="M63" s="3">
        <v>10</v>
      </c>
      <c r="N63" s="1" t="s">
        <v>45</v>
      </c>
      <c r="O63" s="1" t="s">
        <v>32</v>
      </c>
      <c r="P63" s="1" t="s">
        <v>174</v>
      </c>
      <c r="Q63" s="1" t="s">
        <v>103</v>
      </c>
      <c r="R63" s="1" t="s">
        <v>3415</v>
      </c>
      <c r="S63" s="3">
        <v>5</v>
      </c>
      <c r="T63" s="1" t="s">
        <v>72</v>
      </c>
      <c r="U63" s="3">
        <v>179</v>
      </c>
      <c r="V63" s="1" t="s">
        <v>79</v>
      </c>
      <c r="W63" s="5">
        <f>Table1[[#This Row],[Quantity]]*Table1[[#This Row],[Price]]*(1-Table1[[#This Row],[Discount %]]/100)</f>
        <v>75033</v>
      </c>
      <c r="X63">
        <f>Table1[[#This Row],[DeliveryDate]]-Table1[[#This Row],[OrderDate]]</f>
        <v>8</v>
      </c>
      <c r="Y63" t="str">
        <f>TEXT(Table1[[#This Row],[OrderDate]],"MMMM")</f>
        <v>January</v>
      </c>
      <c r="Z63" s="5">
        <f>YEAR(Table1[[#This Row],[OrderDate]])</f>
        <v>2023</v>
      </c>
    </row>
    <row r="64" spans="1:26" x14ac:dyDescent="0.3">
      <c r="A64" s="1" t="s">
        <v>390</v>
      </c>
      <c r="B64" t="s">
        <v>182</v>
      </c>
      <c r="C64" s="3">
        <v>55</v>
      </c>
      <c r="D64" s="1" t="s">
        <v>51</v>
      </c>
      <c r="E64" s="1" t="s">
        <v>40</v>
      </c>
      <c r="F64" s="1" t="s">
        <v>53</v>
      </c>
      <c r="G64" s="4">
        <v>45053</v>
      </c>
      <c r="H64" s="4">
        <v>45063</v>
      </c>
      <c r="I64" s="1" t="s">
        <v>29</v>
      </c>
      <c r="J64" s="1" t="s">
        <v>30</v>
      </c>
      <c r="K64" s="3">
        <v>5</v>
      </c>
      <c r="L64" s="2">
        <v>30845</v>
      </c>
      <c r="M64" s="3">
        <v>15</v>
      </c>
      <c r="N64" s="1" t="s">
        <v>166</v>
      </c>
      <c r="O64" s="1" t="s">
        <v>46</v>
      </c>
      <c r="P64" s="1" t="s">
        <v>33</v>
      </c>
      <c r="Q64" s="1" t="s">
        <v>3415</v>
      </c>
      <c r="R64" s="1" t="s">
        <v>391</v>
      </c>
      <c r="S64" s="3">
        <v>2</v>
      </c>
      <c r="T64" s="1" t="s">
        <v>61</v>
      </c>
      <c r="U64" s="3">
        <v>406</v>
      </c>
      <c r="V64" s="1" t="s">
        <v>79</v>
      </c>
      <c r="W64" s="5">
        <f>Table1[[#This Row],[Quantity]]*Table1[[#This Row],[Price]]*(1-Table1[[#This Row],[Discount %]]/100)</f>
        <v>131091.25</v>
      </c>
      <c r="X64">
        <f>Table1[[#This Row],[DeliveryDate]]-Table1[[#This Row],[OrderDate]]</f>
        <v>10</v>
      </c>
      <c r="Y64" t="str">
        <f>TEXT(Table1[[#This Row],[OrderDate]],"MMMM")</f>
        <v>May</v>
      </c>
      <c r="Z64" s="5">
        <f>YEAR(Table1[[#This Row],[OrderDate]])</f>
        <v>2023</v>
      </c>
    </row>
    <row r="65" spans="1:26" x14ac:dyDescent="0.3">
      <c r="A65" s="1" t="s">
        <v>392</v>
      </c>
      <c r="B65" t="s">
        <v>105</v>
      </c>
      <c r="C65" s="3">
        <v>33</v>
      </c>
      <c r="D65" s="1" t="s">
        <v>24</v>
      </c>
      <c r="E65" s="1" t="s">
        <v>142</v>
      </c>
      <c r="F65" s="1" t="s">
        <v>53</v>
      </c>
      <c r="G65" s="4">
        <v>45266</v>
      </c>
      <c r="H65" s="4">
        <v>45275</v>
      </c>
      <c r="I65" s="1" t="s">
        <v>43</v>
      </c>
      <c r="J65" s="1" t="s">
        <v>44</v>
      </c>
      <c r="K65" s="3">
        <v>1</v>
      </c>
      <c r="L65" s="2">
        <v>25123</v>
      </c>
      <c r="M65" s="3">
        <v>0</v>
      </c>
      <c r="N65" s="1" t="s">
        <v>56</v>
      </c>
      <c r="O65" s="1" t="s">
        <v>57</v>
      </c>
      <c r="P65" s="1" t="s">
        <v>58</v>
      </c>
      <c r="Q65" s="1" t="s">
        <v>3415</v>
      </c>
      <c r="R65" s="1" t="s">
        <v>395</v>
      </c>
      <c r="S65" s="3">
        <v>1</v>
      </c>
      <c r="T65" s="1" t="s">
        <v>61</v>
      </c>
      <c r="U65" s="3">
        <v>172</v>
      </c>
      <c r="V65" s="1" t="s">
        <v>79</v>
      </c>
      <c r="W65" s="5">
        <f>Table1[[#This Row],[Quantity]]*Table1[[#This Row],[Price]]*(1-Table1[[#This Row],[Discount %]]/100)</f>
        <v>25123</v>
      </c>
      <c r="X65">
        <f>Table1[[#This Row],[DeliveryDate]]-Table1[[#This Row],[OrderDate]]</f>
        <v>9</v>
      </c>
      <c r="Y65" t="str">
        <f>TEXT(Table1[[#This Row],[OrderDate]],"MMMM")</f>
        <v>December</v>
      </c>
      <c r="Z65" s="5">
        <f>YEAR(Table1[[#This Row],[OrderDate]])</f>
        <v>2023</v>
      </c>
    </row>
    <row r="66" spans="1:26" x14ac:dyDescent="0.3">
      <c r="A66" s="1" t="s">
        <v>396</v>
      </c>
      <c r="B66" t="s">
        <v>397</v>
      </c>
      <c r="C66" s="3">
        <v>50</v>
      </c>
      <c r="D66" s="1" t="s">
        <v>24</v>
      </c>
      <c r="E66" s="1" t="s">
        <v>142</v>
      </c>
      <c r="F66" s="1" t="s">
        <v>53</v>
      </c>
      <c r="G66" s="4">
        <v>45011</v>
      </c>
      <c r="H66" s="4">
        <v>45017</v>
      </c>
      <c r="I66" s="1" t="s">
        <v>93</v>
      </c>
      <c r="J66" s="1" t="s">
        <v>44</v>
      </c>
      <c r="K66" s="3">
        <v>5</v>
      </c>
      <c r="L66" s="2">
        <v>75059</v>
      </c>
      <c r="M66" s="3">
        <v>5</v>
      </c>
      <c r="N66" s="1" t="s">
        <v>31</v>
      </c>
      <c r="O66" s="1" t="s">
        <v>32</v>
      </c>
      <c r="P66" s="1" t="s">
        <v>58</v>
      </c>
      <c r="Q66" s="1" t="s">
        <v>400</v>
      </c>
      <c r="R66" s="1" t="s">
        <v>401</v>
      </c>
      <c r="S66" s="3">
        <v>5</v>
      </c>
      <c r="T66" s="1" t="s">
        <v>36</v>
      </c>
      <c r="U66" s="3">
        <v>309</v>
      </c>
      <c r="V66" s="1" t="s">
        <v>62</v>
      </c>
      <c r="W66" s="5">
        <f>Table1[[#This Row],[Quantity]]*Table1[[#This Row],[Price]]*(1-Table1[[#This Row],[Discount %]]/100)</f>
        <v>356530.25</v>
      </c>
      <c r="X66">
        <f>Table1[[#This Row],[DeliveryDate]]-Table1[[#This Row],[OrderDate]]</f>
        <v>6</v>
      </c>
      <c r="Y66" t="str">
        <f>TEXT(Table1[[#This Row],[OrderDate]],"MMMM")</f>
        <v>March</v>
      </c>
      <c r="Z66" s="5">
        <f>YEAR(Table1[[#This Row],[OrderDate]])</f>
        <v>2023</v>
      </c>
    </row>
    <row r="67" spans="1:26" x14ac:dyDescent="0.3">
      <c r="A67" s="1" t="s">
        <v>402</v>
      </c>
      <c r="B67" t="s">
        <v>285</v>
      </c>
      <c r="C67" s="3">
        <v>54</v>
      </c>
      <c r="D67" s="1" t="s">
        <v>51</v>
      </c>
      <c r="E67" s="1" t="s">
        <v>131</v>
      </c>
      <c r="F67" s="1" t="s">
        <v>53</v>
      </c>
      <c r="G67" s="4">
        <v>45221</v>
      </c>
      <c r="H67" s="4">
        <v>45222</v>
      </c>
      <c r="I67" s="1" t="s">
        <v>108</v>
      </c>
      <c r="J67" s="1" t="s">
        <v>30</v>
      </c>
      <c r="K67" s="3">
        <v>5</v>
      </c>
      <c r="L67" s="2">
        <v>40232</v>
      </c>
      <c r="M67" s="3">
        <v>5</v>
      </c>
      <c r="N67" s="1" t="s">
        <v>166</v>
      </c>
      <c r="O67" s="1" t="s">
        <v>173</v>
      </c>
      <c r="P67" s="1" t="s">
        <v>69</v>
      </c>
      <c r="Q67" s="1" t="s">
        <v>3415</v>
      </c>
      <c r="R67" s="1" t="s">
        <v>405</v>
      </c>
      <c r="S67" s="3">
        <v>5</v>
      </c>
      <c r="T67" s="1" t="s">
        <v>36</v>
      </c>
      <c r="U67" s="3">
        <v>369</v>
      </c>
      <c r="V67" s="1" t="s">
        <v>37</v>
      </c>
      <c r="W67" s="5">
        <f>Table1[[#This Row],[Quantity]]*Table1[[#This Row],[Price]]*(1-Table1[[#This Row],[Discount %]]/100)</f>
        <v>191102</v>
      </c>
      <c r="X67">
        <f>Table1[[#This Row],[DeliveryDate]]-Table1[[#This Row],[OrderDate]]</f>
        <v>1</v>
      </c>
      <c r="Y67" t="str">
        <f>TEXT(Table1[[#This Row],[OrderDate]],"MMMM")</f>
        <v>October</v>
      </c>
      <c r="Z67" s="5">
        <f>YEAR(Table1[[#This Row],[OrderDate]])</f>
        <v>2023</v>
      </c>
    </row>
    <row r="68" spans="1:26" x14ac:dyDescent="0.3">
      <c r="A68" s="1" t="s">
        <v>406</v>
      </c>
      <c r="B68" t="s">
        <v>156</v>
      </c>
      <c r="C68" s="3">
        <v>54</v>
      </c>
      <c r="D68" s="1" t="s">
        <v>24</v>
      </c>
      <c r="E68" s="1" t="s">
        <v>52</v>
      </c>
      <c r="F68" s="1" t="s">
        <v>91</v>
      </c>
      <c r="G68" s="4">
        <v>45148</v>
      </c>
      <c r="H68" s="4">
        <v>45151</v>
      </c>
      <c r="I68" s="1" t="s">
        <v>43</v>
      </c>
      <c r="J68" s="1" t="s">
        <v>44</v>
      </c>
      <c r="K68" s="3">
        <v>4</v>
      </c>
      <c r="L68" s="2">
        <v>62735</v>
      </c>
      <c r="M68" s="3">
        <v>0</v>
      </c>
      <c r="N68" s="1" t="s">
        <v>56</v>
      </c>
      <c r="O68" s="1" t="s">
        <v>68</v>
      </c>
      <c r="P68" s="1" t="s">
        <v>58</v>
      </c>
      <c r="Q68" s="1" t="s">
        <v>159</v>
      </c>
      <c r="R68" s="1" t="s">
        <v>409</v>
      </c>
      <c r="S68" s="3">
        <v>5</v>
      </c>
      <c r="T68" s="1" t="s">
        <v>96</v>
      </c>
      <c r="U68" s="3">
        <v>235</v>
      </c>
      <c r="V68" s="1" t="s">
        <v>62</v>
      </c>
      <c r="W68" s="5">
        <f>Table1[[#This Row],[Quantity]]*Table1[[#This Row],[Price]]*(1-Table1[[#This Row],[Discount %]]/100)</f>
        <v>250940</v>
      </c>
      <c r="X68">
        <f>Table1[[#This Row],[DeliveryDate]]-Table1[[#This Row],[OrderDate]]</f>
        <v>3</v>
      </c>
      <c r="Y68" t="str">
        <f>TEXT(Table1[[#This Row],[OrderDate]],"MMMM")</f>
        <v>August</v>
      </c>
      <c r="Z68" s="5">
        <f>YEAR(Table1[[#This Row],[OrderDate]])</f>
        <v>2023</v>
      </c>
    </row>
    <row r="69" spans="1:26" x14ac:dyDescent="0.3">
      <c r="A69" s="1" t="s">
        <v>410</v>
      </c>
      <c r="B69" t="s">
        <v>411</v>
      </c>
      <c r="C69" s="3">
        <v>30</v>
      </c>
      <c r="D69" s="1" t="s">
        <v>24</v>
      </c>
      <c r="E69" s="1" t="s">
        <v>52</v>
      </c>
      <c r="F69" s="1" t="s">
        <v>53</v>
      </c>
      <c r="G69" s="4">
        <v>45592</v>
      </c>
      <c r="H69" s="4">
        <v>45602</v>
      </c>
      <c r="I69" s="1" t="s">
        <v>43</v>
      </c>
      <c r="J69" s="1" t="s">
        <v>44</v>
      </c>
      <c r="K69" s="3">
        <v>2</v>
      </c>
      <c r="L69" s="2">
        <v>49367</v>
      </c>
      <c r="M69" s="3">
        <v>5</v>
      </c>
      <c r="N69" s="1" t="s">
        <v>45</v>
      </c>
      <c r="O69" s="1" t="s">
        <v>46</v>
      </c>
      <c r="P69" s="1" t="s">
        <v>58</v>
      </c>
      <c r="Q69" s="1" t="s">
        <v>414</v>
      </c>
      <c r="R69" s="1" t="s">
        <v>415</v>
      </c>
      <c r="S69" s="3">
        <v>2</v>
      </c>
      <c r="T69" s="1" t="s">
        <v>96</v>
      </c>
      <c r="U69" s="3">
        <v>58</v>
      </c>
      <c r="V69" s="1" t="s">
        <v>79</v>
      </c>
      <c r="W69" s="5">
        <f>Table1[[#This Row],[Quantity]]*Table1[[#This Row],[Price]]*(1-Table1[[#This Row],[Discount %]]/100)</f>
        <v>93797.299999999988</v>
      </c>
      <c r="X69">
        <f>Table1[[#This Row],[DeliveryDate]]-Table1[[#This Row],[OrderDate]]</f>
        <v>10</v>
      </c>
      <c r="Y69" t="str">
        <f>TEXT(Table1[[#This Row],[OrderDate]],"MMMM")</f>
        <v>October</v>
      </c>
      <c r="Z69" s="5">
        <f>YEAR(Table1[[#This Row],[OrderDate]])</f>
        <v>2024</v>
      </c>
    </row>
    <row r="70" spans="1:26" x14ac:dyDescent="0.3">
      <c r="A70" s="1" t="s">
        <v>416</v>
      </c>
      <c r="B70" t="s">
        <v>198</v>
      </c>
      <c r="C70" s="3">
        <v>54</v>
      </c>
      <c r="D70" s="1" t="s">
        <v>51</v>
      </c>
      <c r="E70" s="1" t="s">
        <v>26</v>
      </c>
      <c r="F70" s="1" t="s">
        <v>53</v>
      </c>
      <c r="G70" s="4">
        <v>45621</v>
      </c>
      <c r="H70" s="4">
        <v>45631</v>
      </c>
      <c r="I70" s="1" t="s">
        <v>77</v>
      </c>
      <c r="J70" s="1" t="s">
        <v>30</v>
      </c>
      <c r="K70" s="3">
        <v>1</v>
      </c>
      <c r="L70" s="2">
        <v>40316</v>
      </c>
      <c r="M70" s="3">
        <v>15</v>
      </c>
      <c r="N70" s="1" t="s">
        <v>45</v>
      </c>
      <c r="O70" s="1" t="s">
        <v>46</v>
      </c>
      <c r="P70" s="1" t="s">
        <v>33</v>
      </c>
      <c r="Q70" s="1" t="s">
        <v>201</v>
      </c>
      <c r="R70" s="1" t="s">
        <v>419</v>
      </c>
      <c r="S70" s="3">
        <v>1</v>
      </c>
      <c r="T70" s="1" t="s">
        <v>36</v>
      </c>
      <c r="U70" s="3">
        <v>342</v>
      </c>
      <c r="V70" s="1" t="s">
        <v>37</v>
      </c>
      <c r="W70" s="5">
        <f>Table1[[#This Row],[Quantity]]*Table1[[#This Row],[Price]]*(1-Table1[[#This Row],[Discount %]]/100)</f>
        <v>34268.6</v>
      </c>
      <c r="X70">
        <f>Table1[[#This Row],[DeliveryDate]]-Table1[[#This Row],[OrderDate]]</f>
        <v>10</v>
      </c>
      <c r="Y70" t="str">
        <f>TEXT(Table1[[#This Row],[OrderDate]],"MMMM")</f>
        <v>November</v>
      </c>
      <c r="Z70" s="5">
        <f>YEAR(Table1[[#This Row],[OrderDate]])</f>
        <v>2024</v>
      </c>
    </row>
    <row r="71" spans="1:26" x14ac:dyDescent="0.3">
      <c r="A71" s="1" t="s">
        <v>420</v>
      </c>
      <c r="B71" t="s">
        <v>850</v>
      </c>
      <c r="C71" s="3">
        <v>37</v>
      </c>
      <c r="D71" s="1" t="s">
        <v>51</v>
      </c>
      <c r="E71" s="1" t="s">
        <v>25</v>
      </c>
      <c r="F71" s="1" t="s">
        <v>53</v>
      </c>
      <c r="G71" s="4">
        <v>44976</v>
      </c>
      <c r="H71" s="4">
        <v>44979</v>
      </c>
      <c r="I71" s="1" t="s">
        <v>77</v>
      </c>
      <c r="J71" s="1" t="s">
        <v>30</v>
      </c>
      <c r="K71" s="3">
        <v>4</v>
      </c>
      <c r="L71" s="2">
        <v>68250</v>
      </c>
      <c r="M71" s="3">
        <v>5</v>
      </c>
      <c r="N71" s="1" t="s">
        <v>31</v>
      </c>
      <c r="O71" s="1" t="s">
        <v>102</v>
      </c>
      <c r="P71" s="1" t="s">
        <v>174</v>
      </c>
      <c r="Q71" s="1" t="s">
        <v>258</v>
      </c>
      <c r="R71" s="1" t="s">
        <v>422</v>
      </c>
      <c r="S71" s="3">
        <v>1</v>
      </c>
      <c r="T71" s="1" t="s">
        <v>61</v>
      </c>
      <c r="U71" s="3">
        <v>286</v>
      </c>
      <c r="V71" s="1" t="s">
        <v>62</v>
      </c>
      <c r="W71" s="5">
        <f>Table1[[#This Row],[Quantity]]*Table1[[#This Row],[Price]]*(1-Table1[[#This Row],[Discount %]]/100)</f>
        <v>259350</v>
      </c>
      <c r="X71">
        <f>Table1[[#This Row],[DeliveryDate]]-Table1[[#This Row],[OrderDate]]</f>
        <v>3</v>
      </c>
      <c r="Y71" t="str">
        <f>TEXT(Table1[[#This Row],[OrderDate]],"MMMM")</f>
        <v>February</v>
      </c>
      <c r="Z71" s="5">
        <f>YEAR(Table1[[#This Row],[OrderDate]])</f>
        <v>2023</v>
      </c>
    </row>
    <row r="72" spans="1:26" x14ac:dyDescent="0.3">
      <c r="A72" s="1" t="s">
        <v>423</v>
      </c>
      <c r="B72" t="s">
        <v>424</v>
      </c>
      <c r="C72" s="3">
        <v>41</v>
      </c>
      <c r="D72" s="1" t="s">
        <v>51</v>
      </c>
      <c r="E72" s="1" t="s">
        <v>52</v>
      </c>
      <c r="F72" s="1" t="s">
        <v>82</v>
      </c>
      <c r="G72" s="4">
        <v>45615</v>
      </c>
      <c r="H72" s="4">
        <v>45620</v>
      </c>
      <c r="I72" s="1" t="s">
        <v>93</v>
      </c>
      <c r="J72" s="1" t="s">
        <v>30</v>
      </c>
      <c r="K72" s="3">
        <v>2</v>
      </c>
      <c r="L72" s="2">
        <v>26344</v>
      </c>
      <c r="M72" s="3">
        <v>15</v>
      </c>
      <c r="N72" s="1" t="s">
        <v>166</v>
      </c>
      <c r="O72" s="1" t="s">
        <v>57</v>
      </c>
      <c r="P72" s="1" t="s">
        <v>33</v>
      </c>
      <c r="Q72" s="1" t="s">
        <v>427</v>
      </c>
      <c r="R72" s="1" t="s">
        <v>428</v>
      </c>
      <c r="S72" s="3">
        <v>5</v>
      </c>
      <c r="T72" s="1" t="s">
        <v>36</v>
      </c>
      <c r="U72" s="3">
        <v>406</v>
      </c>
      <c r="V72" s="1" t="s">
        <v>62</v>
      </c>
      <c r="W72" s="5">
        <f>Table1[[#This Row],[Quantity]]*Table1[[#This Row],[Price]]*(1-Table1[[#This Row],[Discount %]]/100)</f>
        <v>44784.799999999996</v>
      </c>
      <c r="X72">
        <f>Table1[[#This Row],[DeliveryDate]]-Table1[[#This Row],[OrderDate]]</f>
        <v>5</v>
      </c>
      <c r="Y72" t="str">
        <f>TEXT(Table1[[#This Row],[OrderDate]],"MMMM")</f>
        <v>November</v>
      </c>
      <c r="Z72" s="5">
        <f>YEAR(Table1[[#This Row],[OrderDate]])</f>
        <v>2024</v>
      </c>
    </row>
    <row r="73" spans="1:26" x14ac:dyDescent="0.3">
      <c r="A73" s="1" t="s">
        <v>429</v>
      </c>
      <c r="B73" t="s">
        <v>90</v>
      </c>
      <c r="C73" s="3">
        <v>60</v>
      </c>
      <c r="D73" s="1" t="s">
        <v>24</v>
      </c>
      <c r="E73" s="1" t="s">
        <v>25</v>
      </c>
      <c r="F73" s="1" t="s">
        <v>91</v>
      </c>
      <c r="G73" s="4">
        <v>45466</v>
      </c>
      <c r="H73" s="4">
        <v>45474</v>
      </c>
      <c r="I73" s="1" t="s">
        <v>77</v>
      </c>
      <c r="J73" s="1" t="s">
        <v>30</v>
      </c>
      <c r="K73" s="3">
        <v>4</v>
      </c>
      <c r="L73" s="2">
        <v>26242</v>
      </c>
      <c r="M73" s="3">
        <v>0</v>
      </c>
      <c r="N73" s="1" t="s">
        <v>56</v>
      </c>
      <c r="O73" s="1" t="s">
        <v>68</v>
      </c>
      <c r="P73" s="1" t="s">
        <v>174</v>
      </c>
      <c r="Q73" s="1" t="s">
        <v>94</v>
      </c>
      <c r="R73" s="1" t="s">
        <v>3415</v>
      </c>
      <c r="S73" s="3">
        <v>3</v>
      </c>
      <c r="T73" s="1" t="s">
        <v>36</v>
      </c>
      <c r="U73" s="3">
        <v>186</v>
      </c>
      <c r="V73" s="1" t="s">
        <v>62</v>
      </c>
      <c r="W73" s="5">
        <f>Table1[[#This Row],[Quantity]]*Table1[[#This Row],[Price]]*(1-Table1[[#This Row],[Discount %]]/100)</f>
        <v>104968</v>
      </c>
      <c r="X73">
        <f>Table1[[#This Row],[DeliveryDate]]-Table1[[#This Row],[OrderDate]]</f>
        <v>8</v>
      </c>
      <c r="Y73" t="str">
        <f>TEXT(Table1[[#This Row],[OrderDate]],"MMMM")</f>
        <v>June</v>
      </c>
      <c r="Z73" s="5">
        <f>YEAR(Table1[[#This Row],[OrderDate]])</f>
        <v>2024</v>
      </c>
    </row>
    <row r="74" spans="1:26" x14ac:dyDescent="0.3">
      <c r="A74" s="1" t="s">
        <v>432</v>
      </c>
      <c r="B74" t="s">
        <v>150</v>
      </c>
      <c r="C74" s="3">
        <v>52</v>
      </c>
      <c r="D74" s="1" t="s">
        <v>24</v>
      </c>
      <c r="E74" s="1" t="s">
        <v>131</v>
      </c>
      <c r="F74" s="1" t="s">
        <v>82</v>
      </c>
      <c r="G74" s="4">
        <v>45585</v>
      </c>
      <c r="H74" s="4">
        <v>45592</v>
      </c>
      <c r="I74" s="1" t="s">
        <v>43</v>
      </c>
      <c r="J74" s="1" t="s">
        <v>30</v>
      </c>
      <c r="K74" s="3">
        <v>1</v>
      </c>
      <c r="L74" s="2">
        <v>78615</v>
      </c>
      <c r="M74" s="3">
        <v>5</v>
      </c>
      <c r="N74" s="1" t="s">
        <v>56</v>
      </c>
      <c r="O74" s="1" t="s">
        <v>133</v>
      </c>
      <c r="P74" s="1" t="s">
        <v>58</v>
      </c>
      <c r="Q74" s="1" t="s">
        <v>153</v>
      </c>
      <c r="R74" s="1" t="s">
        <v>3415</v>
      </c>
      <c r="S74" s="3">
        <v>4</v>
      </c>
      <c r="T74" s="1" t="s">
        <v>61</v>
      </c>
      <c r="U74" s="3">
        <v>385</v>
      </c>
      <c r="V74" s="1" t="s">
        <v>62</v>
      </c>
      <c r="W74" s="5">
        <f>Table1[[#This Row],[Quantity]]*Table1[[#This Row],[Price]]*(1-Table1[[#This Row],[Discount %]]/100)</f>
        <v>74684.25</v>
      </c>
      <c r="X74">
        <f>Table1[[#This Row],[DeliveryDate]]-Table1[[#This Row],[OrderDate]]</f>
        <v>7</v>
      </c>
      <c r="Y74" t="str">
        <f>TEXT(Table1[[#This Row],[OrderDate]],"MMMM")</f>
        <v>October</v>
      </c>
      <c r="Z74" s="5">
        <f>YEAR(Table1[[#This Row],[OrderDate]])</f>
        <v>2024</v>
      </c>
    </row>
    <row r="75" spans="1:26" x14ac:dyDescent="0.3">
      <c r="A75" s="1" t="s">
        <v>433</v>
      </c>
      <c r="B75" t="s">
        <v>440</v>
      </c>
      <c r="C75" s="3">
        <v>23</v>
      </c>
      <c r="D75" s="1" t="s">
        <v>24</v>
      </c>
      <c r="E75" s="1" t="s">
        <v>52</v>
      </c>
      <c r="F75" s="1" t="s">
        <v>26</v>
      </c>
      <c r="G75" s="4">
        <v>44936</v>
      </c>
      <c r="H75" s="4">
        <v>44940</v>
      </c>
      <c r="I75" s="1" t="s">
        <v>108</v>
      </c>
      <c r="J75" s="1" t="s">
        <v>30</v>
      </c>
      <c r="K75" s="3">
        <v>2</v>
      </c>
      <c r="L75" s="2">
        <v>6684</v>
      </c>
      <c r="M75" s="3">
        <v>5</v>
      </c>
      <c r="N75" s="1" t="s">
        <v>166</v>
      </c>
      <c r="O75" s="1" t="s">
        <v>46</v>
      </c>
      <c r="P75" s="1" t="s">
        <v>33</v>
      </c>
      <c r="Q75" s="1" t="s">
        <v>437</v>
      </c>
      <c r="R75" s="1" t="s">
        <v>438</v>
      </c>
      <c r="S75" s="3">
        <v>3</v>
      </c>
      <c r="T75" s="1" t="s">
        <v>96</v>
      </c>
      <c r="U75" s="3">
        <v>298</v>
      </c>
      <c r="V75" s="1" t="s">
        <v>37</v>
      </c>
      <c r="W75" s="5">
        <f>Table1[[#This Row],[Quantity]]*Table1[[#This Row],[Price]]*(1-Table1[[#This Row],[Discount %]]/100)</f>
        <v>12699.599999999999</v>
      </c>
      <c r="X75">
        <f>Table1[[#This Row],[DeliveryDate]]-Table1[[#This Row],[OrderDate]]</f>
        <v>4</v>
      </c>
      <c r="Y75" t="str">
        <f>TEXT(Table1[[#This Row],[OrderDate]],"MMMM")</f>
        <v>January</v>
      </c>
      <c r="Z75" s="5">
        <f>YEAR(Table1[[#This Row],[OrderDate]])</f>
        <v>2023</v>
      </c>
    </row>
    <row r="76" spans="1:26" x14ac:dyDescent="0.3">
      <c r="A76" s="1" t="s">
        <v>439</v>
      </c>
      <c r="B76" t="s">
        <v>440</v>
      </c>
      <c r="C76" s="3">
        <v>47</v>
      </c>
      <c r="D76" s="1" t="s">
        <v>24</v>
      </c>
      <c r="E76" s="1" t="s">
        <v>52</v>
      </c>
      <c r="F76" s="1" t="s">
        <v>65</v>
      </c>
      <c r="G76" s="4">
        <v>45137</v>
      </c>
      <c r="H76" s="4">
        <v>45146</v>
      </c>
      <c r="I76" s="1" t="s">
        <v>43</v>
      </c>
      <c r="J76" s="1" t="s">
        <v>44</v>
      </c>
      <c r="K76" s="3">
        <v>5</v>
      </c>
      <c r="L76" s="2">
        <v>64527</v>
      </c>
      <c r="M76" s="3">
        <v>15</v>
      </c>
      <c r="N76" s="1" t="s">
        <v>166</v>
      </c>
      <c r="O76" s="1" t="s">
        <v>133</v>
      </c>
      <c r="P76" s="1" t="s">
        <v>69</v>
      </c>
      <c r="Q76" s="1" t="s">
        <v>437</v>
      </c>
      <c r="R76" s="1" t="s">
        <v>443</v>
      </c>
      <c r="S76" s="3">
        <v>3</v>
      </c>
      <c r="T76" s="1" t="s">
        <v>61</v>
      </c>
      <c r="U76" s="3">
        <v>499</v>
      </c>
      <c r="V76" s="1" t="s">
        <v>79</v>
      </c>
      <c r="W76" s="5">
        <f>Table1[[#This Row],[Quantity]]*Table1[[#This Row],[Price]]*(1-Table1[[#This Row],[Discount %]]/100)</f>
        <v>274239.75</v>
      </c>
      <c r="X76">
        <f>Table1[[#This Row],[DeliveryDate]]-Table1[[#This Row],[OrderDate]]</f>
        <v>9</v>
      </c>
      <c r="Y76" t="str">
        <f>TEXT(Table1[[#This Row],[OrderDate]],"MMMM")</f>
        <v>July</v>
      </c>
      <c r="Z76" s="5">
        <f>YEAR(Table1[[#This Row],[OrderDate]])</f>
        <v>2023</v>
      </c>
    </row>
    <row r="77" spans="1:26" x14ac:dyDescent="0.3">
      <c r="A77" s="1" t="s">
        <v>444</v>
      </c>
      <c r="B77" t="s">
        <v>182</v>
      </c>
      <c r="C77" s="3">
        <v>30</v>
      </c>
      <c r="D77" s="1" t="s">
        <v>24</v>
      </c>
      <c r="E77" s="1" t="s">
        <v>26</v>
      </c>
      <c r="F77" s="1" t="s">
        <v>82</v>
      </c>
      <c r="G77" s="4">
        <v>45221</v>
      </c>
      <c r="H77" s="4">
        <v>45231</v>
      </c>
      <c r="I77" s="1" t="s">
        <v>93</v>
      </c>
      <c r="J77" s="1" t="s">
        <v>30</v>
      </c>
      <c r="K77" s="3">
        <v>3</v>
      </c>
      <c r="L77" s="2">
        <v>38262</v>
      </c>
      <c r="M77" s="3">
        <v>10</v>
      </c>
      <c r="N77" s="1" t="s">
        <v>31</v>
      </c>
      <c r="O77" s="1" t="s">
        <v>133</v>
      </c>
      <c r="P77" s="1" t="s">
        <v>174</v>
      </c>
      <c r="Q77" s="1" t="s">
        <v>186</v>
      </c>
      <c r="R77" s="1" t="s">
        <v>447</v>
      </c>
      <c r="S77" s="3">
        <v>5</v>
      </c>
      <c r="T77" s="1" t="s">
        <v>96</v>
      </c>
      <c r="U77" s="3">
        <v>166</v>
      </c>
      <c r="V77" s="1" t="s">
        <v>79</v>
      </c>
      <c r="W77" s="5">
        <f>Table1[[#This Row],[Quantity]]*Table1[[#This Row],[Price]]*(1-Table1[[#This Row],[Discount %]]/100)</f>
        <v>103307.40000000001</v>
      </c>
      <c r="X77">
        <f>Table1[[#This Row],[DeliveryDate]]-Table1[[#This Row],[OrderDate]]</f>
        <v>10</v>
      </c>
      <c r="Y77" t="str">
        <f>TEXT(Table1[[#This Row],[OrderDate]],"MMMM")</f>
        <v>October</v>
      </c>
      <c r="Z77" s="5">
        <f>YEAR(Table1[[#This Row],[OrderDate]])</f>
        <v>2023</v>
      </c>
    </row>
    <row r="78" spans="1:26" x14ac:dyDescent="0.3">
      <c r="A78" s="1" t="s">
        <v>448</v>
      </c>
      <c r="B78" t="s">
        <v>361</v>
      </c>
      <c r="C78" s="3">
        <v>47</v>
      </c>
      <c r="D78" s="1" t="s">
        <v>24</v>
      </c>
      <c r="E78" s="1" t="s">
        <v>131</v>
      </c>
      <c r="F78" s="1" t="s">
        <v>82</v>
      </c>
      <c r="G78" s="4">
        <v>45199</v>
      </c>
      <c r="H78" s="4">
        <v>45200</v>
      </c>
      <c r="I78" s="1" t="s">
        <v>108</v>
      </c>
      <c r="J78" s="1" t="s">
        <v>44</v>
      </c>
      <c r="K78" s="3">
        <v>2</v>
      </c>
      <c r="L78" s="2">
        <v>39244</v>
      </c>
      <c r="M78" s="3">
        <v>15</v>
      </c>
      <c r="N78" s="1" t="s">
        <v>56</v>
      </c>
      <c r="O78" s="1" t="s">
        <v>173</v>
      </c>
      <c r="P78" s="1" t="s">
        <v>58</v>
      </c>
      <c r="Q78" s="1" t="s">
        <v>364</v>
      </c>
      <c r="R78" s="1" t="s">
        <v>451</v>
      </c>
      <c r="S78" s="3">
        <v>5</v>
      </c>
      <c r="T78" s="1" t="s">
        <v>96</v>
      </c>
      <c r="U78" s="3">
        <v>194</v>
      </c>
      <c r="V78" s="1" t="s">
        <v>79</v>
      </c>
      <c r="W78" s="5">
        <f>Table1[[#This Row],[Quantity]]*Table1[[#This Row],[Price]]*(1-Table1[[#This Row],[Discount %]]/100)</f>
        <v>66714.8</v>
      </c>
      <c r="X78">
        <f>Table1[[#This Row],[DeliveryDate]]-Table1[[#This Row],[OrderDate]]</f>
        <v>1</v>
      </c>
      <c r="Y78" t="str">
        <f>TEXT(Table1[[#This Row],[OrderDate]],"MMMM")</f>
        <v>September</v>
      </c>
      <c r="Z78" s="5">
        <f>YEAR(Table1[[#This Row],[OrderDate]])</f>
        <v>2023</v>
      </c>
    </row>
    <row r="79" spans="1:26" x14ac:dyDescent="0.3">
      <c r="A79" s="1" t="s">
        <v>452</v>
      </c>
      <c r="B79" t="s">
        <v>193</v>
      </c>
      <c r="C79" s="3">
        <v>38</v>
      </c>
      <c r="D79" s="1" t="s">
        <v>51</v>
      </c>
      <c r="E79" s="1" t="s">
        <v>52</v>
      </c>
      <c r="F79" s="1" t="s">
        <v>53</v>
      </c>
      <c r="G79" s="4">
        <v>45040</v>
      </c>
      <c r="H79" s="4">
        <v>45050</v>
      </c>
      <c r="I79" s="1" t="s">
        <v>29</v>
      </c>
      <c r="J79" s="1" t="s">
        <v>30</v>
      </c>
      <c r="K79" s="3">
        <v>2.9447852760736195</v>
      </c>
      <c r="L79" s="2">
        <v>34461</v>
      </c>
      <c r="M79" s="3">
        <v>15</v>
      </c>
      <c r="N79" s="1" t="s">
        <v>45</v>
      </c>
      <c r="O79" s="1" t="s">
        <v>133</v>
      </c>
      <c r="P79" s="1" t="s">
        <v>58</v>
      </c>
      <c r="Q79" s="1" t="s">
        <v>3415</v>
      </c>
      <c r="R79" s="1" t="s">
        <v>455</v>
      </c>
      <c r="S79" s="3">
        <v>4</v>
      </c>
      <c r="T79" s="1" t="s">
        <v>96</v>
      </c>
      <c r="U79" s="3">
        <v>448</v>
      </c>
      <c r="V79" s="1" t="s">
        <v>37</v>
      </c>
      <c r="W79" s="5">
        <f>Table1[[#This Row],[Quantity]]*Table1[[#This Row],[Price]]*(1-Table1[[#This Row],[Discount %]]/100)</f>
        <v>86258.208588957044</v>
      </c>
      <c r="X79">
        <f>Table1[[#This Row],[DeliveryDate]]-Table1[[#This Row],[OrderDate]]</f>
        <v>10</v>
      </c>
      <c r="Y79" t="str">
        <f>TEXT(Table1[[#This Row],[OrderDate]],"MMMM")</f>
        <v>April</v>
      </c>
      <c r="Z79" s="5">
        <f>YEAR(Table1[[#This Row],[OrderDate]])</f>
        <v>2023</v>
      </c>
    </row>
    <row r="80" spans="1:26" x14ac:dyDescent="0.3">
      <c r="A80" s="1" t="s">
        <v>456</v>
      </c>
      <c r="B80" t="s">
        <v>457</v>
      </c>
      <c r="C80" s="3">
        <v>56</v>
      </c>
      <c r="D80" s="1" t="s">
        <v>24</v>
      </c>
      <c r="E80" s="1" t="s">
        <v>26</v>
      </c>
      <c r="F80" s="1" t="s">
        <v>82</v>
      </c>
      <c r="G80" s="4">
        <v>45142</v>
      </c>
      <c r="H80" s="4">
        <v>45152</v>
      </c>
      <c r="I80" s="1" t="s">
        <v>85</v>
      </c>
      <c r="J80" s="1" t="s">
        <v>30</v>
      </c>
      <c r="K80" s="3">
        <v>5</v>
      </c>
      <c r="L80" s="2">
        <v>65108</v>
      </c>
      <c r="M80" s="3">
        <v>10</v>
      </c>
      <c r="N80" s="1" t="s">
        <v>45</v>
      </c>
      <c r="O80" s="1" t="s">
        <v>173</v>
      </c>
      <c r="P80" s="1" t="s">
        <v>174</v>
      </c>
      <c r="Q80" s="1" t="s">
        <v>3415</v>
      </c>
      <c r="R80" s="1" t="s">
        <v>459</v>
      </c>
      <c r="S80" s="3">
        <v>3</v>
      </c>
      <c r="T80" s="1" t="s">
        <v>36</v>
      </c>
      <c r="U80" s="3">
        <v>482</v>
      </c>
      <c r="V80" s="1" t="s">
        <v>79</v>
      </c>
      <c r="W80" s="5">
        <f>Table1[[#This Row],[Quantity]]*Table1[[#This Row],[Price]]*(1-Table1[[#This Row],[Discount %]]/100)</f>
        <v>292986</v>
      </c>
      <c r="X80">
        <f>Table1[[#This Row],[DeliveryDate]]-Table1[[#This Row],[OrderDate]]</f>
        <v>10</v>
      </c>
      <c r="Y80" t="str">
        <f>TEXT(Table1[[#This Row],[OrderDate]],"MMMM")</f>
        <v>August</v>
      </c>
      <c r="Z80" s="5">
        <f>YEAR(Table1[[#This Row],[OrderDate]])</f>
        <v>2023</v>
      </c>
    </row>
    <row r="81" spans="1:26" x14ac:dyDescent="0.3">
      <c r="A81" s="1" t="s">
        <v>460</v>
      </c>
      <c r="B81" t="s">
        <v>461</v>
      </c>
      <c r="C81" s="3">
        <v>45</v>
      </c>
      <c r="D81" s="1" t="s">
        <v>51</v>
      </c>
      <c r="E81" s="1" t="s">
        <v>99</v>
      </c>
      <c r="F81" s="1" t="s">
        <v>26</v>
      </c>
      <c r="G81" s="4">
        <v>45608</v>
      </c>
      <c r="H81" s="4">
        <v>45613</v>
      </c>
      <c r="I81" s="1" t="s">
        <v>29</v>
      </c>
      <c r="J81" s="1" t="s">
        <v>44</v>
      </c>
      <c r="K81" s="3">
        <v>2</v>
      </c>
      <c r="L81" s="2">
        <v>13900</v>
      </c>
      <c r="M81" s="3">
        <v>10</v>
      </c>
      <c r="N81" s="1" t="s">
        <v>31</v>
      </c>
      <c r="O81" s="1" t="s">
        <v>281</v>
      </c>
      <c r="P81" s="1" t="s">
        <v>174</v>
      </c>
      <c r="Q81" s="1" t="s">
        <v>3415</v>
      </c>
      <c r="R81" s="1" t="s">
        <v>464</v>
      </c>
      <c r="S81" s="3">
        <v>5</v>
      </c>
      <c r="T81" s="1" t="s">
        <v>72</v>
      </c>
      <c r="U81" s="3">
        <v>152</v>
      </c>
      <c r="V81" s="1" t="s">
        <v>62</v>
      </c>
      <c r="W81" s="5">
        <f>Table1[[#This Row],[Quantity]]*Table1[[#This Row],[Price]]*(1-Table1[[#This Row],[Discount %]]/100)</f>
        <v>25020</v>
      </c>
      <c r="X81">
        <f>Table1[[#This Row],[DeliveryDate]]-Table1[[#This Row],[OrderDate]]</f>
        <v>5</v>
      </c>
      <c r="Y81" t="str">
        <f>TEXT(Table1[[#This Row],[OrderDate]],"MMMM")</f>
        <v>November</v>
      </c>
      <c r="Z81" s="5">
        <f>YEAR(Table1[[#This Row],[OrderDate]])</f>
        <v>2024</v>
      </c>
    </row>
    <row r="82" spans="1:26" x14ac:dyDescent="0.3">
      <c r="A82" s="1" t="s">
        <v>465</v>
      </c>
      <c r="B82" t="s">
        <v>466</v>
      </c>
      <c r="C82" s="3">
        <v>50</v>
      </c>
      <c r="D82" s="1" t="s">
        <v>24</v>
      </c>
      <c r="E82" s="1" t="s">
        <v>25</v>
      </c>
      <c r="F82" s="1" t="s">
        <v>53</v>
      </c>
      <c r="G82" s="4">
        <v>45210</v>
      </c>
      <c r="H82" s="4">
        <v>45220</v>
      </c>
      <c r="I82" s="1" t="s">
        <v>77</v>
      </c>
      <c r="J82" s="1" t="s">
        <v>30</v>
      </c>
      <c r="K82" s="3">
        <v>2.9447852760736195</v>
      </c>
      <c r="L82" s="2">
        <v>54993</v>
      </c>
      <c r="M82" s="3">
        <v>5</v>
      </c>
      <c r="N82" s="1" t="s">
        <v>45</v>
      </c>
      <c r="O82" s="1" t="s">
        <v>32</v>
      </c>
      <c r="P82" s="1" t="s">
        <v>174</v>
      </c>
      <c r="Q82" s="1" t="s">
        <v>468</v>
      </c>
      <c r="R82" s="1" t="s">
        <v>469</v>
      </c>
      <c r="S82" s="3">
        <v>2</v>
      </c>
      <c r="T82" s="1" t="s">
        <v>96</v>
      </c>
      <c r="U82" s="3">
        <v>401</v>
      </c>
      <c r="V82" s="1" t="s">
        <v>37</v>
      </c>
      <c r="W82" s="5">
        <f>Table1[[#This Row],[Quantity]]*Table1[[#This Row],[Price]]*(1-Table1[[#This Row],[Discount %]]/100)</f>
        <v>153845.44785276073</v>
      </c>
      <c r="X82">
        <f>Table1[[#This Row],[DeliveryDate]]-Table1[[#This Row],[OrderDate]]</f>
        <v>10</v>
      </c>
      <c r="Y82" t="str">
        <f>TEXT(Table1[[#This Row],[OrderDate]],"MMMM")</f>
        <v>October</v>
      </c>
      <c r="Z82" s="5">
        <f>YEAR(Table1[[#This Row],[OrderDate]])</f>
        <v>2023</v>
      </c>
    </row>
    <row r="83" spans="1:26" x14ac:dyDescent="0.3">
      <c r="A83" s="1" t="s">
        <v>470</v>
      </c>
      <c r="B83" t="s">
        <v>471</v>
      </c>
      <c r="C83" s="3">
        <v>36</v>
      </c>
      <c r="D83" s="1" t="s">
        <v>24</v>
      </c>
      <c r="E83" s="1" t="s">
        <v>26</v>
      </c>
      <c r="F83" s="1" t="s">
        <v>26</v>
      </c>
      <c r="G83" s="4">
        <v>45513</v>
      </c>
      <c r="H83" s="4">
        <v>45514</v>
      </c>
      <c r="I83" s="1" t="s">
        <v>43</v>
      </c>
      <c r="J83" s="1" t="s">
        <v>30</v>
      </c>
      <c r="K83" s="3">
        <v>3</v>
      </c>
      <c r="L83" s="2">
        <v>26105</v>
      </c>
      <c r="M83" s="3">
        <v>10</v>
      </c>
      <c r="N83" s="1" t="s">
        <v>166</v>
      </c>
      <c r="O83" s="1" t="s">
        <v>57</v>
      </c>
      <c r="P83" s="1" t="s">
        <v>69</v>
      </c>
      <c r="Q83" s="1" t="s">
        <v>3415</v>
      </c>
      <c r="R83" s="1" t="s">
        <v>474</v>
      </c>
      <c r="S83" s="3">
        <v>4</v>
      </c>
      <c r="T83" s="1" t="s">
        <v>96</v>
      </c>
      <c r="U83" s="3">
        <v>185</v>
      </c>
      <c r="V83" s="1" t="s">
        <v>62</v>
      </c>
      <c r="W83" s="5">
        <f>Table1[[#This Row],[Quantity]]*Table1[[#This Row],[Price]]*(1-Table1[[#This Row],[Discount %]]/100)</f>
        <v>70483.5</v>
      </c>
      <c r="X83">
        <f>Table1[[#This Row],[DeliveryDate]]-Table1[[#This Row],[OrderDate]]</f>
        <v>1</v>
      </c>
      <c r="Y83" t="str">
        <f>TEXT(Table1[[#This Row],[OrderDate]],"MMMM")</f>
        <v>August</v>
      </c>
      <c r="Z83" s="5">
        <f>YEAR(Table1[[#This Row],[OrderDate]])</f>
        <v>2024</v>
      </c>
    </row>
    <row r="84" spans="1:26" x14ac:dyDescent="0.3">
      <c r="A84" s="1" t="s">
        <v>475</v>
      </c>
      <c r="B84" t="s">
        <v>476</v>
      </c>
      <c r="C84" s="3">
        <v>39</v>
      </c>
      <c r="D84" s="1" t="s">
        <v>51</v>
      </c>
      <c r="E84" s="1" t="s">
        <v>52</v>
      </c>
      <c r="F84" s="1" t="s">
        <v>65</v>
      </c>
      <c r="G84" s="4">
        <v>45199</v>
      </c>
      <c r="H84" s="4">
        <v>45206</v>
      </c>
      <c r="I84" s="1" t="s">
        <v>85</v>
      </c>
      <c r="J84" s="1" t="s">
        <v>30</v>
      </c>
      <c r="K84" s="3">
        <v>3</v>
      </c>
      <c r="L84" s="2">
        <v>47367</v>
      </c>
      <c r="M84" s="3">
        <v>0</v>
      </c>
      <c r="N84" s="1" t="s">
        <v>56</v>
      </c>
      <c r="O84" s="1" t="s">
        <v>102</v>
      </c>
      <c r="P84" s="1" t="s">
        <v>33</v>
      </c>
      <c r="Q84" s="1" t="s">
        <v>478</v>
      </c>
      <c r="R84" s="1" t="s">
        <v>479</v>
      </c>
      <c r="S84" s="3">
        <v>2</v>
      </c>
      <c r="T84" s="1" t="s">
        <v>72</v>
      </c>
      <c r="U84" s="3">
        <v>267</v>
      </c>
      <c r="V84" s="1" t="s">
        <v>79</v>
      </c>
      <c r="W84" s="5">
        <f>Table1[[#This Row],[Quantity]]*Table1[[#This Row],[Price]]*(1-Table1[[#This Row],[Discount %]]/100)</f>
        <v>142101</v>
      </c>
      <c r="X84">
        <f>Table1[[#This Row],[DeliveryDate]]-Table1[[#This Row],[OrderDate]]</f>
        <v>7</v>
      </c>
      <c r="Y84" t="str">
        <f>TEXT(Table1[[#This Row],[OrderDate]],"MMMM")</f>
        <v>September</v>
      </c>
      <c r="Z84" s="5">
        <f>YEAR(Table1[[#This Row],[OrderDate]])</f>
        <v>2023</v>
      </c>
    </row>
    <row r="85" spans="1:26" x14ac:dyDescent="0.3">
      <c r="A85" s="1" t="s">
        <v>480</v>
      </c>
      <c r="B85" t="s">
        <v>105</v>
      </c>
      <c r="C85" s="3">
        <v>36</v>
      </c>
      <c r="D85" s="1" t="s">
        <v>24</v>
      </c>
      <c r="E85" s="1" t="s">
        <v>142</v>
      </c>
      <c r="F85" s="1" t="s">
        <v>53</v>
      </c>
      <c r="G85" s="4">
        <v>45193</v>
      </c>
      <c r="H85" s="4">
        <v>45195</v>
      </c>
      <c r="I85" s="1" t="s">
        <v>85</v>
      </c>
      <c r="J85" s="1" t="s">
        <v>44</v>
      </c>
      <c r="K85" s="3">
        <v>5</v>
      </c>
      <c r="L85" s="2">
        <v>57171</v>
      </c>
      <c r="M85" s="3">
        <v>15</v>
      </c>
      <c r="N85" s="1" t="s">
        <v>166</v>
      </c>
      <c r="O85" s="1" t="s">
        <v>46</v>
      </c>
      <c r="P85" s="1" t="s">
        <v>33</v>
      </c>
      <c r="Q85" s="1" t="s">
        <v>3415</v>
      </c>
      <c r="R85" s="1" t="s">
        <v>482</v>
      </c>
      <c r="S85" s="3">
        <v>1</v>
      </c>
      <c r="T85" s="1" t="s">
        <v>36</v>
      </c>
      <c r="U85" s="3">
        <v>89</v>
      </c>
      <c r="V85" s="1" t="s">
        <v>37</v>
      </c>
      <c r="W85" s="5">
        <f>Table1[[#This Row],[Quantity]]*Table1[[#This Row],[Price]]*(1-Table1[[#This Row],[Discount %]]/100)</f>
        <v>242976.75</v>
      </c>
      <c r="X85">
        <f>Table1[[#This Row],[DeliveryDate]]-Table1[[#This Row],[OrderDate]]</f>
        <v>2</v>
      </c>
      <c r="Y85" t="str">
        <f>TEXT(Table1[[#This Row],[OrderDate]],"MMMM")</f>
        <v>September</v>
      </c>
      <c r="Z85" s="5">
        <f>YEAR(Table1[[#This Row],[OrderDate]])</f>
        <v>2023</v>
      </c>
    </row>
    <row r="86" spans="1:26" x14ac:dyDescent="0.3">
      <c r="A86" s="1" t="s">
        <v>483</v>
      </c>
      <c r="B86" t="s">
        <v>484</v>
      </c>
      <c r="C86" s="3">
        <v>50</v>
      </c>
      <c r="D86" s="1" t="s">
        <v>51</v>
      </c>
      <c r="E86" s="1" t="s">
        <v>99</v>
      </c>
      <c r="F86" s="1" t="s">
        <v>53</v>
      </c>
      <c r="G86" s="4">
        <v>45611</v>
      </c>
      <c r="H86" s="4">
        <v>45618</v>
      </c>
      <c r="I86" s="1" t="s">
        <v>77</v>
      </c>
      <c r="J86" s="1" t="s">
        <v>30</v>
      </c>
      <c r="K86" s="3">
        <v>2</v>
      </c>
      <c r="L86" s="2">
        <v>54558</v>
      </c>
      <c r="M86" s="3">
        <v>0</v>
      </c>
      <c r="N86" s="1" t="s">
        <v>45</v>
      </c>
      <c r="O86" s="1" t="s">
        <v>102</v>
      </c>
      <c r="P86" s="1" t="s">
        <v>174</v>
      </c>
      <c r="Q86" s="1" t="s">
        <v>487</v>
      </c>
      <c r="R86" s="1" t="s">
        <v>488</v>
      </c>
      <c r="S86" s="3">
        <v>1</v>
      </c>
      <c r="T86" s="1" t="s">
        <v>36</v>
      </c>
      <c r="U86" s="3">
        <v>114</v>
      </c>
      <c r="V86" s="1" t="s">
        <v>37</v>
      </c>
      <c r="W86" s="5">
        <f>Table1[[#This Row],[Quantity]]*Table1[[#This Row],[Price]]*(1-Table1[[#This Row],[Discount %]]/100)</f>
        <v>109116</v>
      </c>
      <c r="X86">
        <f>Table1[[#This Row],[DeliveryDate]]-Table1[[#This Row],[OrderDate]]</f>
        <v>7</v>
      </c>
      <c r="Y86" t="str">
        <f>TEXT(Table1[[#This Row],[OrderDate]],"MMMM")</f>
        <v>November</v>
      </c>
      <c r="Z86" s="5">
        <f>YEAR(Table1[[#This Row],[OrderDate]])</f>
        <v>2024</v>
      </c>
    </row>
    <row r="87" spans="1:26" x14ac:dyDescent="0.3">
      <c r="A87" s="1" t="s">
        <v>489</v>
      </c>
      <c r="B87" t="s">
        <v>344</v>
      </c>
      <c r="C87" s="3">
        <v>19</v>
      </c>
      <c r="D87" s="1" t="s">
        <v>24</v>
      </c>
      <c r="E87" s="1" t="s">
        <v>25</v>
      </c>
      <c r="F87" s="1" t="s">
        <v>82</v>
      </c>
      <c r="G87" s="4">
        <v>45504</v>
      </c>
      <c r="H87" s="4">
        <v>45514</v>
      </c>
      <c r="I87" s="1" t="s">
        <v>108</v>
      </c>
      <c r="J87" s="1" t="s">
        <v>44</v>
      </c>
      <c r="K87" s="3">
        <v>5</v>
      </c>
      <c r="L87" s="2">
        <v>19728</v>
      </c>
      <c r="M87" s="3">
        <v>15</v>
      </c>
      <c r="N87" s="1" t="s">
        <v>166</v>
      </c>
      <c r="O87" s="1" t="s">
        <v>32</v>
      </c>
      <c r="P87" s="1" t="s">
        <v>58</v>
      </c>
      <c r="Q87" s="1" t="s">
        <v>347</v>
      </c>
      <c r="R87" s="1" t="s">
        <v>491</v>
      </c>
      <c r="S87" s="3">
        <v>2</v>
      </c>
      <c r="T87" s="1" t="s">
        <v>96</v>
      </c>
      <c r="U87" s="3">
        <v>162</v>
      </c>
      <c r="V87" s="1" t="s">
        <v>79</v>
      </c>
      <c r="W87" s="5">
        <f>Table1[[#This Row],[Quantity]]*Table1[[#This Row],[Price]]*(1-Table1[[#This Row],[Discount %]]/100)</f>
        <v>83844</v>
      </c>
      <c r="X87">
        <f>Table1[[#This Row],[DeliveryDate]]-Table1[[#This Row],[OrderDate]]</f>
        <v>10</v>
      </c>
      <c r="Y87" t="str">
        <f>TEXT(Table1[[#This Row],[OrderDate]],"MMMM")</f>
        <v>July</v>
      </c>
      <c r="Z87" s="5">
        <f>YEAR(Table1[[#This Row],[OrderDate]])</f>
        <v>2024</v>
      </c>
    </row>
    <row r="88" spans="1:26" x14ac:dyDescent="0.3">
      <c r="A88" s="1" t="s">
        <v>492</v>
      </c>
      <c r="B88" t="s">
        <v>471</v>
      </c>
      <c r="C88" s="3">
        <v>51</v>
      </c>
      <c r="D88" s="1" t="s">
        <v>24</v>
      </c>
      <c r="E88" s="1" t="s">
        <v>26</v>
      </c>
      <c r="F88" s="1" t="s">
        <v>53</v>
      </c>
      <c r="G88" s="4">
        <v>45484</v>
      </c>
      <c r="H88" s="4">
        <v>45488</v>
      </c>
      <c r="I88" s="1" t="s">
        <v>43</v>
      </c>
      <c r="J88" s="1" t="s">
        <v>30</v>
      </c>
      <c r="K88" s="3">
        <v>5</v>
      </c>
      <c r="L88" s="2">
        <v>43480</v>
      </c>
      <c r="M88" s="3">
        <v>0</v>
      </c>
      <c r="N88" s="1" t="s">
        <v>56</v>
      </c>
      <c r="O88" s="1" t="s">
        <v>173</v>
      </c>
      <c r="P88" s="1" t="s">
        <v>58</v>
      </c>
      <c r="Q88" s="1" t="s">
        <v>495</v>
      </c>
      <c r="R88" s="1" t="s">
        <v>496</v>
      </c>
      <c r="S88" s="3">
        <v>5</v>
      </c>
      <c r="T88" s="1" t="s">
        <v>72</v>
      </c>
      <c r="U88" s="3">
        <v>163</v>
      </c>
      <c r="V88" s="1" t="s">
        <v>37</v>
      </c>
      <c r="W88" s="5">
        <f>Table1[[#This Row],[Quantity]]*Table1[[#This Row],[Price]]*(1-Table1[[#This Row],[Discount %]]/100)</f>
        <v>217400</v>
      </c>
      <c r="X88">
        <f>Table1[[#This Row],[DeliveryDate]]-Table1[[#This Row],[OrderDate]]</f>
        <v>4</v>
      </c>
      <c r="Y88" t="str">
        <f>TEXT(Table1[[#This Row],[OrderDate]],"MMMM")</f>
        <v>July</v>
      </c>
      <c r="Z88" s="5">
        <f>YEAR(Table1[[#This Row],[OrderDate]])</f>
        <v>2024</v>
      </c>
    </row>
    <row r="89" spans="1:26" x14ac:dyDescent="0.3">
      <c r="A89" s="1" t="s">
        <v>497</v>
      </c>
      <c r="B89" t="s">
        <v>498</v>
      </c>
      <c r="C89" s="3">
        <v>59</v>
      </c>
      <c r="D89" s="1" t="s">
        <v>24</v>
      </c>
      <c r="E89" s="1" t="s">
        <v>229</v>
      </c>
      <c r="F89" s="1" t="s">
        <v>26</v>
      </c>
      <c r="G89" s="4">
        <v>45414</v>
      </c>
      <c r="H89" s="4">
        <v>45419</v>
      </c>
      <c r="I89" s="1" t="s">
        <v>77</v>
      </c>
      <c r="J89" s="1" t="s">
        <v>44</v>
      </c>
      <c r="K89" s="3">
        <v>1</v>
      </c>
      <c r="L89" s="2">
        <v>5062</v>
      </c>
      <c r="M89" s="3">
        <v>15</v>
      </c>
      <c r="N89" s="1" t="s">
        <v>45</v>
      </c>
      <c r="O89" s="1" t="s">
        <v>102</v>
      </c>
      <c r="P89" s="1" t="s">
        <v>69</v>
      </c>
      <c r="Q89" s="1" t="s">
        <v>500</v>
      </c>
      <c r="R89" s="1" t="s">
        <v>501</v>
      </c>
      <c r="S89" s="3">
        <v>4</v>
      </c>
      <c r="T89" s="1" t="s">
        <v>36</v>
      </c>
      <c r="U89" s="3">
        <v>318</v>
      </c>
      <c r="V89" s="1" t="s">
        <v>79</v>
      </c>
      <c r="W89" s="5">
        <f>Table1[[#This Row],[Quantity]]*Table1[[#This Row],[Price]]*(1-Table1[[#This Row],[Discount %]]/100)</f>
        <v>4302.7</v>
      </c>
      <c r="X89">
        <f>Table1[[#This Row],[DeliveryDate]]-Table1[[#This Row],[OrderDate]]</f>
        <v>5</v>
      </c>
      <c r="Y89" t="str">
        <f>TEXT(Table1[[#This Row],[OrderDate]],"MMMM")</f>
        <v>May</v>
      </c>
      <c r="Z89" s="5">
        <f>YEAR(Table1[[#This Row],[OrderDate]])</f>
        <v>2024</v>
      </c>
    </row>
    <row r="90" spans="1:26" x14ac:dyDescent="0.3">
      <c r="A90" s="1" t="s">
        <v>502</v>
      </c>
      <c r="B90" t="s">
        <v>503</v>
      </c>
      <c r="C90" s="3">
        <v>41</v>
      </c>
      <c r="D90" s="1" t="s">
        <v>24</v>
      </c>
      <c r="E90" s="1" t="s">
        <v>142</v>
      </c>
      <c r="F90" s="1" t="s">
        <v>82</v>
      </c>
      <c r="G90" s="4">
        <v>45617</v>
      </c>
      <c r="H90" s="4">
        <v>45625</v>
      </c>
      <c r="I90" s="1" t="s">
        <v>85</v>
      </c>
      <c r="J90" s="1" t="s">
        <v>30</v>
      </c>
      <c r="K90" s="3">
        <v>2</v>
      </c>
      <c r="L90" s="2">
        <v>19664</v>
      </c>
      <c r="M90" s="3">
        <v>5</v>
      </c>
      <c r="N90" s="1" t="s">
        <v>45</v>
      </c>
      <c r="O90" s="1" t="s">
        <v>68</v>
      </c>
      <c r="P90" s="1" t="s">
        <v>69</v>
      </c>
      <c r="Q90" s="1" t="s">
        <v>506</v>
      </c>
      <c r="R90" s="1" t="s">
        <v>507</v>
      </c>
      <c r="S90" s="3">
        <v>1</v>
      </c>
      <c r="T90" s="1" t="s">
        <v>61</v>
      </c>
      <c r="U90" s="3">
        <v>474</v>
      </c>
      <c r="V90" s="1" t="s">
        <v>37</v>
      </c>
      <c r="W90" s="5">
        <f>Table1[[#This Row],[Quantity]]*Table1[[#This Row],[Price]]*(1-Table1[[#This Row],[Discount %]]/100)</f>
        <v>37361.599999999999</v>
      </c>
      <c r="X90">
        <f>Table1[[#This Row],[DeliveryDate]]-Table1[[#This Row],[OrderDate]]</f>
        <v>8</v>
      </c>
      <c r="Y90" t="str">
        <f>TEXT(Table1[[#This Row],[OrderDate]],"MMMM")</f>
        <v>November</v>
      </c>
      <c r="Z90" s="5">
        <f>YEAR(Table1[[#This Row],[OrderDate]])</f>
        <v>2024</v>
      </c>
    </row>
    <row r="91" spans="1:26" x14ac:dyDescent="0.3">
      <c r="A91" s="1" t="s">
        <v>508</v>
      </c>
      <c r="B91" t="s">
        <v>509</v>
      </c>
      <c r="C91" s="3">
        <v>32</v>
      </c>
      <c r="D91" s="1" t="s">
        <v>24</v>
      </c>
      <c r="E91" s="1" t="s">
        <v>142</v>
      </c>
      <c r="F91" s="1" t="s">
        <v>26</v>
      </c>
      <c r="G91" s="4">
        <v>45359</v>
      </c>
      <c r="H91" s="4">
        <v>45365</v>
      </c>
      <c r="I91" s="1" t="s">
        <v>108</v>
      </c>
      <c r="J91" s="1" t="s">
        <v>44</v>
      </c>
      <c r="K91" s="3">
        <v>5</v>
      </c>
      <c r="L91" s="2">
        <v>38540</v>
      </c>
      <c r="M91" s="3">
        <v>0</v>
      </c>
      <c r="N91" s="1" t="s">
        <v>56</v>
      </c>
      <c r="O91" s="1" t="s">
        <v>68</v>
      </c>
      <c r="P91" s="1" t="s">
        <v>174</v>
      </c>
      <c r="Q91" s="1" t="s">
        <v>512</v>
      </c>
      <c r="R91" s="1" t="s">
        <v>513</v>
      </c>
      <c r="S91" s="3">
        <v>4</v>
      </c>
      <c r="T91" s="1" t="s">
        <v>61</v>
      </c>
      <c r="U91" s="3">
        <v>284</v>
      </c>
      <c r="V91" s="1" t="s">
        <v>37</v>
      </c>
      <c r="W91" s="5">
        <f>Table1[[#This Row],[Quantity]]*Table1[[#This Row],[Price]]*(1-Table1[[#This Row],[Discount %]]/100)</f>
        <v>192700</v>
      </c>
      <c r="X91">
        <f>Table1[[#This Row],[DeliveryDate]]-Table1[[#This Row],[OrderDate]]</f>
        <v>6</v>
      </c>
      <c r="Y91" t="str">
        <f>TEXT(Table1[[#This Row],[OrderDate]],"MMMM")</f>
        <v>March</v>
      </c>
      <c r="Z91" s="5">
        <f>YEAR(Table1[[#This Row],[OrderDate]])</f>
        <v>2024</v>
      </c>
    </row>
    <row r="92" spans="1:26" x14ac:dyDescent="0.3">
      <c r="A92" s="1" t="s">
        <v>514</v>
      </c>
      <c r="B92" t="s">
        <v>411</v>
      </c>
      <c r="C92" s="3">
        <v>32</v>
      </c>
      <c r="D92" s="1" t="s">
        <v>24</v>
      </c>
      <c r="E92" s="1" t="s">
        <v>40</v>
      </c>
      <c r="F92" s="1" t="s">
        <v>82</v>
      </c>
      <c r="G92" s="4">
        <v>45280</v>
      </c>
      <c r="H92" s="4">
        <v>45288</v>
      </c>
      <c r="I92" s="1" t="s">
        <v>77</v>
      </c>
      <c r="J92" s="1" t="s">
        <v>44</v>
      </c>
      <c r="K92" s="3">
        <v>4</v>
      </c>
      <c r="L92" s="2">
        <v>42109.716287215415</v>
      </c>
      <c r="M92" s="3">
        <v>10</v>
      </c>
      <c r="N92" s="1" t="s">
        <v>166</v>
      </c>
      <c r="O92" s="1" t="s">
        <v>57</v>
      </c>
      <c r="P92" s="1" t="s">
        <v>33</v>
      </c>
      <c r="Q92" s="1" t="s">
        <v>414</v>
      </c>
      <c r="R92" s="1" t="s">
        <v>517</v>
      </c>
      <c r="S92" s="3">
        <v>1</v>
      </c>
      <c r="T92" s="1" t="s">
        <v>96</v>
      </c>
      <c r="U92" s="3">
        <v>54</v>
      </c>
      <c r="V92" s="1" t="s">
        <v>79</v>
      </c>
      <c r="W92" s="5">
        <f>Table1[[#This Row],[Quantity]]*Table1[[#This Row],[Price]]*(1-Table1[[#This Row],[Discount %]]/100)</f>
        <v>151594.97863397549</v>
      </c>
      <c r="X92">
        <f>Table1[[#This Row],[DeliveryDate]]-Table1[[#This Row],[OrderDate]]</f>
        <v>8</v>
      </c>
      <c r="Y92" t="str">
        <f>TEXT(Table1[[#This Row],[OrderDate]],"MMMM")</f>
        <v>December</v>
      </c>
      <c r="Z92" s="5">
        <f>YEAR(Table1[[#This Row],[OrderDate]])</f>
        <v>2023</v>
      </c>
    </row>
    <row r="93" spans="1:26" x14ac:dyDescent="0.3">
      <c r="A93" s="1" t="s">
        <v>518</v>
      </c>
      <c r="B93" t="s">
        <v>309</v>
      </c>
      <c r="C93" s="3">
        <v>22</v>
      </c>
      <c r="D93" s="1" t="s">
        <v>24</v>
      </c>
      <c r="E93" s="1" t="s">
        <v>25</v>
      </c>
      <c r="F93" s="1" t="s">
        <v>26</v>
      </c>
      <c r="G93" s="4">
        <v>45072</v>
      </c>
      <c r="H93" s="4">
        <v>45076</v>
      </c>
      <c r="I93" s="1" t="s">
        <v>43</v>
      </c>
      <c r="J93" s="1" t="s">
        <v>30</v>
      </c>
      <c r="K93" s="3">
        <v>1</v>
      </c>
      <c r="L93" s="2">
        <v>44210</v>
      </c>
      <c r="M93" s="3">
        <v>15</v>
      </c>
      <c r="N93" s="1" t="s">
        <v>166</v>
      </c>
      <c r="O93" s="1" t="s">
        <v>133</v>
      </c>
      <c r="P93" s="1" t="s">
        <v>33</v>
      </c>
      <c r="Q93" s="1" t="s">
        <v>312</v>
      </c>
      <c r="R93" s="1" t="s">
        <v>3415</v>
      </c>
      <c r="S93" s="3">
        <v>2</v>
      </c>
      <c r="T93" s="1" t="s">
        <v>72</v>
      </c>
      <c r="U93" s="3">
        <v>270</v>
      </c>
      <c r="V93" s="1" t="s">
        <v>37</v>
      </c>
      <c r="W93" s="5">
        <f>Table1[[#This Row],[Quantity]]*Table1[[#This Row],[Price]]*(1-Table1[[#This Row],[Discount %]]/100)</f>
        <v>37578.5</v>
      </c>
      <c r="X93">
        <f>Table1[[#This Row],[DeliveryDate]]-Table1[[#This Row],[OrderDate]]</f>
        <v>4</v>
      </c>
      <c r="Y93" t="str">
        <f>TEXT(Table1[[#This Row],[OrderDate]],"MMMM")</f>
        <v>May</v>
      </c>
      <c r="Z93" s="5">
        <f>YEAR(Table1[[#This Row],[OrderDate]])</f>
        <v>2023</v>
      </c>
    </row>
    <row r="94" spans="1:26" x14ac:dyDescent="0.3">
      <c r="A94" s="1" t="s">
        <v>522</v>
      </c>
      <c r="B94" t="s">
        <v>90</v>
      </c>
      <c r="C94" s="3">
        <v>36</v>
      </c>
      <c r="D94" s="1" t="s">
        <v>51</v>
      </c>
      <c r="E94" s="1" t="s">
        <v>40</v>
      </c>
      <c r="F94" s="1" t="s">
        <v>26</v>
      </c>
      <c r="G94" s="4">
        <v>45427</v>
      </c>
      <c r="H94" s="4">
        <v>45436</v>
      </c>
      <c r="I94" s="1" t="s">
        <v>108</v>
      </c>
      <c r="J94" s="1" t="s">
        <v>30</v>
      </c>
      <c r="K94" s="3">
        <v>1</v>
      </c>
      <c r="L94" s="2">
        <v>21287</v>
      </c>
      <c r="M94" s="3">
        <v>15</v>
      </c>
      <c r="N94" s="1" t="s">
        <v>56</v>
      </c>
      <c r="O94" s="1" t="s">
        <v>46</v>
      </c>
      <c r="P94" s="1" t="s">
        <v>174</v>
      </c>
      <c r="Q94" s="1" t="s">
        <v>94</v>
      </c>
      <c r="R94" s="1" t="s">
        <v>525</v>
      </c>
      <c r="S94" s="3">
        <v>4</v>
      </c>
      <c r="T94" s="1" t="s">
        <v>36</v>
      </c>
      <c r="U94" s="3">
        <v>263</v>
      </c>
      <c r="V94" s="1" t="s">
        <v>62</v>
      </c>
      <c r="W94" s="5">
        <f>Table1[[#This Row],[Quantity]]*Table1[[#This Row],[Price]]*(1-Table1[[#This Row],[Discount %]]/100)</f>
        <v>18093.95</v>
      </c>
      <c r="X94">
        <f>Table1[[#This Row],[DeliveryDate]]-Table1[[#This Row],[OrderDate]]</f>
        <v>9</v>
      </c>
      <c r="Y94" t="str">
        <f>TEXT(Table1[[#This Row],[OrderDate]],"MMMM")</f>
        <v>May</v>
      </c>
      <c r="Z94" s="5">
        <f>YEAR(Table1[[#This Row],[OrderDate]])</f>
        <v>2024</v>
      </c>
    </row>
    <row r="95" spans="1:26" x14ac:dyDescent="0.3">
      <c r="A95" s="1" t="s">
        <v>526</v>
      </c>
      <c r="B95" t="s">
        <v>527</v>
      </c>
      <c r="C95" s="3">
        <v>45</v>
      </c>
      <c r="D95" s="1" t="s">
        <v>24</v>
      </c>
      <c r="E95" s="1" t="s">
        <v>142</v>
      </c>
      <c r="F95" s="1" t="s">
        <v>65</v>
      </c>
      <c r="G95" s="4">
        <v>45350</v>
      </c>
      <c r="H95" s="4">
        <v>45357</v>
      </c>
      <c r="I95" s="1" t="s">
        <v>85</v>
      </c>
      <c r="J95" s="1" t="s">
        <v>44</v>
      </c>
      <c r="K95" s="3">
        <v>3</v>
      </c>
      <c r="L95" s="2">
        <v>78099</v>
      </c>
      <c r="M95" s="3">
        <v>0</v>
      </c>
      <c r="N95" s="1" t="s">
        <v>31</v>
      </c>
      <c r="O95" s="1" t="s">
        <v>133</v>
      </c>
      <c r="P95" s="1" t="s">
        <v>33</v>
      </c>
      <c r="Q95" s="1" t="s">
        <v>530</v>
      </c>
      <c r="R95" s="1" t="s">
        <v>531</v>
      </c>
      <c r="S95" s="3">
        <v>1</v>
      </c>
      <c r="T95" s="1" t="s">
        <v>72</v>
      </c>
      <c r="U95" s="3">
        <v>398</v>
      </c>
      <c r="V95" s="1" t="s">
        <v>62</v>
      </c>
      <c r="W95" s="5">
        <f>Table1[[#This Row],[Quantity]]*Table1[[#This Row],[Price]]*(1-Table1[[#This Row],[Discount %]]/100)</f>
        <v>234297</v>
      </c>
      <c r="X95">
        <f>Table1[[#This Row],[DeliveryDate]]-Table1[[#This Row],[OrderDate]]</f>
        <v>7</v>
      </c>
      <c r="Y95" t="str">
        <f>TEXT(Table1[[#This Row],[OrderDate]],"MMMM")</f>
        <v>February</v>
      </c>
      <c r="Z95" s="5">
        <f>YEAR(Table1[[#This Row],[OrderDate]])</f>
        <v>2024</v>
      </c>
    </row>
    <row r="96" spans="1:26" x14ac:dyDescent="0.3">
      <c r="A96" s="1" t="s">
        <v>532</v>
      </c>
      <c r="B96" t="s">
        <v>954</v>
      </c>
      <c r="C96" s="3">
        <v>25</v>
      </c>
      <c r="D96" s="1" t="s">
        <v>24</v>
      </c>
      <c r="E96" s="1" t="s">
        <v>25</v>
      </c>
      <c r="F96" s="1" t="s">
        <v>26</v>
      </c>
      <c r="G96" s="4">
        <v>45174</v>
      </c>
      <c r="H96" s="4">
        <v>45183</v>
      </c>
      <c r="I96" s="1" t="s">
        <v>29</v>
      </c>
      <c r="J96" s="1" t="s">
        <v>30</v>
      </c>
      <c r="K96" s="3">
        <v>2</v>
      </c>
      <c r="L96" s="2">
        <v>39105</v>
      </c>
      <c r="M96" s="3">
        <v>10</v>
      </c>
      <c r="N96" s="1" t="s">
        <v>31</v>
      </c>
      <c r="O96" s="1" t="s">
        <v>102</v>
      </c>
      <c r="P96" s="1" t="s">
        <v>174</v>
      </c>
      <c r="Q96" s="1" t="s">
        <v>536</v>
      </c>
      <c r="R96" s="1" t="s">
        <v>3415</v>
      </c>
      <c r="S96" s="3">
        <v>5</v>
      </c>
      <c r="T96" s="1" t="s">
        <v>72</v>
      </c>
      <c r="U96" s="3">
        <v>214</v>
      </c>
      <c r="V96" s="1" t="s">
        <v>37</v>
      </c>
      <c r="W96" s="5">
        <f>Table1[[#This Row],[Quantity]]*Table1[[#This Row],[Price]]*(1-Table1[[#This Row],[Discount %]]/100)</f>
        <v>70389</v>
      </c>
      <c r="X96">
        <f>Table1[[#This Row],[DeliveryDate]]-Table1[[#This Row],[OrderDate]]</f>
        <v>9</v>
      </c>
      <c r="Y96" t="str">
        <f>TEXT(Table1[[#This Row],[OrderDate]],"MMMM")</f>
        <v>September</v>
      </c>
      <c r="Z96" s="5">
        <f>YEAR(Table1[[#This Row],[OrderDate]])</f>
        <v>2023</v>
      </c>
    </row>
    <row r="97" spans="1:26" x14ac:dyDescent="0.3">
      <c r="A97" s="1" t="s">
        <v>537</v>
      </c>
      <c r="B97" t="s">
        <v>808</v>
      </c>
      <c r="C97" s="3">
        <v>31</v>
      </c>
      <c r="D97" s="1" t="s">
        <v>24</v>
      </c>
      <c r="E97" s="1" t="s">
        <v>40</v>
      </c>
      <c r="F97" s="1" t="s">
        <v>65</v>
      </c>
      <c r="G97" s="4">
        <v>45547</v>
      </c>
      <c r="H97" s="4">
        <v>45553</v>
      </c>
      <c r="I97" s="1" t="s">
        <v>29</v>
      </c>
      <c r="J97" s="1" t="s">
        <v>44</v>
      </c>
      <c r="K97" s="3">
        <v>4</v>
      </c>
      <c r="L97" s="2">
        <v>15586</v>
      </c>
      <c r="M97" s="3">
        <v>10</v>
      </c>
      <c r="N97" s="1" t="s">
        <v>166</v>
      </c>
      <c r="O97" s="1" t="s">
        <v>173</v>
      </c>
      <c r="P97" s="1" t="s">
        <v>33</v>
      </c>
      <c r="Q97" s="1" t="s">
        <v>191</v>
      </c>
      <c r="R97" s="1" t="s">
        <v>539</v>
      </c>
      <c r="S97" s="3">
        <v>4</v>
      </c>
      <c r="T97" s="1" t="s">
        <v>36</v>
      </c>
      <c r="U97" s="3">
        <v>153</v>
      </c>
      <c r="V97" s="1" t="s">
        <v>62</v>
      </c>
      <c r="W97" s="5">
        <f>Table1[[#This Row],[Quantity]]*Table1[[#This Row],[Price]]*(1-Table1[[#This Row],[Discount %]]/100)</f>
        <v>56109.599999999999</v>
      </c>
      <c r="X97">
        <f>Table1[[#This Row],[DeliveryDate]]-Table1[[#This Row],[OrderDate]]</f>
        <v>6</v>
      </c>
      <c r="Y97" t="str">
        <f>TEXT(Table1[[#This Row],[OrderDate]],"MMMM")</f>
        <v>September</v>
      </c>
      <c r="Z97" s="5">
        <f>YEAR(Table1[[#This Row],[OrderDate]])</f>
        <v>2024</v>
      </c>
    </row>
    <row r="98" spans="1:26" x14ac:dyDescent="0.3">
      <c r="A98" s="1" t="s">
        <v>540</v>
      </c>
      <c r="B98" t="s">
        <v>541</v>
      </c>
      <c r="C98" s="3">
        <v>26</v>
      </c>
      <c r="D98" s="1" t="s">
        <v>51</v>
      </c>
      <c r="E98" s="1" t="s">
        <v>99</v>
      </c>
      <c r="F98" s="1" t="s">
        <v>26</v>
      </c>
      <c r="G98" s="4">
        <v>45048</v>
      </c>
      <c r="H98" s="4">
        <v>45058</v>
      </c>
      <c r="I98" s="1" t="s">
        <v>93</v>
      </c>
      <c r="J98" s="1" t="s">
        <v>44</v>
      </c>
      <c r="K98" s="3">
        <v>3</v>
      </c>
      <c r="L98" s="2">
        <v>49835</v>
      </c>
      <c r="M98" s="3">
        <v>10</v>
      </c>
      <c r="N98" s="1" t="s">
        <v>166</v>
      </c>
      <c r="O98" s="1" t="s">
        <v>102</v>
      </c>
      <c r="P98" s="1" t="s">
        <v>69</v>
      </c>
      <c r="Q98" s="1" t="s">
        <v>544</v>
      </c>
      <c r="R98" s="1" t="s">
        <v>545</v>
      </c>
      <c r="S98" s="3">
        <v>1</v>
      </c>
      <c r="T98" s="1" t="s">
        <v>61</v>
      </c>
      <c r="U98" s="3">
        <v>167</v>
      </c>
      <c r="V98" s="1" t="s">
        <v>37</v>
      </c>
      <c r="W98" s="5">
        <f>Table1[[#This Row],[Quantity]]*Table1[[#This Row],[Price]]*(1-Table1[[#This Row],[Discount %]]/100)</f>
        <v>134554.5</v>
      </c>
      <c r="X98">
        <f>Table1[[#This Row],[DeliveryDate]]-Table1[[#This Row],[OrderDate]]</f>
        <v>10</v>
      </c>
      <c r="Y98" t="str">
        <f>TEXT(Table1[[#This Row],[OrderDate]],"MMMM")</f>
        <v>May</v>
      </c>
      <c r="Z98" s="5">
        <f>YEAR(Table1[[#This Row],[OrderDate]])</f>
        <v>2023</v>
      </c>
    </row>
    <row r="99" spans="1:26" x14ac:dyDescent="0.3">
      <c r="A99" s="1" t="s">
        <v>546</v>
      </c>
      <c r="B99" t="s">
        <v>547</v>
      </c>
      <c r="C99" s="3">
        <v>48</v>
      </c>
      <c r="D99" s="1" t="s">
        <v>51</v>
      </c>
      <c r="E99" s="1" t="s">
        <v>229</v>
      </c>
      <c r="F99" s="1" t="s">
        <v>65</v>
      </c>
      <c r="G99" s="4">
        <v>45442</v>
      </c>
      <c r="H99" s="4">
        <v>45446</v>
      </c>
      <c r="I99" s="1" t="s">
        <v>43</v>
      </c>
      <c r="J99" s="1" t="s">
        <v>44</v>
      </c>
      <c r="K99" s="3">
        <v>3</v>
      </c>
      <c r="L99" s="2">
        <v>77630</v>
      </c>
      <c r="M99" s="3">
        <v>5</v>
      </c>
      <c r="N99" s="1" t="s">
        <v>166</v>
      </c>
      <c r="O99" s="1" t="s">
        <v>68</v>
      </c>
      <c r="P99" s="1" t="s">
        <v>174</v>
      </c>
      <c r="Q99" s="1" t="s">
        <v>549</v>
      </c>
      <c r="R99" s="1" t="s">
        <v>550</v>
      </c>
      <c r="S99" s="3">
        <v>3</v>
      </c>
      <c r="T99" s="1" t="s">
        <v>36</v>
      </c>
      <c r="U99" s="3">
        <v>441</v>
      </c>
      <c r="V99" s="1" t="s">
        <v>37</v>
      </c>
      <c r="W99" s="5">
        <f>Table1[[#This Row],[Quantity]]*Table1[[#This Row],[Price]]*(1-Table1[[#This Row],[Discount %]]/100)</f>
        <v>221245.5</v>
      </c>
      <c r="X99">
        <f>Table1[[#This Row],[DeliveryDate]]-Table1[[#This Row],[OrderDate]]</f>
        <v>4</v>
      </c>
      <c r="Y99" t="str">
        <f>TEXT(Table1[[#This Row],[OrderDate]],"MMMM")</f>
        <v>May</v>
      </c>
      <c r="Z99" s="5">
        <f>YEAR(Table1[[#This Row],[OrderDate]])</f>
        <v>2024</v>
      </c>
    </row>
    <row r="100" spans="1:26" x14ac:dyDescent="0.3">
      <c r="A100" s="1" t="s">
        <v>551</v>
      </c>
      <c r="B100" t="s">
        <v>261</v>
      </c>
      <c r="C100" s="3">
        <v>38</v>
      </c>
      <c r="D100" s="1" t="s">
        <v>24</v>
      </c>
      <c r="E100" s="1" t="s">
        <v>40</v>
      </c>
      <c r="F100" s="1" t="s">
        <v>53</v>
      </c>
      <c r="G100" s="4">
        <v>45499</v>
      </c>
      <c r="H100" s="4">
        <v>45504</v>
      </c>
      <c r="I100" s="1" t="s">
        <v>108</v>
      </c>
      <c r="J100" s="1" t="s">
        <v>44</v>
      </c>
      <c r="K100" s="3">
        <v>3</v>
      </c>
      <c r="L100" s="2">
        <v>42109.716287215415</v>
      </c>
      <c r="M100" s="3">
        <v>10</v>
      </c>
      <c r="N100" s="1" t="s">
        <v>31</v>
      </c>
      <c r="O100" s="1" t="s">
        <v>68</v>
      </c>
      <c r="P100" s="1" t="s">
        <v>33</v>
      </c>
      <c r="Q100" s="1" t="s">
        <v>264</v>
      </c>
      <c r="R100" s="1" t="s">
        <v>553</v>
      </c>
      <c r="S100" s="3">
        <v>5</v>
      </c>
      <c r="T100" s="1" t="s">
        <v>61</v>
      </c>
      <c r="U100" s="3">
        <v>379</v>
      </c>
      <c r="V100" s="1" t="s">
        <v>37</v>
      </c>
      <c r="W100" s="5">
        <f>Table1[[#This Row],[Quantity]]*Table1[[#This Row],[Price]]*(1-Table1[[#This Row],[Discount %]]/100)</f>
        <v>113696.23397548162</v>
      </c>
      <c r="X100">
        <f>Table1[[#This Row],[DeliveryDate]]-Table1[[#This Row],[OrderDate]]</f>
        <v>5</v>
      </c>
      <c r="Y100" t="str">
        <f>TEXT(Table1[[#This Row],[OrderDate]],"MMMM")</f>
        <v>July</v>
      </c>
      <c r="Z100" s="5">
        <f>YEAR(Table1[[#This Row],[OrderDate]])</f>
        <v>2024</v>
      </c>
    </row>
    <row r="101" spans="1:26" x14ac:dyDescent="0.3">
      <c r="A101" s="1" t="s">
        <v>554</v>
      </c>
      <c r="B101" t="s">
        <v>555</v>
      </c>
      <c r="C101" s="3">
        <v>46</v>
      </c>
      <c r="D101" s="1" t="s">
        <v>24</v>
      </c>
      <c r="E101" s="1" t="s">
        <v>26</v>
      </c>
      <c r="F101" s="1" t="s">
        <v>26</v>
      </c>
      <c r="G101" s="4">
        <v>45197</v>
      </c>
      <c r="H101" s="4">
        <v>45203</v>
      </c>
      <c r="I101" s="1" t="s">
        <v>93</v>
      </c>
      <c r="J101" s="1" t="s">
        <v>44</v>
      </c>
      <c r="K101" s="3">
        <v>2.9447852760736195</v>
      </c>
      <c r="L101" s="2">
        <v>16725</v>
      </c>
      <c r="M101" s="3">
        <v>5</v>
      </c>
      <c r="N101" s="1" t="s">
        <v>45</v>
      </c>
      <c r="O101" s="1" t="s">
        <v>109</v>
      </c>
      <c r="P101" s="1" t="s">
        <v>174</v>
      </c>
      <c r="Q101" s="1" t="s">
        <v>558</v>
      </c>
      <c r="R101" s="1" t="s">
        <v>559</v>
      </c>
      <c r="S101" s="3">
        <v>3</v>
      </c>
      <c r="T101" s="1" t="s">
        <v>61</v>
      </c>
      <c r="U101" s="3">
        <v>337</v>
      </c>
      <c r="V101" s="1" t="s">
        <v>37</v>
      </c>
      <c r="W101" s="5">
        <f>Table1[[#This Row],[Quantity]]*Table1[[#This Row],[Price]]*(1-Table1[[#This Row],[Discount %]]/100)</f>
        <v>46788.95705521472</v>
      </c>
      <c r="X101">
        <f>Table1[[#This Row],[DeliveryDate]]-Table1[[#This Row],[OrderDate]]</f>
        <v>6</v>
      </c>
      <c r="Y101" t="str">
        <f>TEXT(Table1[[#This Row],[OrderDate]],"MMMM")</f>
        <v>September</v>
      </c>
      <c r="Z101" s="5">
        <f>YEAR(Table1[[#This Row],[OrderDate]])</f>
        <v>2023</v>
      </c>
    </row>
    <row r="102" spans="1:26" x14ac:dyDescent="0.3">
      <c r="A102" s="1" t="s">
        <v>560</v>
      </c>
      <c r="B102" t="s">
        <v>461</v>
      </c>
      <c r="C102" s="3">
        <v>57</v>
      </c>
      <c r="D102" s="1" t="s">
        <v>51</v>
      </c>
      <c r="E102" s="1" t="s">
        <v>142</v>
      </c>
      <c r="F102" s="1" t="s">
        <v>82</v>
      </c>
      <c r="G102" s="4">
        <v>45370</v>
      </c>
      <c r="H102" s="4">
        <v>45372</v>
      </c>
      <c r="I102" s="1" t="s">
        <v>108</v>
      </c>
      <c r="J102" s="1" t="s">
        <v>30</v>
      </c>
      <c r="K102" s="3">
        <v>5</v>
      </c>
      <c r="L102" s="2">
        <v>7146</v>
      </c>
      <c r="M102" s="3">
        <v>5</v>
      </c>
      <c r="N102" s="1" t="s">
        <v>31</v>
      </c>
      <c r="O102" s="1" t="s">
        <v>173</v>
      </c>
      <c r="P102" s="1" t="s">
        <v>58</v>
      </c>
      <c r="Q102" s="1" t="s">
        <v>563</v>
      </c>
      <c r="R102" s="1" t="s">
        <v>564</v>
      </c>
      <c r="S102" s="3">
        <v>2</v>
      </c>
      <c r="T102" s="1" t="s">
        <v>96</v>
      </c>
      <c r="U102" s="3">
        <v>206</v>
      </c>
      <c r="V102" s="1" t="s">
        <v>62</v>
      </c>
      <c r="W102" s="5">
        <f>Table1[[#This Row],[Quantity]]*Table1[[#This Row],[Price]]*(1-Table1[[#This Row],[Discount %]]/100)</f>
        <v>33943.5</v>
      </c>
      <c r="X102">
        <f>Table1[[#This Row],[DeliveryDate]]-Table1[[#This Row],[OrderDate]]</f>
        <v>2</v>
      </c>
      <c r="Y102" t="str">
        <f>TEXT(Table1[[#This Row],[OrderDate]],"MMMM")</f>
        <v>March</v>
      </c>
      <c r="Z102" s="5">
        <f>YEAR(Table1[[#This Row],[OrderDate]])</f>
        <v>2024</v>
      </c>
    </row>
    <row r="103" spans="1:26" x14ac:dyDescent="0.3">
      <c r="A103" s="1" t="s">
        <v>565</v>
      </c>
      <c r="B103" t="s">
        <v>162</v>
      </c>
      <c r="C103" s="3">
        <v>23</v>
      </c>
      <c r="D103" s="1" t="s">
        <v>24</v>
      </c>
      <c r="E103" s="1" t="s">
        <v>142</v>
      </c>
      <c r="F103" s="1" t="s">
        <v>26</v>
      </c>
      <c r="G103" s="4">
        <v>45040</v>
      </c>
      <c r="H103" s="4">
        <v>45046</v>
      </c>
      <c r="I103" s="1" t="s">
        <v>85</v>
      </c>
      <c r="J103" s="1" t="s">
        <v>44</v>
      </c>
      <c r="K103" s="3">
        <v>2</v>
      </c>
      <c r="L103" s="2">
        <v>38650</v>
      </c>
      <c r="M103" s="3">
        <v>10</v>
      </c>
      <c r="N103" s="1" t="s">
        <v>31</v>
      </c>
      <c r="O103" s="1" t="s">
        <v>57</v>
      </c>
      <c r="P103" s="1" t="s">
        <v>174</v>
      </c>
      <c r="Q103" s="1" t="s">
        <v>3415</v>
      </c>
      <c r="R103" s="1" t="s">
        <v>568</v>
      </c>
      <c r="S103" s="3">
        <v>1</v>
      </c>
      <c r="T103" s="1" t="s">
        <v>96</v>
      </c>
      <c r="U103" s="3">
        <v>111</v>
      </c>
      <c r="V103" s="1" t="s">
        <v>37</v>
      </c>
      <c r="W103" s="5">
        <f>Table1[[#This Row],[Quantity]]*Table1[[#This Row],[Price]]*(1-Table1[[#This Row],[Discount %]]/100)</f>
        <v>69570</v>
      </c>
      <c r="X103">
        <f>Table1[[#This Row],[DeliveryDate]]-Table1[[#This Row],[OrderDate]]</f>
        <v>6</v>
      </c>
      <c r="Y103" t="str">
        <f>TEXT(Table1[[#This Row],[OrderDate]],"MMMM")</f>
        <v>April</v>
      </c>
      <c r="Z103" s="5">
        <f>YEAR(Table1[[#This Row],[OrderDate]])</f>
        <v>2023</v>
      </c>
    </row>
    <row r="104" spans="1:26" x14ac:dyDescent="0.3">
      <c r="A104" s="1" t="s">
        <v>569</v>
      </c>
      <c r="B104" t="s">
        <v>570</v>
      </c>
      <c r="C104" s="3">
        <v>42</v>
      </c>
      <c r="D104" s="1" t="s">
        <v>51</v>
      </c>
      <c r="E104" s="1" t="s">
        <v>25</v>
      </c>
      <c r="F104" s="1" t="s">
        <v>91</v>
      </c>
      <c r="G104" s="4">
        <v>45560</v>
      </c>
      <c r="H104" s="4">
        <v>45570</v>
      </c>
      <c r="I104" s="1" t="s">
        <v>43</v>
      </c>
      <c r="J104" s="1" t="s">
        <v>44</v>
      </c>
      <c r="K104" s="3">
        <v>5</v>
      </c>
      <c r="L104" s="2">
        <v>23481</v>
      </c>
      <c r="M104" s="3">
        <v>0</v>
      </c>
      <c r="N104" s="1" t="s">
        <v>166</v>
      </c>
      <c r="O104" s="1" t="s">
        <v>57</v>
      </c>
      <c r="P104" s="1" t="s">
        <v>33</v>
      </c>
      <c r="Q104" s="1" t="s">
        <v>573</v>
      </c>
      <c r="R104" s="1" t="s">
        <v>574</v>
      </c>
      <c r="S104" s="3">
        <v>5</v>
      </c>
      <c r="T104" s="1" t="s">
        <v>96</v>
      </c>
      <c r="U104" s="3">
        <v>117</v>
      </c>
      <c r="V104" s="1" t="s">
        <v>37</v>
      </c>
      <c r="W104" s="5">
        <f>Table1[[#This Row],[Quantity]]*Table1[[#This Row],[Price]]*(1-Table1[[#This Row],[Discount %]]/100)</f>
        <v>117405</v>
      </c>
      <c r="X104">
        <f>Table1[[#This Row],[DeliveryDate]]-Table1[[#This Row],[OrderDate]]</f>
        <v>10</v>
      </c>
      <c r="Y104" t="str">
        <f>TEXT(Table1[[#This Row],[OrderDate]],"MMMM")</f>
        <v>September</v>
      </c>
      <c r="Z104" s="5">
        <f>YEAR(Table1[[#This Row],[OrderDate]])</f>
        <v>2024</v>
      </c>
    </row>
    <row r="105" spans="1:26" x14ac:dyDescent="0.3">
      <c r="A105" s="1" t="s">
        <v>575</v>
      </c>
      <c r="B105" t="s">
        <v>555</v>
      </c>
      <c r="C105" s="3">
        <v>59</v>
      </c>
      <c r="D105" s="1" t="s">
        <v>24</v>
      </c>
      <c r="E105" s="1" t="s">
        <v>52</v>
      </c>
      <c r="F105" s="1" t="s">
        <v>65</v>
      </c>
      <c r="G105" s="4">
        <v>45185</v>
      </c>
      <c r="H105" s="4">
        <v>45193</v>
      </c>
      <c r="I105" s="1" t="s">
        <v>85</v>
      </c>
      <c r="J105" s="1" t="s">
        <v>30</v>
      </c>
      <c r="K105" s="3">
        <v>3</v>
      </c>
      <c r="L105" s="2">
        <v>67571</v>
      </c>
      <c r="M105" s="3">
        <v>15</v>
      </c>
      <c r="N105" s="1" t="s">
        <v>56</v>
      </c>
      <c r="O105" s="1" t="s">
        <v>133</v>
      </c>
      <c r="P105" s="1" t="s">
        <v>58</v>
      </c>
      <c r="Q105" s="1" t="s">
        <v>558</v>
      </c>
      <c r="R105" s="1" t="s">
        <v>577</v>
      </c>
      <c r="S105" s="3">
        <v>3</v>
      </c>
      <c r="T105" s="1" t="s">
        <v>96</v>
      </c>
      <c r="U105" s="3">
        <v>169</v>
      </c>
      <c r="V105" s="1" t="s">
        <v>37</v>
      </c>
      <c r="W105" s="5">
        <f>Table1[[#This Row],[Quantity]]*Table1[[#This Row],[Price]]*(1-Table1[[#This Row],[Discount %]]/100)</f>
        <v>172306.05</v>
      </c>
      <c r="X105">
        <f>Table1[[#This Row],[DeliveryDate]]-Table1[[#This Row],[OrderDate]]</f>
        <v>8</v>
      </c>
      <c r="Y105" t="str">
        <f>TEXT(Table1[[#This Row],[OrderDate]],"MMMM")</f>
        <v>September</v>
      </c>
      <c r="Z105" s="5">
        <f>YEAR(Table1[[#This Row],[OrderDate]])</f>
        <v>2023</v>
      </c>
    </row>
    <row r="106" spans="1:26" x14ac:dyDescent="0.3">
      <c r="A106" s="1" t="s">
        <v>578</v>
      </c>
      <c r="B106" t="s">
        <v>162</v>
      </c>
      <c r="C106" s="3">
        <v>45</v>
      </c>
      <c r="D106" s="1" t="s">
        <v>51</v>
      </c>
      <c r="E106" s="1" t="s">
        <v>52</v>
      </c>
      <c r="F106" s="1" t="s">
        <v>53</v>
      </c>
      <c r="G106" s="4">
        <v>45085</v>
      </c>
      <c r="H106" s="4">
        <v>45089</v>
      </c>
      <c r="I106" s="1" t="s">
        <v>108</v>
      </c>
      <c r="J106" s="1" t="s">
        <v>30</v>
      </c>
      <c r="K106" s="3">
        <v>2</v>
      </c>
      <c r="L106" s="2">
        <v>64529</v>
      </c>
      <c r="M106" s="3">
        <v>15</v>
      </c>
      <c r="N106" s="1" t="s">
        <v>45</v>
      </c>
      <c r="O106" s="1" t="s">
        <v>281</v>
      </c>
      <c r="P106" s="1" t="s">
        <v>174</v>
      </c>
      <c r="Q106" s="1" t="s">
        <v>167</v>
      </c>
      <c r="R106" s="1" t="s">
        <v>580</v>
      </c>
      <c r="S106" s="3">
        <v>3</v>
      </c>
      <c r="T106" s="1" t="s">
        <v>61</v>
      </c>
      <c r="U106" s="3">
        <v>225</v>
      </c>
      <c r="V106" s="1" t="s">
        <v>37</v>
      </c>
      <c r="W106" s="5">
        <f>Table1[[#This Row],[Quantity]]*Table1[[#This Row],[Price]]*(1-Table1[[#This Row],[Discount %]]/100)</f>
        <v>109699.3</v>
      </c>
      <c r="X106">
        <f>Table1[[#This Row],[DeliveryDate]]-Table1[[#This Row],[OrderDate]]</f>
        <v>4</v>
      </c>
      <c r="Y106" t="str">
        <f>TEXT(Table1[[#This Row],[OrderDate]],"MMMM")</f>
        <v>June</v>
      </c>
      <c r="Z106" s="5">
        <f>YEAR(Table1[[#This Row],[OrderDate]])</f>
        <v>2023</v>
      </c>
    </row>
    <row r="107" spans="1:26" x14ac:dyDescent="0.3">
      <c r="A107" s="1" t="s">
        <v>581</v>
      </c>
      <c r="B107" t="s">
        <v>141</v>
      </c>
      <c r="C107" s="3">
        <v>18</v>
      </c>
      <c r="D107" s="1" t="s">
        <v>24</v>
      </c>
      <c r="E107" s="1" t="s">
        <v>229</v>
      </c>
      <c r="F107" s="1" t="s">
        <v>65</v>
      </c>
      <c r="G107" s="4">
        <v>45066</v>
      </c>
      <c r="H107" s="4">
        <v>45069</v>
      </c>
      <c r="I107" s="1" t="s">
        <v>108</v>
      </c>
      <c r="J107" s="1" t="s">
        <v>44</v>
      </c>
      <c r="K107" s="3">
        <v>4</v>
      </c>
      <c r="L107" s="2">
        <v>41660</v>
      </c>
      <c r="M107" s="3">
        <v>5</v>
      </c>
      <c r="N107" s="1" t="s">
        <v>31</v>
      </c>
      <c r="O107" s="1" t="s">
        <v>173</v>
      </c>
      <c r="P107" s="1" t="s">
        <v>174</v>
      </c>
      <c r="Q107" s="1" t="s">
        <v>3415</v>
      </c>
      <c r="R107" s="1" t="s">
        <v>584</v>
      </c>
      <c r="S107" s="3">
        <v>4</v>
      </c>
      <c r="T107" s="1" t="s">
        <v>96</v>
      </c>
      <c r="U107" s="3">
        <v>397</v>
      </c>
      <c r="V107" s="1" t="s">
        <v>62</v>
      </c>
      <c r="W107" s="5">
        <f>Table1[[#This Row],[Quantity]]*Table1[[#This Row],[Price]]*(1-Table1[[#This Row],[Discount %]]/100)</f>
        <v>158308</v>
      </c>
      <c r="X107">
        <f>Table1[[#This Row],[DeliveryDate]]-Table1[[#This Row],[OrderDate]]</f>
        <v>3</v>
      </c>
      <c r="Y107" t="str">
        <f>TEXT(Table1[[#This Row],[OrderDate]],"MMMM")</f>
        <v>May</v>
      </c>
      <c r="Z107" s="5">
        <f>YEAR(Table1[[#This Row],[OrderDate]])</f>
        <v>2023</v>
      </c>
    </row>
    <row r="108" spans="1:26" x14ac:dyDescent="0.3">
      <c r="A108" s="1" t="s">
        <v>585</v>
      </c>
      <c r="B108" t="s">
        <v>397</v>
      </c>
      <c r="C108" s="3">
        <v>36</v>
      </c>
      <c r="D108" s="1" t="s">
        <v>51</v>
      </c>
      <c r="E108" s="1" t="s">
        <v>26</v>
      </c>
      <c r="F108" s="1" t="s">
        <v>65</v>
      </c>
      <c r="G108" s="4">
        <v>45360</v>
      </c>
      <c r="H108" s="4">
        <v>45370</v>
      </c>
      <c r="I108" s="1" t="s">
        <v>77</v>
      </c>
      <c r="J108" s="1" t="s">
        <v>44</v>
      </c>
      <c r="K108" s="3">
        <v>2</v>
      </c>
      <c r="L108" s="2">
        <v>67480</v>
      </c>
      <c r="M108" s="3">
        <v>0</v>
      </c>
      <c r="N108" s="1" t="s">
        <v>45</v>
      </c>
      <c r="O108" s="1" t="s">
        <v>46</v>
      </c>
      <c r="P108" s="1" t="s">
        <v>33</v>
      </c>
      <c r="Q108" s="1" t="s">
        <v>400</v>
      </c>
      <c r="R108" s="1" t="s">
        <v>587</v>
      </c>
      <c r="S108" s="3">
        <v>3</v>
      </c>
      <c r="T108" s="1" t="s">
        <v>36</v>
      </c>
      <c r="U108" s="3">
        <v>139</v>
      </c>
      <c r="V108" s="1" t="s">
        <v>79</v>
      </c>
      <c r="W108" s="5">
        <f>Table1[[#This Row],[Quantity]]*Table1[[#This Row],[Price]]*(1-Table1[[#This Row],[Discount %]]/100)</f>
        <v>134960</v>
      </c>
      <c r="X108">
        <f>Table1[[#This Row],[DeliveryDate]]-Table1[[#This Row],[OrderDate]]</f>
        <v>10</v>
      </c>
      <c r="Y108" t="str">
        <f>TEXT(Table1[[#This Row],[OrderDate]],"MMMM")</f>
        <v>March</v>
      </c>
      <c r="Z108" s="5">
        <f>YEAR(Table1[[#This Row],[OrderDate]])</f>
        <v>2024</v>
      </c>
    </row>
    <row r="109" spans="1:26" x14ac:dyDescent="0.3">
      <c r="A109" s="1" t="s">
        <v>588</v>
      </c>
      <c r="B109" t="s">
        <v>589</v>
      </c>
      <c r="C109" s="3">
        <v>48</v>
      </c>
      <c r="D109" s="1" t="s">
        <v>51</v>
      </c>
      <c r="E109" s="1" t="s">
        <v>99</v>
      </c>
      <c r="F109" s="1" t="s">
        <v>82</v>
      </c>
      <c r="G109" s="4">
        <v>45586</v>
      </c>
      <c r="H109" s="4">
        <v>45596</v>
      </c>
      <c r="I109" s="1" t="s">
        <v>108</v>
      </c>
      <c r="J109" s="1" t="s">
        <v>30</v>
      </c>
      <c r="K109" s="3">
        <v>3</v>
      </c>
      <c r="L109" s="2">
        <v>42106</v>
      </c>
      <c r="M109" s="3">
        <v>0</v>
      </c>
      <c r="N109" s="1" t="s">
        <v>166</v>
      </c>
      <c r="O109" s="1" t="s">
        <v>68</v>
      </c>
      <c r="P109" s="1" t="s">
        <v>174</v>
      </c>
      <c r="Q109" s="1" t="s">
        <v>591</v>
      </c>
      <c r="R109" s="1" t="s">
        <v>592</v>
      </c>
      <c r="S109" s="3">
        <v>5</v>
      </c>
      <c r="T109" s="1" t="s">
        <v>61</v>
      </c>
      <c r="U109" s="3">
        <v>289</v>
      </c>
      <c r="V109" s="1" t="s">
        <v>79</v>
      </c>
      <c r="W109" s="5">
        <f>Table1[[#This Row],[Quantity]]*Table1[[#This Row],[Price]]*(1-Table1[[#This Row],[Discount %]]/100)</f>
        <v>126318</v>
      </c>
      <c r="X109">
        <f>Table1[[#This Row],[DeliveryDate]]-Table1[[#This Row],[OrderDate]]</f>
        <v>10</v>
      </c>
      <c r="Y109" t="str">
        <f>TEXT(Table1[[#This Row],[OrderDate]],"MMMM")</f>
        <v>October</v>
      </c>
      <c r="Z109" s="5">
        <f>YEAR(Table1[[#This Row],[OrderDate]])</f>
        <v>2024</v>
      </c>
    </row>
    <row r="110" spans="1:26" x14ac:dyDescent="0.3">
      <c r="A110" s="1" t="s">
        <v>593</v>
      </c>
      <c r="B110" t="s">
        <v>457</v>
      </c>
      <c r="C110" s="3">
        <v>30</v>
      </c>
      <c r="D110" s="1" t="s">
        <v>51</v>
      </c>
      <c r="E110" s="1" t="s">
        <v>142</v>
      </c>
      <c r="F110" s="1" t="s">
        <v>65</v>
      </c>
      <c r="G110" s="4">
        <v>45521</v>
      </c>
      <c r="H110" s="4">
        <v>45528</v>
      </c>
      <c r="I110" s="1" t="s">
        <v>93</v>
      </c>
      <c r="J110" s="1" t="s">
        <v>30</v>
      </c>
      <c r="K110" s="3">
        <v>3</v>
      </c>
      <c r="L110" s="2">
        <v>72446</v>
      </c>
      <c r="M110" s="3">
        <v>0</v>
      </c>
      <c r="N110" s="1" t="s">
        <v>45</v>
      </c>
      <c r="O110" s="1" t="s">
        <v>173</v>
      </c>
      <c r="P110" s="1" t="s">
        <v>174</v>
      </c>
      <c r="Q110" s="1" t="s">
        <v>595</v>
      </c>
      <c r="R110" s="1" t="s">
        <v>596</v>
      </c>
      <c r="S110" s="3">
        <v>3</v>
      </c>
      <c r="T110" s="1" t="s">
        <v>72</v>
      </c>
      <c r="U110" s="3">
        <v>277</v>
      </c>
      <c r="V110" s="1" t="s">
        <v>62</v>
      </c>
      <c r="W110" s="5">
        <f>Table1[[#This Row],[Quantity]]*Table1[[#This Row],[Price]]*(1-Table1[[#This Row],[Discount %]]/100)</f>
        <v>217338</v>
      </c>
      <c r="X110">
        <f>Table1[[#This Row],[DeliveryDate]]-Table1[[#This Row],[OrderDate]]</f>
        <v>7</v>
      </c>
      <c r="Y110" t="str">
        <f>TEXT(Table1[[#This Row],[OrderDate]],"MMMM")</f>
        <v>August</v>
      </c>
      <c r="Z110" s="5">
        <f>YEAR(Table1[[#This Row],[OrderDate]])</f>
        <v>2024</v>
      </c>
    </row>
    <row r="111" spans="1:26" x14ac:dyDescent="0.3">
      <c r="A111" s="1" t="s">
        <v>597</v>
      </c>
      <c r="B111" t="s">
        <v>23</v>
      </c>
      <c r="C111" s="3">
        <v>21</v>
      </c>
      <c r="D111" s="1" t="s">
        <v>24</v>
      </c>
      <c r="E111" s="1" t="s">
        <v>131</v>
      </c>
      <c r="F111" s="1" t="s">
        <v>53</v>
      </c>
      <c r="G111" s="4">
        <v>45014</v>
      </c>
      <c r="H111" s="4">
        <v>45023</v>
      </c>
      <c r="I111" s="1" t="s">
        <v>93</v>
      </c>
      <c r="J111" s="1" t="s">
        <v>44</v>
      </c>
      <c r="K111" s="3">
        <v>1</v>
      </c>
      <c r="L111" s="2">
        <v>34533</v>
      </c>
      <c r="M111" s="3">
        <v>5</v>
      </c>
      <c r="N111" s="1" t="s">
        <v>45</v>
      </c>
      <c r="O111" s="1" t="s">
        <v>86</v>
      </c>
      <c r="P111" s="1" t="s">
        <v>33</v>
      </c>
      <c r="Q111" s="1" t="s">
        <v>34</v>
      </c>
      <c r="R111" s="1" t="s">
        <v>599</v>
      </c>
      <c r="S111" s="3">
        <v>2</v>
      </c>
      <c r="T111" s="1" t="s">
        <v>96</v>
      </c>
      <c r="U111" s="3">
        <v>475</v>
      </c>
      <c r="V111" s="1" t="s">
        <v>37</v>
      </c>
      <c r="W111" s="5">
        <f>Table1[[#This Row],[Quantity]]*Table1[[#This Row],[Price]]*(1-Table1[[#This Row],[Discount %]]/100)</f>
        <v>32806.35</v>
      </c>
      <c r="X111">
        <f>Table1[[#This Row],[DeliveryDate]]-Table1[[#This Row],[OrderDate]]</f>
        <v>9</v>
      </c>
      <c r="Y111" t="str">
        <f>TEXT(Table1[[#This Row],[OrderDate]],"MMMM")</f>
        <v>March</v>
      </c>
      <c r="Z111" s="5">
        <f>YEAR(Table1[[#This Row],[OrderDate]])</f>
        <v>2023</v>
      </c>
    </row>
    <row r="112" spans="1:26" x14ac:dyDescent="0.3">
      <c r="A112" s="1" t="s">
        <v>600</v>
      </c>
      <c r="B112" t="s">
        <v>601</v>
      </c>
      <c r="C112" s="3">
        <v>44</v>
      </c>
      <c r="D112" s="1" t="s">
        <v>24</v>
      </c>
      <c r="E112" s="1" t="s">
        <v>229</v>
      </c>
      <c r="F112" s="1" t="s">
        <v>26</v>
      </c>
      <c r="G112" s="4">
        <v>45094</v>
      </c>
      <c r="H112" s="4">
        <v>45099</v>
      </c>
      <c r="I112" s="1" t="s">
        <v>77</v>
      </c>
      <c r="J112" s="1" t="s">
        <v>30</v>
      </c>
      <c r="K112" s="3">
        <v>3</v>
      </c>
      <c r="L112" s="2">
        <v>22599</v>
      </c>
      <c r="M112" s="3">
        <v>15</v>
      </c>
      <c r="N112" s="1" t="s">
        <v>166</v>
      </c>
      <c r="O112" s="1" t="s">
        <v>281</v>
      </c>
      <c r="P112" s="1" t="s">
        <v>69</v>
      </c>
      <c r="Q112" s="1" t="s">
        <v>603</v>
      </c>
      <c r="R112" s="1" t="s">
        <v>604</v>
      </c>
      <c r="S112" s="3">
        <v>2</v>
      </c>
      <c r="T112" s="1" t="s">
        <v>96</v>
      </c>
      <c r="U112" s="3">
        <v>86</v>
      </c>
      <c r="V112" s="1" t="s">
        <v>62</v>
      </c>
      <c r="W112" s="5">
        <f>Table1[[#This Row],[Quantity]]*Table1[[#This Row],[Price]]*(1-Table1[[#This Row],[Discount %]]/100)</f>
        <v>57627.45</v>
      </c>
      <c r="X112">
        <f>Table1[[#This Row],[DeliveryDate]]-Table1[[#This Row],[OrderDate]]</f>
        <v>5</v>
      </c>
      <c r="Y112" t="str">
        <f>TEXT(Table1[[#This Row],[OrderDate]],"MMMM")</f>
        <v>June</v>
      </c>
      <c r="Z112" s="5">
        <f>YEAR(Table1[[#This Row],[OrderDate]])</f>
        <v>2023</v>
      </c>
    </row>
    <row r="113" spans="1:26" x14ac:dyDescent="0.3">
      <c r="A113" s="1" t="s">
        <v>605</v>
      </c>
      <c r="B113" t="s">
        <v>606</v>
      </c>
      <c r="C113" s="3">
        <v>41</v>
      </c>
      <c r="D113" s="1" t="s">
        <v>51</v>
      </c>
      <c r="E113" s="1" t="s">
        <v>26</v>
      </c>
      <c r="F113" s="1" t="s">
        <v>53</v>
      </c>
      <c r="G113" s="4">
        <v>45494</v>
      </c>
      <c r="H113" s="4">
        <v>45496</v>
      </c>
      <c r="I113" s="1" t="s">
        <v>77</v>
      </c>
      <c r="J113" s="1" t="s">
        <v>44</v>
      </c>
      <c r="K113" s="3">
        <v>4</v>
      </c>
      <c r="L113" s="2">
        <v>42109.716287215415</v>
      </c>
      <c r="M113" s="3">
        <v>5</v>
      </c>
      <c r="N113" s="1" t="s">
        <v>56</v>
      </c>
      <c r="O113" s="1" t="s">
        <v>57</v>
      </c>
      <c r="P113" s="1" t="s">
        <v>58</v>
      </c>
      <c r="Q113" s="1" t="s">
        <v>608</v>
      </c>
      <c r="R113" s="1" t="s">
        <v>609</v>
      </c>
      <c r="S113" s="3">
        <v>4</v>
      </c>
      <c r="T113" s="1" t="s">
        <v>36</v>
      </c>
      <c r="U113" s="3">
        <v>267</v>
      </c>
      <c r="V113" s="1" t="s">
        <v>79</v>
      </c>
      <c r="W113" s="5">
        <f>Table1[[#This Row],[Quantity]]*Table1[[#This Row],[Price]]*(1-Table1[[#This Row],[Discount %]]/100)</f>
        <v>160016.92189141858</v>
      </c>
      <c r="X113">
        <f>Table1[[#This Row],[DeliveryDate]]-Table1[[#This Row],[OrderDate]]</f>
        <v>2</v>
      </c>
      <c r="Y113" t="str">
        <f>TEXT(Table1[[#This Row],[OrderDate]],"MMMM")</f>
        <v>July</v>
      </c>
      <c r="Z113" s="5">
        <f>YEAR(Table1[[#This Row],[OrderDate]])</f>
        <v>2024</v>
      </c>
    </row>
    <row r="114" spans="1:26" x14ac:dyDescent="0.3">
      <c r="A114" s="1" t="s">
        <v>610</v>
      </c>
      <c r="B114" t="s">
        <v>611</v>
      </c>
      <c r="C114" s="3">
        <v>57</v>
      </c>
      <c r="D114" s="1" t="s">
        <v>24</v>
      </c>
      <c r="E114" s="1" t="s">
        <v>99</v>
      </c>
      <c r="F114" s="1" t="s">
        <v>53</v>
      </c>
      <c r="G114" s="4">
        <v>44937</v>
      </c>
      <c r="H114" s="4">
        <v>44941</v>
      </c>
      <c r="I114" s="1" t="s">
        <v>85</v>
      </c>
      <c r="J114" s="1" t="s">
        <v>44</v>
      </c>
      <c r="K114" s="3">
        <v>5</v>
      </c>
      <c r="L114" s="2">
        <v>61727</v>
      </c>
      <c r="M114" s="3">
        <v>15</v>
      </c>
      <c r="N114" s="1" t="s">
        <v>45</v>
      </c>
      <c r="O114" s="1" t="s">
        <v>68</v>
      </c>
      <c r="P114" s="1" t="s">
        <v>58</v>
      </c>
      <c r="Q114" s="1" t="s">
        <v>614</v>
      </c>
      <c r="R114" s="1" t="s">
        <v>615</v>
      </c>
      <c r="S114" s="3">
        <v>5</v>
      </c>
      <c r="T114" s="1" t="s">
        <v>96</v>
      </c>
      <c r="U114" s="3">
        <v>410</v>
      </c>
      <c r="V114" s="1" t="s">
        <v>37</v>
      </c>
      <c r="W114" s="5">
        <f>Table1[[#This Row],[Quantity]]*Table1[[#This Row],[Price]]*(1-Table1[[#This Row],[Discount %]]/100)</f>
        <v>262339.75</v>
      </c>
      <c r="X114">
        <f>Table1[[#This Row],[DeliveryDate]]-Table1[[#This Row],[OrderDate]]</f>
        <v>4</v>
      </c>
      <c r="Y114" t="str">
        <f>TEXT(Table1[[#This Row],[OrderDate]],"MMMM")</f>
        <v>January</v>
      </c>
      <c r="Z114" s="5">
        <f>YEAR(Table1[[#This Row],[OrderDate]])</f>
        <v>2023</v>
      </c>
    </row>
    <row r="115" spans="1:26" x14ac:dyDescent="0.3">
      <c r="A115" s="1" t="s">
        <v>616</v>
      </c>
      <c r="B115" t="s">
        <v>617</v>
      </c>
      <c r="C115" s="3">
        <v>29</v>
      </c>
      <c r="D115" s="1" t="s">
        <v>51</v>
      </c>
      <c r="E115" s="1" t="s">
        <v>131</v>
      </c>
      <c r="F115" s="1" t="s">
        <v>91</v>
      </c>
      <c r="G115" s="4">
        <v>45363</v>
      </c>
      <c r="H115" s="4">
        <v>45366</v>
      </c>
      <c r="I115" s="1" t="s">
        <v>43</v>
      </c>
      <c r="J115" s="1" t="s">
        <v>30</v>
      </c>
      <c r="K115" s="3">
        <v>1</v>
      </c>
      <c r="L115" s="2">
        <v>25412</v>
      </c>
      <c r="M115" s="3">
        <v>0</v>
      </c>
      <c r="N115" s="1" t="s">
        <v>45</v>
      </c>
      <c r="O115" s="1" t="s">
        <v>173</v>
      </c>
      <c r="P115" s="1" t="s">
        <v>33</v>
      </c>
      <c r="Q115" s="1" t="s">
        <v>620</v>
      </c>
      <c r="R115" s="1" t="s">
        <v>621</v>
      </c>
      <c r="S115" s="3">
        <v>4</v>
      </c>
      <c r="T115" s="1" t="s">
        <v>96</v>
      </c>
      <c r="U115" s="3">
        <v>368</v>
      </c>
      <c r="V115" s="1" t="s">
        <v>62</v>
      </c>
      <c r="W115" s="5">
        <f>Table1[[#This Row],[Quantity]]*Table1[[#This Row],[Price]]*(1-Table1[[#This Row],[Discount %]]/100)</f>
        <v>25412</v>
      </c>
      <c r="X115">
        <f>Table1[[#This Row],[DeliveryDate]]-Table1[[#This Row],[OrderDate]]</f>
        <v>3</v>
      </c>
      <c r="Y115" t="str">
        <f>TEXT(Table1[[#This Row],[OrderDate]],"MMMM")</f>
        <v>March</v>
      </c>
      <c r="Z115" s="5">
        <f>YEAR(Table1[[#This Row],[OrderDate]])</f>
        <v>2024</v>
      </c>
    </row>
    <row r="116" spans="1:26" x14ac:dyDescent="0.3">
      <c r="A116" s="1" t="s">
        <v>622</v>
      </c>
      <c r="B116" t="s">
        <v>623</v>
      </c>
      <c r="C116" s="3">
        <v>50</v>
      </c>
      <c r="D116" s="1" t="s">
        <v>24</v>
      </c>
      <c r="E116" s="1" t="s">
        <v>131</v>
      </c>
      <c r="F116" s="1" t="s">
        <v>65</v>
      </c>
      <c r="G116" s="4">
        <v>45214</v>
      </c>
      <c r="H116" s="4">
        <v>45217</v>
      </c>
      <c r="I116" s="1" t="s">
        <v>43</v>
      </c>
      <c r="J116" s="1" t="s">
        <v>30</v>
      </c>
      <c r="K116" s="3">
        <v>5</v>
      </c>
      <c r="L116" s="2">
        <v>59889</v>
      </c>
      <c r="M116" s="3">
        <v>5</v>
      </c>
      <c r="N116" s="1" t="s">
        <v>45</v>
      </c>
      <c r="O116" s="1" t="s">
        <v>109</v>
      </c>
      <c r="P116" s="1" t="s">
        <v>174</v>
      </c>
      <c r="Q116" s="1" t="s">
        <v>626</v>
      </c>
      <c r="R116" s="1" t="s">
        <v>627</v>
      </c>
      <c r="S116" s="3">
        <v>5</v>
      </c>
      <c r="T116" s="1" t="s">
        <v>96</v>
      </c>
      <c r="U116" s="3">
        <v>82</v>
      </c>
      <c r="V116" s="1" t="s">
        <v>62</v>
      </c>
      <c r="W116" s="5">
        <f>Table1[[#This Row],[Quantity]]*Table1[[#This Row],[Price]]*(1-Table1[[#This Row],[Discount %]]/100)</f>
        <v>284472.75</v>
      </c>
      <c r="X116">
        <f>Table1[[#This Row],[DeliveryDate]]-Table1[[#This Row],[OrderDate]]</f>
        <v>3</v>
      </c>
      <c r="Y116" t="str">
        <f>TEXT(Table1[[#This Row],[OrderDate]],"MMMM")</f>
        <v>October</v>
      </c>
      <c r="Z116" s="5">
        <f>YEAR(Table1[[#This Row],[OrderDate]])</f>
        <v>2023</v>
      </c>
    </row>
    <row r="117" spans="1:26" x14ac:dyDescent="0.3">
      <c r="A117" s="1" t="s">
        <v>628</v>
      </c>
      <c r="B117" t="s">
        <v>476</v>
      </c>
      <c r="C117" s="3">
        <v>43</v>
      </c>
      <c r="D117" s="1" t="s">
        <v>51</v>
      </c>
      <c r="E117" s="1" t="s">
        <v>26</v>
      </c>
      <c r="F117" s="1" t="s">
        <v>65</v>
      </c>
      <c r="G117" s="4">
        <v>45341</v>
      </c>
      <c r="H117" s="4">
        <v>45351</v>
      </c>
      <c r="I117" s="1" t="s">
        <v>108</v>
      </c>
      <c r="J117" s="1" t="s">
        <v>44</v>
      </c>
      <c r="K117" s="3">
        <v>3</v>
      </c>
      <c r="L117" s="2">
        <v>15052</v>
      </c>
      <c r="M117" s="3">
        <v>15</v>
      </c>
      <c r="N117" s="1" t="s">
        <v>45</v>
      </c>
      <c r="O117" s="1" t="s">
        <v>281</v>
      </c>
      <c r="P117" s="1" t="s">
        <v>33</v>
      </c>
      <c r="Q117" s="1" t="s">
        <v>3415</v>
      </c>
      <c r="R117" s="1" t="s">
        <v>631</v>
      </c>
      <c r="S117" s="3">
        <v>1</v>
      </c>
      <c r="T117" s="1" t="s">
        <v>72</v>
      </c>
      <c r="U117" s="3">
        <v>344</v>
      </c>
      <c r="V117" s="1" t="s">
        <v>37</v>
      </c>
      <c r="W117" s="5">
        <f>Table1[[#This Row],[Quantity]]*Table1[[#This Row],[Price]]*(1-Table1[[#This Row],[Discount %]]/100)</f>
        <v>38382.6</v>
      </c>
      <c r="X117">
        <f>Table1[[#This Row],[DeliveryDate]]-Table1[[#This Row],[OrderDate]]</f>
        <v>10</v>
      </c>
      <c r="Y117" t="str">
        <f>TEXT(Table1[[#This Row],[OrderDate]],"MMMM")</f>
        <v>February</v>
      </c>
      <c r="Z117" s="5">
        <f>YEAR(Table1[[#This Row],[OrderDate]])</f>
        <v>2024</v>
      </c>
    </row>
    <row r="118" spans="1:26" x14ac:dyDescent="0.3">
      <c r="A118" s="1" t="s">
        <v>632</v>
      </c>
      <c r="B118" t="s">
        <v>228</v>
      </c>
      <c r="C118" s="3">
        <v>32</v>
      </c>
      <c r="D118" s="1" t="s">
        <v>51</v>
      </c>
      <c r="E118" s="1" t="s">
        <v>131</v>
      </c>
      <c r="F118" s="1" t="s">
        <v>65</v>
      </c>
      <c r="G118" s="4">
        <v>45475</v>
      </c>
      <c r="H118" s="4">
        <v>45483</v>
      </c>
      <c r="I118" s="1" t="s">
        <v>93</v>
      </c>
      <c r="J118" s="1" t="s">
        <v>44</v>
      </c>
      <c r="K118" s="3">
        <v>4</v>
      </c>
      <c r="L118" s="2">
        <v>59969</v>
      </c>
      <c r="M118" s="3">
        <v>15</v>
      </c>
      <c r="N118" s="1" t="s">
        <v>56</v>
      </c>
      <c r="O118" s="1" t="s">
        <v>173</v>
      </c>
      <c r="P118" s="1" t="s">
        <v>33</v>
      </c>
      <c r="Q118" s="1" t="s">
        <v>232</v>
      </c>
      <c r="R118" s="1" t="s">
        <v>635</v>
      </c>
      <c r="S118" s="3">
        <v>2</v>
      </c>
      <c r="T118" s="1" t="s">
        <v>36</v>
      </c>
      <c r="U118" s="3">
        <v>201</v>
      </c>
      <c r="V118" s="1" t="s">
        <v>79</v>
      </c>
      <c r="W118" s="5">
        <f>Table1[[#This Row],[Quantity]]*Table1[[#This Row],[Price]]*(1-Table1[[#This Row],[Discount %]]/100)</f>
        <v>203894.6</v>
      </c>
      <c r="X118">
        <f>Table1[[#This Row],[DeliveryDate]]-Table1[[#This Row],[OrderDate]]</f>
        <v>8</v>
      </c>
      <c r="Y118" t="str">
        <f>TEXT(Table1[[#This Row],[OrderDate]],"MMMM")</f>
        <v>July</v>
      </c>
      <c r="Z118" s="5">
        <f>YEAR(Table1[[#This Row],[OrderDate]])</f>
        <v>2024</v>
      </c>
    </row>
    <row r="119" spans="1:26" x14ac:dyDescent="0.3">
      <c r="A119" s="1" t="s">
        <v>636</v>
      </c>
      <c r="B119" t="s">
        <v>637</v>
      </c>
      <c r="C119" s="3">
        <v>43</v>
      </c>
      <c r="D119" s="1" t="s">
        <v>24</v>
      </c>
      <c r="E119" s="1" t="s">
        <v>99</v>
      </c>
      <c r="F119" s="1" t="s">
        <v>53</v>
      </c>
      <c r="G119" s="4">
        <v>45621</v>
      </c>
      <c r="H119" s="4">
        <v>45630</v>
      </c>
      <c r="I119" s="1" t="s">
        <v>43</v>
      </c>
      <c r="J119" s="1" t="s">
        <v>30</v>
      </c>
      <c r="K119" s="3">
        <v>4</v>
      </c>
      <c r="L119" s="2">
        <v>7915</v>
      </c>
      <c r="M119" s="3">
        <v>5</v>
      </c>
      <c r="N119" s="1" t="s">
        <v>56</v>
      </c>
      <c r="O119" s="1" t="s">
        <v>133</v>
      </c>
      <c r="P119" s="1" t="s">
        <v>174</v>
      </c>
      <c r="Q119" s="1" t="s">
        <v>3415</v>
      </c>
      <c r="R119" s="1" t="s">
        <v>3415</v>
      </c>
      <c r="S119" s="3">
        <v>2</v>
      </c>
      <c r="T119" s="1" t="s">
        <v>36</v>
      </c>
      <c r="U119" s="3">
        <v>313</v>
      </c>
      <c r="V119" s="1" t="s">
        <v>79</v>
      </c>
      <c r="W119" s="5">
        <f>Table1[[#This Row],[Quantity]]*Table1[[#This Row],[Price]]*(1-Table1[[#This Row],[Discount %]]/100)</f>
        <v>30077</v>
      </c>
      <c r="X119">
        <f>Table1[[#This Row],[DeliveryDate]]-Table1[[#This Row],[OrderDate]]</f>
        <v>9</v>
      </c>
      <c r="Y119" t="str">
        <f>TEXT(Table1[[#This Row],[OrderDate]],"MMMM")</f>
        <v>November</v>
      </c>
      <c r="Z119" s="5">
        <f>YEAR(Table1[[#This Row],[OrderDate]])</f>
        <v>2024</v>
      </c>
    </row>
    <row r="120" spans="1:26" x14ac:dyDescent="0.3">
      <c r="A120" s="1" t="s">
        <v>640</v>
      </c>
      <c r="B120" t="s">
        <v>278</v>
      </c>
      <c r="C120" s="3">
        <v>56</v>
      </c>
      <c r="D120" s="1" t="s">
        <v>24</v>
      </c>
      <c r="E120" s="1" t="s">
        <v>99</v>
      </c>
      <c r="F120" s="1" t="s">
        <v>65</v>
      </c>
      <c r="G120" s="4">
        <v>45272</v>
      </c>
      <c r="H120" s="4">
        <v>45277</v>
      </c>
      <c r="I120" s="1" t="s">
        <v>93</v>
      </c>
      <c r="J120" s="1" t="s">
        <v>30</v>
      </c>
      <c r="K120" s="3">
        <v>2</v>
      </c>
      <c r="L120" s="2">
        <v>49237</v>
      </c>
      <c r="M120" s="3">
        <v>5</v>
      </c>
      <c r="N120" s="1" t="s">
        <v>56</v>
      </c>
      <c r="O120" s="1" t="s">
        <v>281</v>
      </c>
      <c r="P120" s="1" t="s">
        <v>69</v>
      </c>
      <c r="Q120" s="1" t="s">
        <v>3415</v>
      </c>
      <c r="R120" s="1" t="s">
        <v>643</v>
      </c>
      <c r="S120" s="3">
        <v>5</v>
      </c>
      <c r="T120" s="1" t="s">
        <v>96</v>
      </c>
      <c r="U120" s="3">
        <v>368</v>
      </c>
      <c r="V120" s="1" t="s">
        <v>79</v>
      </c>
      <c r="W120" s="5">
        <f>Table1[[#This Row],[Quantity]]*Table1[[#This Row],[Price]]*(1-Table1[[#This Row],[Discount %]]/100)</f>
        <v>93550.299999999988</v>
      </c>
      <c r="X120">
        <f>Table1[[#This Row],[DeliveryDate]]-Table1[[#This Row],[OrderDate]]</f>
        <v>5</v>
      </c>
      <c r="Y120" t="str">
        <f>TEXT(Table1[[#This Row],[OrderDate]],"MMMM")</f>
        <v>December</v>
      </c>
      <c r="Z120" s="5">
        <f>YEAR(Table1[[#This Row],[OrderDate]])</f>
        <v>2023</v>
      </c>
    </row>
    <row r="121" spans="1:26" x14ac:dyDescent="0.3">
      <c r="A121" s="1" t="s">
        <v>644</v>
      </c>
      <c r="B121" t="s">
        <v>645</v>
      </c>
      <c r="C121" s="3">
        <v>58</v>
      </c>
      <c r="D121" s="1" t="s">
        <v>24</v>
      </c>
      <c r="E121" s="1" t="s">
        <v>25</v>
      </c>
      <c r="F121" s="1" t="s">
        <v>91</v>
      </c>
      <c r="G121" s="4">
        <v>45094</v>
      </c>
      <c r="H121" s="4">
        <v>45102</v>
      </c>
      <c r="I121" s="1" t="s">
        <v>85</v>
      </c>
      <c r="J121" s="1" t="s">
        <v>44</v>
      </c>
      <c r="K121" s="3">
        <v>1</v>
      </c>
      <c r="L121" s="2">
        <v>14721</v>
      </c>
      <c r="M121" s="3">
        <v>0</v>
      </c>
      <c r="N121" s="1" t="s">
        <v>56</v>
      </c>
      <c r="O121" s="1" t="s">
        <v>68</v>
      </c>
      <c r="P121" s="1" t="s">
        <v>69</v>
      </c>
      <c r="Q121" s="1" t="s">
        <v>647</v>
      </c>
      <c r="R121" s="1" t="s">
        <v>648</v>
      </c>
      <c r="S121" s="3">
        <v>1</v>
      </c>
      <c r="T121" s="1" t="s">
        <v>61</v>
      </c>
      <c r="U121" s="3">
        <v>389</v>
      </c>
      <c r="V121" s="1" t="s">
        <v>62</v>
      </c>
      <c r="W121" s="5">
        <f>Table1[[#This Row],[Quantity]]*Table1[[#This Row],[Price]]*(1-Table1[[#This Row],[Discount %]]/100)</f>
        <v>14721</v>
      </c>
      <c r="X121">
        <f>Table1[[#This Row],[DeliveryDate]]-Table1[[#This Row],[OrderDate]]</f>
        <v>8</v>
      </c>
      <c r="Y121" t="str">
        <f>TEXT(Table1[[#This Row],[OrderDate]],"MMMM")</f>
        <v>June</v>
      </c>
      <c r="Z121" s="5">
        <f>YEAR(Table1[[#This Row],[OrderDate]])</f>
        <v>2023</v>
      </c>
    </row>
    <row r="122" spans="1:26" x14ac:dyDescent="0.3">
      <c r="A122" s="1" t="s">
        <v>649</v>
      </c>
      <c r="B122" t="s">
        <v>650</v>
      </c>
      <c r="C122" s="3">
        <v>58</v>
      </c>
      <c r="D122" s="1" t="s">
        <v>24</v>
      </c>
      <c r="E122" s="1" t="s">
        <v>25</v>
      </c>
      <c r="F122" s="1" t="s">
        <v>91</v>
      </c>
      <c r="G122" s="4">
        <v>45108</v>
      </c>
      <c r="H122" s="4">
        <v>45114</v>
      </c>
      <c r="I122" s="1" t="s">
        <v>108</v>
      </c>
      <c r="J122" s="1" t="s">
        <v>30</v>
      </c>
      <c r="K122" s="3">
        <v>3</v>
      </c>
      <c r="L122" s="2">
        <v>56601</v>
      </c>
      <c r="M122" s="3">
        <v>10</v>
      </c>
      <c r="N122" s="1" t="s">
        <v>166</v>
      </c>
      <c r="O122" s="1" t="s">
        <v>68</v>
      </c>
      <c r="P122" s="1" t="s">
        <v>33</v>
      </c>
      <c r="Q122" s="1" t="s">
        <v>653</v>
      </c>
      <c r="R122" s="1" t="s">
        <v>654</v>
      </c>
      <c r="S122" s="3">
        <v>4</v>
      </c>
      <c r="T122" s="1" t="s">
        <v>36</v>
      </c>
      <c r="U122" s="3">
        <v>351</v>
      </c>
      <c r="V122" s="1" t="s">
        <v>37</v>
      </c>
      <c r="W122" s="5">
        <f>Table1[[#This Row],[Quantity]]*Table1[[#This Row],[Price]]*(1-Table1[[#This Row],[Discount %]]/100)</f>
        <v>152822.70000000001</v>
      </c>
      <c r="X122">
        <f>Table1[[#This Row],[DeliveryDate]]-Table1[[#This Row],[OrderDate]]</f>
        <v>6</v>
      </c>
      <c r="Y122" t="str">
        <f>TEXT(Table1[[#This Row],[OrderDate]],"MMMM")</f>
        <v>July</v>
      </c>
      <c r="Z122" s="5">
        <f>YEAR(Table1[[#This Row],[OrderDate]])</f>
        <v>2023</v>
      </c>
    </row>
    <row r="123" spans="1:26" x14ac:dyDescent="0.3">
      <c r="A123" s="1" t="s">
        <v>655</v>
      </c>
      <c r="B123" t="s">
        <v>119</v>
      </c>
      <c r="C123" s="3">
        <v>51</v>
      </c>
      <c r="D123" s="1" t="s">
        <v>24</v>
      </c>
      <c r="E123" s="1" t="s">
        <v>131</v>
      </c>
      <c r="F123" s="1" t="s">
        <v>53</v>
      </c>
      <c r="G123" s="4">
        <v>45513</v>
      </c>
      <c r="H123" s="4">
        <v>45517</v>
      </c>
      <c r="I123" s="1" t="s">
        <v>43</v>
      </c>
      <c r="J123" s="1" t="s">
        <v>44</v>
      </c>
      <c r="K123" s="3">
        <v>5</v>
      </c>
      <c r="L123" s="2">
        <v>15616</v>
      </c>
      <c r="M123" s="3">
        <v>15</v>
      </c>
      <c r="N123" s="1" t="s">
        <v>56</v>
      </c>
      <c r="O123" s="1" t="s">
        <v>102</v>
      </c>
      <c r="P123" s="1" t="s">
        <v>33</v>
      </c>
      <c r="Q123" s="1" t="s">
        <v>122</v>
      </c>
      <c r="R123" s="1" t="s">
        <v>658</v>
      </c>
      <c r="S123" s="3">
        <v>4</v>
      </c>
      <c r="T123" s="1" t="s">
        <v>72</v>
      </c>
      <c r="U123" s="3">
        <v>280</v>
      </c>
      <c r="V123" s="1" t="s">
        <v>37</v>
      </c>
      <c r="W123" s="5">
        <f>Table1[[#This Row],[Quantity]]*Table1[[#This Row],[Price]]*(1-Table1[[#This Row],[Discount %]]/100)</f>
        <v>66368</v>
      </c>
      <c r="X123">
        <f>Table1[[#This Row],[DeliveryDate]]-Table1[[#This Row],[OrderDate]]</f>
        <v>4</v>
      </c>
      <c r="Y123" t="str">
        <f>TEXT(Table1[[#This Row],[OrderDate]],"MMMM")</f>
        <v>August</v>
      </c>
      <c r="Z123" s="5">
        <f>YEAR(Table1[[#This Row],[OrderDate]])</f>
        <v>2024</v>
      </c>
    </row>
    <row r="124" spans="1:26" x14ac:dyDescent="0.3">
      <c r="A124" s="1" t="s">
        <v>659</v>
      </c>
      <c r="B124" t="s">
        <v>660</v>
      </c>
      <c r="C124" s="3">
        <v>21</v>
      </c>
      <c r="D124" s="1" t="s">
        <v>24</v>
      </c>
      <c r="E124" s="1" t="s">
        <v>131</v>
      </c>
      <c r="F124" s="1" t="s">
        <v>26</v>
      </c>
      <c r="G124" s="4">
        <v>45484</v>
      </c>
      <c r="H124" s="4">
        <v>45487</v>
      </c>
      <c r="I124" s="1" t="s">
        <v>93</v>
      </c>
      <c r="J124" s="1" t="s">
        <v>44</v>
      </c>
      <c r="K124" s="3">
        <v>3</v>
      </c>
      <c r="L124" s="2">
        <v>38204</v>
      </c>
      <c r="M124" s="3">
        <v>15</v>
      </c>
      <c r="N124" s="1" t="s">
        <v>45</v>
      </c>
      <c r="O124" s="1" t="s">
        <v>32</v>
      </c>
      <c r="P124" s="1" t="s">
        <v>174</v>
      </c>
      <c r="Q124" s="1" t="s">
        <v>662</v>
      </c>
      <c r="R124" s="1" t="s">
        <v>663</v>
      </c>
      <c r="S124" s="3">
        <v>2</v>
      </c>
      <c r="T124" s="1" t="s">
        <v>96</v>
      </c>
      <c r="U124" s="3">
        <v>184</v>
      </c>
      <c r="V124" s="1" t="s">
        <v>62</v>
      </c>
      <c r="W124" s="5">
        <f>Table1[[#This Row],[Quantity]]*Table1[[#This Row],[Price]]*(1-Table1[[#This Row],[Discount %]]/100)</f>
        <v>97420.2</v>
      </c>
      <c r="X124">
        <f>Table1[[#This Row],[DeliveryDate]]-Table1[[#This Row],[OrderDate]]</f>
        <v>3</v>
      </c>
      <c r="Y124" t="str">
        <f>TEXT(Table1[[#This Row],[OrderDate]],"MMMM")</f>
        <v>July</v>
      </c>
      <c r="Z124" s="5">
        <f>YEAR(Table1[[#This Row],[OrderDate]])</f>
        <v>2024</v>
      </c>
    </row>
    <row r="125" spans="1:26" x14ac:dyDescent="0.3">
      <c r="A125" s="1" t="s">
        <v>664</v>
      </c>
      <c r="B125" t="s">
        <v>471</v>
      </c>
      <c r="C125" s="3">
        <v>21</v>
      </c>
      <c r="D125" s="1" t="s">
        <v>24</v>
      </c>
      <c r="E125" s="1" t="s">
        <v>99</v>
      </c>
      <c r="F125" s="1" t="s">
        <v>91</v>
      </c>
      <c r="G125" s="4">
        <v>45485</v>
      </c>
      <c r="H125" s="4">
        <v>45491</v>
      </c>
      <c r="I125" s="1" t="s">
        <v>108</v>
      </c>
      <c r="J125" s="1" t="s">
        <v>30</v>
      </c>
      <c r="K125" s="3">
        <v>2</v>
      </c>
      <c r="L125" s="2">
        <v>20406</v>
      </c>
      <c r="M125" s="3">
        <v>5</v>
      </c>
      <c r="N125" s="1" t="s">
        <v>56</v>
      </c>
      <c r="O125" s="1" t="s">
        <v>109</v>
      </c>
      <c r="P125" s="1" t="s">
        <v>174</v>
      </c>
      <c r="Q125" s="1" t="s">
        <v>495</v>
      </c>
      <c r="R125" s="1" t="s">
        <v>668</v>
      </c>
      <c r="S125" s="3">
        <v>5</v>
      </c>
      <c r="T125" s="1" t="s">
        <v>96</v>
      </c>
      <c r="U125" s="3">
        <v>500</v>
      </c>
      <c r="V125" s="1" t="s">
        <v>79</v>
      </c>
      <c r="W125" s="5">
        <f>Table1[[#This Row],[Quantity]]*Table1[[#This Row],[Price]]*(1-Table1[[#This Row],[Discount %]]/100)</f>
        <v>38771.4</v>
      </c>
      <c r="X125">
        <f>Table1[[#This Row],[DeliveryDate]]-Table1[[#This Row],[OrderDate]]</f>
        <v>6</v>
      </c>
      <c r="Y125" t="str">
        <f>TEXT(Table1[[#This Row],[OrderDate]],"MMMM")</f>
        <v>July</v>
      </c>
      <c r="Z125" s="5">
        <f>YEAR(Table1[[#This Row],[OrderDate]])</f>
        <v>2024</v>
      </c>
    </row>
    <row r="126" spans="1:26" x14ac:dyDescent="0.3">
      <c r="A126" s="1" t="s">
        <v>669</v>
      </c>
      <c r="B126" t="s">
        <v>660</v>
      </c>
      <c r="C126" s="3">
        <v>35</v>
      </c>
      <c r="D126" s="1" t="s">
        <v>24</v>
      </c>
      <c r="E126" s="1" t="s">
        <v>131</v>
      </c>
      <c r="F126" s="1" t="s">
        <v>91</v>
      </c>
      <c r="G126" s="4">
        <v>44985</v>
      </c>
      <c r="H126" s="4">
        <v>44986</v>
      </c>
      <c r="I126" s="1" t="s">
        <v>77</v>
      </c>
      <c r="J126" s="1" t="s">
        <v>30</v>
      </c>
      <c r="K126" s="3">
        <v>1</v>
      </c>
      <c r="L126" s="2">
        <v>35905</v>
      </c>
      <c r="M126" s="3">
        <v>10</v>
      </c>
      <c r="N126" s="1" t="s">
        <v>56</v>
      </c>
      <c r="O126" s="1" t="s">
        <v>281</v>
      </c>
      <c r="P126" s="1" t="s">
        <v>174</v>
      </c>
      <c r="Q126" s="1" t="s">
        <v>3415</v>
      </c>
      <c r="R126" s="1" t="s">
        <v>672</v>
      </c>
      <c r="S126" s="3">
        <v>3</v>
      </c>
      <c r="T126" s="1" t="s">
        <v>61</v>
      </c>
      <c r="U126" s="3">
        <v>484</v>
      </c>
      <c r="V126" s="1" t="s">
        <v>37</v>
      </c>
      <c r="W126" s="5">
        <f>Table1[[#This Row],[Quantity]]*Table1[[#This Row],[Price]]*(1-Table1[[#This Row],[Discount %]]/100)</f>
        <v>32314.5</v>
      </c>
      <c r="X126">
        <f>Table1[[#This Row],[DeliveryDate]]-Table1[[#This Row],[OrderDate]]</f>
        <v>1</v>
      </c>
      <c r="Y126" t="str">
        <f>TEXT(Table1[[#This Row],[OrderDate]],"MMMM")</f>
        <v>February</v>
      </c>
      <c r="Z126" s="5">
        <f>YEAR(Table1[[#This Row],[OrderDate]])</f>
        <v>2023</v>
      </c>
    </row>
    <row r="127" spans="1:26" x14ac:dyDescent="0.3">
      <c r="A127" s="1" t="s">
        <v>673</v>
      </c>
      <c r="B127" t="s">
        <v>674</v>
      </c>
      <c r="C127" s="3">
        <v>38</v>
      </c>
      <c r="D127" s="1" t="s">
        <v>51</v>
      </c>
      <c r="E127" s="1" t="s">
        <v>229</v>
      </c>
      <c r="F127" s="1" t="s">
        <v>91</v>
      </c>
      <c r="G127" s="4">
        <v>45315</v>
      </c>
      <c r="H127" s="4">
        <v>45318</v>
      </c>
      <c r="I127" s="1" t="s">
        <v>85</v>
      </c>
      <c r="J127" s="1" t="s">
        <v>30</v>
      </c>
      <c r="K127" s="3">
        <v>5</v>
      </c>
      <c r="L127" s="2">
        <v>22423</v>
      </c>
      <c r="M127" s="3">
        <v>5</v>
      </c>
      <c r="N127" s="1" t="s">
        <v>45</v>
      </c>
      <c r="O127" s="1" t="s">
        <v>32</v>
      </c>
      <c r="P127" s="1" t="s">
        <v>58</v>
      </c>
      <c r="Q127" s="1" t="s">
        <v>677</v>
      </c>
      <c r="R127" s="1" t="s">
        <v>678</v>
      </c>
      <c r="S127" s="3">
        <v>1</v>
      </c>
      <c r="T127" s="1" t="s">
        <v>96</v>
      </c>
      <c r="U127" s="3">
        <v>301</v>
      </c>
      <c r="V127" s="1" t="s">
        <v>62</v>
      </c>
      <c r="W127" s="5">
        <f>Table1[[#This Row],[Quantity]]*Table1[[#This Row],[Price]]*(1-Table1[[#This Row],[Discount %]]/100)</f>
        <v>106509.25</v>
      </c>
      <c r="X127">
        <f>Table1[[#This Row],[DeliveryDate]]-Table1[[#This Row],[OrderDate]]</f>
        <v>3</v>
      </c>
      <c r="Y127" t="str">
        <f>TEXT(Table1[[#This Row],[OrderDate]],"MMMM")</f>
        <v>January</v>
      </c>
      <c r="Z127" s="5">
        <f>YEAR(Table1[[#This Row],[OrderDate]])</f>
        <v>2024</v>
      </c>
    </row>
    <row r="128" spans="1:26" x14ac:dyDescent="0.3">
      <c r="A128" s="1" t="s">
        <v>679</v>
      </c>
      <c r="B128" t="s">
        <v>344</v>
      </c>
      <c r="C128" s="3">
        <v>26</v>
      </c>
      <c r="D128" s="1" t="s">
        <v>51</v>
      </c>
      <c r="E128" s="1" t="s">
        <v>40</v>
      </c>
      <c r="F128" s="1" t="s">
        <v>91</v>
      </c>
      <c r="G128" s="4">
        <v>44974</v>
      </c>
      <c r="H128" s="4">
        <v>44977</v>
      </c>
      <c r="I128" s="1" t="s">
        <v>29</v>
      </c>
      <c r="J128" s="1" t="s">
        <v>30</v>
      </c>
      <c r="K128" s="3">
        <v>4</v>
      </c>
      <c r="L128" s="2">
        <v>41571</v>
      </c>
      <c r="M128" s="3">
        <v>5</v>
      </c>
      <c r="N128" s="1" t="s">
        <v>31</v>
      </c>
      <c r="O128" s="1" t="s">
        <v>86</v>
      </c>
      <c r="P128" s="1" t="s">
        <v>174</v>
      </c>
      <c r="Q128" s="1" t="s">
        <v>347</v>
      </c>
      <c r="R128" s="1" t="s">
        <v>682</v>
      </c>
      <c r="S128" s="3">
        <v>1</v>
      </c>
      <c r="T128" s="1" t="s">
        <v>36</v>
      </c>
      <c r="U128" s="3">
        <v>466</v>
      </c>
      <c r="V128" s="1" t="s">
        <v>79</v>
      </c>
      <c r="W128" s="5">
        <f>Table1[[#This Row],[Quantity]]*Table1[[#This Row],[Price]]*(1-Table1[[#This Row],[Discount %]]/100)</f>
        <v>157969.79999999999</v>
      </c>
      <c r="X128">
        <f>Table1[[#This Row],[DeliveryDate]]-Table1[[#This Row],[OrderDate]]</f>
        <v>3</v>
      </c>
      <c r="Y128" t="str">
        <f>TEXT(Table1[[#This Row],[OrderDate]],"MMMM")</f>
        <v>February</v>
      </c>
      <c r="Z128" s="5">
        <f>YEAR(Table1[[#This Row],[OrderDate]])</f>
        <v>2023</v>
      </c>
    </row>
    <row r="129" spans="1:26" x14ac:dyDescent="0.3">
      <c r="A129" s="1" t="s">
        <v>683</v>
      </c>
      <c r="B129" t="s">
        <v>684</v>
      </c>
      <c r="C129" s="3">
        <v>22</v>
      </c>
      <c r="D129" s="1" t="s">
        <v>24</v>
      </c>
      <c r="E129" s="1" t="s">
        <v>52</v>
      </c>
      <c r="F129" s="1" t="s">
        <v>65</v>
      </c>
      <c r="G129" s="4">
        <v>45437</v>
      </c>
      <c r="H129" s="4">
        <v>45440</v>
      </c>
      <c r="I129" s="1" t="s">
        <v>43</v>
      </c>
      <c r="J129" s="1" t="s">
        <v>44</v>
      </c>
      <c r="K129" s="3">
        <v>1</v>
      </c>
      <c r="L129" s="2">
        <v>63863</v>
      </c>
      <c r="M129" s="3">
        <v>10</v>
      </c>
      <c r="N129" s="1" t="s">
        <v>56</v>
      </c>
      <c r="O129" s="1" t="s">
        <v>86</v>
      </c>
      <c r="P129" s="1" t="s">
        <v>58</v>
      </c>
      <c r="Q129" s="1" t="s">
        <v>3415</v>
      </c>
      <c r="R129" s="1" t="s">
        <v>687</v>
      </c>
      <c r="S129" s="3">
        <v>3</v>
      </c>
      <c r="T129" s="1" t="s">
        <v>72</v>
      </c>
      <c r="U129" s="3">
        <v>452</v>
      </c>
      <c r="V129" s="1" t="s">
        <v>37</v>
      </c>
      <c r="W129" s="5">
        <f>Table1[[#This Row],[Quantity]]*Table1[[#This Row],[Price]]*(1-Table1[[#This Row],[Discount %]]/100)</f>
        <v>57476.700000000004</v>
      </c>
      <c r="X129">
        <f>Table1[[#This Row],[DeliveryDate]]-Table1[[#This Row],[OrderDate]]</f>
        <v>3</v>
      </c>
      <c r="Y129" t="str">
        <f>TEXT(Table1[[#This Row],[OrderDate]],"MMMM")</f>
        <v>May</v>
      </c>
      <c r="Z129" s="5">
        <f>YEAR(Table1[[#This Row],[OrderDate]])</f>
        <v>2024</v>
      </c>
    </row>
    <row r="130" spans="1:26" x14ac:dyDescent="0.3">
      <c r="A130" s="1" t="s">
        <v>688</v>
      </c>
      <c r="B130" t="s">
        <v>689</v>
      </c>
      <c r="C130" s="3">
        <v>44</v>
      </c>
      <c r="D130" s="1" t="s">
        <v>51</v>
      </c>
      <c r="E130" s="1" t="s">
        <v>52</v>
      </c>
      <c r="F130" s="1" t="s">
        <v>91</v>
      </c>
      <c r="G130" s="4">
        <v>45153</v>
      </c>
      <c r="H130" s="4">
        <v>45158</v>
      </c>
      <c r="I130" s="1" t="s">
        <v>77</v>
      </c>
      <c r="J130" s="1" t="s">
        <v>44</v>
      </c>
      <c r="K130" s="3">
        <v>1</v>
      </c>
      <c r="L130" s="2">
        <v>11647</v>
      </c>
      <c r="M130" s="3">
        <v>10</v>
      </c>
      <c r="N130" s="1" t="s">
        <v>31</v>
      </c>
      <c r="O130" s="1" t="s">
        <v>281</v>
      </c>
      <c r="P130" s="1" t="s">
        <v>69</v>
      </c>
      <c r="Q130" s="1" t="s">
        <v>3415</v>
      </c>
      <c r="R130" s="1" t="s">
        <v>692</v>
      </c>
      <c r="S130" s="3">
        <v>2</v>
      </c>
      <c r="T130" s="1" t="s">
        <v>36</v>
      </c>
      <c r="U130" s="3">
        <v>389</v>
      </c>
      <c r="V130" s="1" t="s">
        <v>79</v>
      </c>
      <c r="W130" s="5">
        <f>Table1[[#This Row],[Quantity]]*Table1[[#This Row],[Price]]*(1-Table1[[#This Row],[Discount %]]/100)</f>
        <v>10482.300000000001</v>
      </c>
      <c r="X130">
        <f>Table1[[#This Row],[DeliveryDate]]-Table1[[#This Row],[OrderDate]]</f>
        <v>5</v>
      </c>
      <c r="Y130" t="str">
        <f>TEXT(Table1[[#This Row],[OrderDate]],"MMMM")</f>
        <v>August</v>
      </c>
      <c r="Z130" s="5">
        <f>YEAR(Table1[[#This Row],[OrderDate]])</f>
        <v>2023</v>
      </c>
    </row>
    <row r="131" spans="1:26" x14ac:dyDescent="0.3">
      <c r="A131" s="1" t="s">
        <v>693</v>
      </c>
      <c r="B131" t="s">
        <v>119</v>
      </c>
      <c r="C131" s="3">
        <v>28</v>
      </c>
      <c r="D131" s="1" t="s">
        <v>51</v>
      </c>
      <c r="E131" s="1" t="s">
        <v>131</v>
      </c>
      <c r="F131" s="1" t="s">
        <v>26</v>
      </c>
      <c r="G131" s="4">
        <v>45143</v>
      </c>
      <c r="H131" s="4">
        <v>45153</v>
      </c>
      <c r="I131" s="1" t="s">
        <v>77</v>
      </c>
      <c r="J131" s="1" t="s">
        <v>44</v>
      </c>
      <c r="K131" s="3">
        <v>1</v>
      </c>
      <c r="L131" s="2">
        <v>68707</v>
      </c>
      <c r="M131" s="3">
        <v>0</v>
      </c>
      <c r="N131" s="1" t="s">
        <v>56</v>
      </c>
      <c r="O131" s="1" t="s">
        <v>133</v>
      </c>
      <c r="P131" s="1" t="s">
        <v>58</v>
      </c>
      <c r="Q131" s="1" t="s">
        <v>122</v>
      </c>
      <c r="R131" s="1" t="s">
        <v>694</v>
      </c>
      <c r="S131" s="3">
        <v>3</v>
      </c>
      <c r="T131" s="1" t="s">
        <v>72</v>
      </c>
      <c r="U131" s="3">
        <v>248</v>
      </c>
      <c r="V131" s="1" t="s">
        <v>37</v>
      </c>
      <c r="W131" s="5">
        <f>Table1[[#This Row],[Quantity]]*Table1[[#This Row],[Price]]*(1-Table1[[#This Row],[Discount %]]/100)</f>
        <v>68707</v>
      </c>
      <c r="X131">
        <f>Table1[[#This Row],[DeliveryDate]]-Table1[[#This Row],[OrderDate]]</f>
        <v>10</v>
      </c>
      <c r="Y131" t="str">
        <f>TEXT(Table1[[#This Row],[OrderDate]],"MMMM")</f>
        <v>August</v>
      </c>
      <c r="Z131" s="5">
        <f>YEAR(Table1[[#This Row],[OrderDate]])</f>
        <v>2023</v>
      </c>
    </row>
    <row r="132" spans="1:26" x14ac:dyDescent="0.3">
      <c r="A132" s="1" t="s">
        <v>695</v>
      </c>
      <c r="B132" t="s">
        <v>64</v>
      </c>
      <c r="C132" s="3">
        <v>36</v>
      </c>
      <c r="D132" s="1" t="s">
        <v>24</v>
      </c>
      <c r="E132" s="1" t="s">
        <v>40</v>
      </c>
      <c r="F132" s="1" t="s">
        <v>82</v>
      </c>
      <c r="G132" s="4">
        <v>45153</v>
      </c>
      <c r="H132" s="4">
        <v>45157</v>
      </c>
      <c r="I132" s="1" t="s">
        <v>77</v>
      </c>
      <c r="J132" s="1" t="s">
        <v>30</v>
      </c>
      <c r="K132" s="3">
        <v>3</v>
      </c>
      <c r="L132" s="2">
        <v>30176</v>
      </c>
      <c r="M132" s="3">
        <v>10</v>
      </c>
      <c r="N132" s="1" t="s">
        <v>166</v>
      </c>
      <c r="O132" s="1" t="s">
        <v>109</v>
      </c>
      <c r="P132" s="1" t="s">
        <v>58</v>
      </c>
      <c r="Q132" s="1" t="s">
        <v>70</v>
      </c>
      <c r="R132" s="1" t="s">
        <v>697</v>
      </c>
      <c r="S132" s="3">
        <v>1</v>
      </c>
      <c r="T132" s="1" t="s">
        <v>72</v>
      </c>
      <c r="U132" s="3">
        <v>86</v>
      </c>
      <c r="V132" s="1" t="s">
        <v>79</v>
      </c>
      <c r="W132" s="5">
        <f>Table1[[#This Row],[Quantity]]*Table1[[#This Row],[Price]]*(1-Table1[[#This Row],[Discount %]]/100)</f>
        <v>81475.199999999997</v>
      </c>
      <c r="X132">
        <f>Table1[[#This Row],[DeliveryDate]]-Table1[[#This Row],[OrderDate]]</f>
        <v>4</v>
      </c>
      <c r="Y132" t="str">
        <f>TEXT(Table1[[#This Row],[OrderDate]],"MMMM")</f>
        <v>August</v>
      </c>
      <c r="Z132" s="5">
        <f>YEAR(Table1[[#This Row],[OrderDate]])</f>
        <v>2023</v>
      </c>
    </row>
    <row r="133" spans="1:26" x14ac:dyDescent="0.3">
      <c r="A133" s="1" t="s">
        <v>698</v>
      </c>
      <c r="B133" t="s">
        <v>141</v>
      </c>
      <c r="C133" s="3">
        <v>18</v>
      </c>
      <c r="D133" s="1" t="s">
        <v>24</v>
      </c>
      <c r="E133" s="1" t="s">
        <v>25</v>
      </c>
      <c r="F133" s="1" t="s">
        <v>91</v>
      </c>
      <c r="G133" s="4">
        <v>45258</v>
      </c>
      <c r="H133" s="4">
        <v>45263</v>
      </c>
      <c r="I133" s="1" t="s">
        <v>85</v>
      </c>
      <c r="J133" s="1" t="s">
        <v>30</v>
      </c>
      <c r="K133" s="3">
        <v>3</v>
      </c>
      <c r="L133" s="2">
        <v>24434</v>
      </c>
      <c r="M133" s="3">
        <v>5</v>
      </c>
      <c r="N133" s="1" t="s">
        <v>166</v>
      </c>
      <c r="O133" s="1" t="s">
        <v>86</v>
      </c>
      <c r="P133" s="1" t="s">
        <v>174</v>
      </c>
      <c r="Q133" s="1" t="s">
        <v>144</v>
      </c>
      <c r="R133" s="1" t="s">
        <v>3415</v>
      </c>
      <c r="S133" s="3">
        <v>3</v>
      </c>
      <c r="T133" s="1" t="s">
        <v>36</v>
      </c>
      <c r="U133" s="3">
        <v>227</v>
      </c>
      <c r="V133" s="1" t="s">
        <v>62</v>
      </c>
      <c r="W133" s="5">
        <f>Table1[[#This Row],[Quantity]]*Table1[[#This Row],[Price]]*(1-Table1[[#This Row],[Discount %]]/100)</f>
        <v>69636.899999999994</v>
      </c>
      <c r="X133">
        <f>Table1[[#This Row],[DeliveryDate]]-Table1[[#This Row],[OrderDate]]</f>
        <v>5</v>
      </c>
      <c r="Y133" t="str">
        <f>TEXT(Table1[[#This Row],[OrderDate]],"MMMM")</f>
        <v>November</v>
      </c>
      <c r="Z133" s="5">
        <f>YEAR(Table1[[#This Row],[OrderDate]])</f>
        <v>2023</v>
      </c>
    </row>
    <row r="134" spans="1:26" x14ac:dyDescent="0.3">
      <c r="A134" s="1" t="s">
        <v>701</v>
      </c>
      <c r="B134" t="s">
        <v>702</v>
      </c>
      <c r="C134" s="3">
        <v>57</v>
      </c>
      <c r="D134" s="1" t="s">
        <v>24</v>
      </c>
      <c r="E134" s="1" t="s">
        <v>26</v>
      </c>
      <c r="F134" s="1" t="s">
        <v>26</v>
      </c>
      <c r="G134" s="4">
        <v>45273</v>
      </c>
      <c r="H134" s="4">
        <v>45274</v>
      </c>
      <c r="I134" s="1" t="s">
        <v>85</v>
      </c>
      <c r="J134" s="1" t="s">
        <v>44</v>
      </c>
      <c r="K134" s="3">
        <v>5</v>
      </c>
      <c r="L134" s="2">
        <v>32579</v>
      </c>
      <c r="M134" s="3">
        <v>0</v>
      </c>
      <c r="N134" s="1" t="s">
        <v>31</v>
      </c>
      <c r="O134" s="1" t="s">
        <v>133</v>
      </c>
      <c r="P134" s="1" t="s">
        <v>33</v>
      </c>
      <c r="Q134" s="1" t="s">
        <v>3415</v>
      </c>
      <c r="R134" s="1" t="s">
        <v>705</v>
      </c>
      <c r="S134" s="3">
        <v>4</v>
      </c>
      <c r="T134" s="1" t="s">
        <v>61</v>
      </c>
      <c r="U134" s="3">
        <v>436</v>
      </c>
      <c r="V134" s="1" t="s">
        <v>79</v>
      </c>
      <c r="W134" s="5">
        <f>Table1[[#This Row],[Quantity]]*Table1[[#This Row],[Price]]*(1-Table1[[#This Row],[Discount %]]/100)</f>
        <v>162895</v>
      </c>
      <c r="X134">
        <f>Table1[[#This Row],[DeliveryDate]]-Table1[[#This Row],[OrderDate]]</f>
        <v>1</v>
      </c>
      <c r="Y134" t="str">
        <f>TEXT(Table1[[#This Row],[OrderDate]],"MMMM")</f>
        <v>December</v>
      </c>
      <c r="Z134" s="5">
        <f>YEAR(Table1[[#This Row],[OrderDate]])</f>
        <v>2023</v>
      </c>
    </row>
    <row r="135" spans="1:26" x14ac:dyDescent="0.3">
      <c r="A135" s="1" t="s">
        <v>706</v>
      </c>
      <c r="B135" t="s">
        <v>707</v>
      </c>
      <c r="C135" s="3">
        <v>46</v>
      </c>
      <c r="D135" s="1" t="s">
        <v>24</v>
      </c>
      <c r="E135" s="1" t="s">
        <v>229</v>
      </c>
      <c r="F135" s="1" t="s">
        <v>82</v>
      </c>
      <c r="G135" s="4">
        <v>45356</v>
      </c>
      <c r="H135" s="4">
        <v>45366</v>
      </c>
      <c r="I135" s="1" t="s">
        <v>93</v>
      </c>
      <c r="J135" s="1" t="s">
        <v>44</v>
      </c>
      <c r="K135" s="3">
        <v>3</v>
      </c>
      <c r="L135" s="2">
        <v>68790</v>
      </c>
      <c r="M135" s="3">
        <v>15</v>
      </c>
      <c r="N135" s="1" t="s">
        <v>166</v>
      </c>
      <c r="O135" s="1" t="s">
        <v>46</v>
      </c>
      <c r="P135" s="1" t="s">
        <v>69</v>
      </c>
      <c r="Q135" s="1" t="s">
        <v>709</v>
      </c>
      <c r="R135" s="1" t="s">
        <v>710</v>
      </c>
      <c r="S135" s="3">
        <v>3</v>
      </c>
      <c r="T135" s="1" t="s">
        <v>36</v>
      </c>
      <c r="U135" s="3">
        <v>292</v>
      </c>
      <c r="V135" s="1" t="s">
        <v>62</v>
      </c>
      <c r="W135" s="5">
        <f>Table1[[#This Row],[Quantity]]*Table1[[#This Row],[Price]]*(1-Table1[[#This Row],[Discount %]]/100)</f>
        <v>175414.5</v>
      </c>
      <c r="X135">
        <f>Table1[[#This Row],[DeliveryDate]]-Table1[[#This Row],[OrderDate]]</f>
        <v>10</v>
      </c>
      <c r="Y135" t="str">
        <f>TEXT(Table1[[#This Row],[OrderDate]],"MMMM")</f>
        <v>March</v>
      </c>
      <c r="Z135" s="5">
        <f>YEAR(Table1[[#This Row],[OrderDate]])</f>
        <v>2024</v>
      </c>
    </row>
    <row r="136" spans="1:26" x14ac:dyDescent="0.3">
      <c r="A136" s="1" t="s">
        <v>711</v>
      </c>
      <c r="B136" t="s">
        <v>707</v>
      </c>
      <c r="C136" s="3">
        <v>28</v>
      </c>
      <c r="D136" s="1" t="s">
        <v>51</v>
      </c>
      <c r="E136" s="1" t="s">
        <v>52</v>
      </c>
      <c r="F136" s="1" t="s">
        <v>82</v>
      </c>
      <c r="G136" s="4">
        <v>45484</v>
      </c>
      <c r="H136" s="4">
        <v>45488</v>
      </c>
      <c r="I136" s="1" t="s">
        <v>93</v>
      </c>
      <c r="J136" s="1" t="s">
        <v>30</v>
      </c>
      <c r="K136" s="3">
        <v>1</v>
      </c>
      <c r="L136" s="2">
        <v>39484</v>
      </c>
      <c r="M136" s="3">
        <v>5</v>
      </c>
      <c r="N136" s="1" t="s">
        <v>166</v>
      </c>
      <c r="O136" s="1" t="s">
        <v>86</v>
      </c>
      <c r="P136" s="1" t="s">
        <v>69</v>
      </c>
      <c r="Q136" s="1" t="s">
        <v>709</v>
      </c>
      <c r="R136" s="1" t="s">
        <v>713</v>
      </c>
      <c r="S136" s="3">
        <v>4</v>
      </c>
      <c r="T136" s="1" t="s">
        <v>96</v>
      </c>
      <c r="U136" s="3">
        <v>66</v>
      </c>
      <c r="V136" s="1" t="s">
        <v>37</v>
      </c>
      <c r="W136" s="5">
        <f>Table1[[#This Row],[Quantity]]*Table1[[#This Row],[Price]]*(1-Table1[[#This Row],[Discount %]]/100)</f>
        <v>37509.799999999996</v>
      </c>
      <c r="X136">
        <f>Table1[[#This Row],[DeliveryDate]]-Table1[[#This Row],[OrderDate]]</f>
        <v>4</v>
      </c>
      <c r="Y136" t="str">
        <f>TEXT(Table1[[#This Row],[OrderDate]],"MMMM")</f>
        <v>July</v>
      </c>
      <c r="Z136" s="5">
        <f>YEAR(Table1[[#This Row],[OrderDate]])</f>
        <v>2024</v>
      </c>
    </row>
    <row r="137" spans="1:26" x14ac:dyDescent="0.3">
      <c r="A137" s="1" t="s">
        <v>714</v>
      </c>
      <c r="B137" t="s">
        <v>484</v>
      </c>
      <c r="C137" s="3">
        <v>31</v>
      </c>
      <c r="D137" s="1" t="s">
        <v>24</v>
      </c>
      <c r="E137" s="1" t="s">
        <v>40</v>
      </c>
      <c r="F137" s="1" t="s">
        <v>82</v>
      </c>
      <c r="G137" s="4">
        <v>45010</v>
      </c>
      <c r="H137" s="4">
        <v>45016</v>
      </c>
      <c r="I137" s="1" t="s">
        <v>29</v>
      </c>
      <c r="J137" s="1" t="s">
        <v>44</v>
      </c>
      <c r="K137" s="3">
        <v>4</v>
      </c>
      <c r="L137" s="2">
        <v>58755</v>
      </c>
      <c r="M137" s="3">
        <v>5</v>
      </c>
      <c r="N137" s="1" t="s">
        <v>31</v>
      </c>
      <c r="O137" s="1" t="s">
        <v>173</v>
      </c>
      <c r="P137" s="1" t="s">
        <v>58</v>
      </c>
      <c r="Q137" s="1" t="s">
        <v>487</v>
      </c>
      <c r="R137" s="1" t="s">
        <v>717</v>
      </c>
      <c r="S137" s="3">
        <v>2</v>
      </c>
      <c r="T137" s="1" t="s">
        <v>36</v>
      </c>
      <c r="U137" s="3">
        <v>88</v>
      </c>
      <c r="V137" s="1" t="s">
        <v>62</v>
      </c>
      <c r="W137" s="5">
        <f>Table1[[#This Row],[Quantity]]*Table1[[#This Row],[Price]]*(1-Table1[[#This Row],[Discount %]]/100)</f>
        <v>223269</v>
      </c>
      <c r="X137">
        <f>Table1[[#This Row],[DeliveryDate]]-Table1[[#This Row],[OrderDate]]</f>
        <v>6</v>
      </c>
      <c r="Y137" t="str">
        <f>TEXT(Table1[[#This Row],[OrderDate]],"MMMM")</f>
        <v>March</v>
      </c>
      <c r="Z137" s="5">
        <f>YEAR(Table1[[#This Row],[OrderDate]])</f>
        <v>2023</v>
      </c>
    </row>
    <row r="138" spans="1:26" x14ac:dyDescent="0.3">
      <c r="A138" s="1" t="s">
        <v>718</v>
      </c>
      <c r="B138" t="s">
        <v>606</v>
      </c>
      <c r="C138" s="3">
        <v>39</v>
      </c>
      <c r="D138" s="1" t="s">
        <v>24</v>
      </c>
      <c r="E138" s="1" t="s">
        <v>26</v>
      </c>
      <c r="F138" s="1" t="s">
        <v>65</v>
      </c>
      <c r="G138" s="4">
        <v>44961</v>
      </c>
      <c r="H138" s="4">
        <v>44967</v>
      </c>
      <c r="I138" s="1" t="s">
        <v>77</v>
      </c>
      <c r="J138" s="1" t="s">
        <v>30</v>
      </c>
      <c r="K138" s="3">
        <v>3</v>
      </c>
      <c r="L138" s="2">
        <v>33174</v>
      </c>
      <c r="M138" s="3">
        <v>10</v>
      </c>
      <c r="N138" s="1" t="s">
        <v>45</v>
      </c>
      <c r="O138" s="1" t="s">
        <v>68</v>
      </c>
      <c r="P138" s="1" t="s">
        <v>33</v>
      </c>
      <c r="Q138" s="1" t="s">
        <v>608</v>
      </c>
      <c r="R138" s="1" t="s">
        <v>721</v>
      </c>
      <c r="S138" s="3">
        <v>2</v>
      </c>
      <c r="T138" s="1" t="s">
        <v>72</v>
      </c>
      <c r="U138" s="3">
        <v>214</v>
      </c>
      <c r="V138" s="1" t="s">
        <v>79</v>
      </c>
      <c r="W138" s="5">
        <f>Table1[[#This Row],[Quantity]]*Table1[[#This Row],[Price]]*(1-Table1[[#This Row],[Discount %]]/100)</f>
        <v>89569.8</v>
      </c>
      <c r="X138">
        <f>Table1[[#This Row],[DeliveryDate]]-Table1[[#This Row],[OrderDate]]</f>
        <v>6</v>
      </c>
      <c r="Y138" t="str">
        <f>TEXT(Table1[[#This Row],[OrderDate]],"MMMM")</f>
        <v>February</v>
      </c>
      <c r="Z138" s="5">
        <f>YEAR(Table1[[#This Row],[OrderDate]])</f>
        <v>2023</v>
      </c>
    </row>
    <row r="139" spans="1:26" x14ac:dyDescent="0.3">
      <c r="A139" s="1" t="s">
        <v>722</v>
      </c>
      <c r="B139" t="s">
        <v>216</v>
      </c>
      <c r="C139" s="3">
        <v>29</v>
      </c>
      <c r="D139" s="1" t="s">
        <v>24</v>
      </c>
      <c r="E139" s="1" t="s">
        <v>52</v>
      </c>
      <c r="F139" s="1" t="s">
        <v>26</v>
      </c>
      <c r="G139" s="4">
        <v>45443</v>
      </c>
      <c r="H139" s="4">
        <v>45452</v>
      </c>
      <c r="I139" s="1" t="s">
        <v>77</v>
      </c>
      <c r="J139" s="1" t="s">
        <v>30</v>
      </c>
      <c r="K139" s="3">
        <v>3</v>
      </c>
      <c r="L139" s="2">
        <v>46369</v>
      </c>
      <c r="M139" s="3">
        <v>0</v>
      </c>
      <c r="N139" s="1" t="s">
        <v>56</v>
      </c>
      <c r="O139" s="1" t="s">
        <v>86</v>
      </c>
      <c r="P139" s="1" t="s">
        <v>33</v>
      </c>
      <c r="Q139" s="1" t="s">
        <v>219</v>
      </c>
      <c r="R139" s="1" t="s">
        <v>725</v>
      </c>
      <c r="S139" s="3">
        <v>4</v>
      </c>
      <c r="T139" s="1" t="s">
        <v>36</v>
      </c>
      <c r="U139" s="3">
        <v>259</v>
      </c>
      <c r="V139" s="1" t="s">
        <v>62</v>
      </c>
      <c r="W139" s="5">
        <f>Table1[[#This Row],[Quantity]]*Table1[[#This Row],[Price]]*(1-Table1[[#This Row],[Discount %]]/100)</f>
        <v>139107</v>
      </c>
      <c r="X139">
        <f>Table1[[#This Row],[DeliveryDate]]-Table1[[#This Row],[OrderDate]]</f>
        <v>9</v>
      </c>
      <c r="Y139" t="str">
        <f>TEXT(Table1[[#This Row],[OrderDate]],"MMMM")</f>
        <v>May</v>
      </c>
      <c r="Z139" s="5">
        <f>YEAR(Table1[[#This Row],[OrderDate]])</f>
        <v>2024</v>
      </c>
    </row>
    <row r="140" spans="1:26" x14ac:dyDescent="0.3">
      <c r="A140" s="1" t="s">
        <v>726</v>
      </c>
      <c r="B140" t="s">
        <v>461</v>
      </c>
      <c r="C140" s="3">
        <v>20</v>
      </c>
      <c r="D140" s="1" t="s">
        <v>24</v>
      </c>
      <c r="E140" s="1" t="s">
        <v>25</v>
      </c>
      <c r="F140" s="1" t="s">
        <v>91</v>
      </c>
      <c r="G140" s="4">
        <v>45216</v>
      </c>
      <c r="H140" s="4">
        <v>45217</v>
      </c>
      <c r="I140" s="1" t="s">
        <v>108</v>
      </c>
      <c r="J140" s="1" t="s">
        <v>44</v>
      </c>
      <c r="K140" s="3">
        <v>4</v>
      </c>
      <c r="L140" s="2">
        <v>34042</v>
      </c>
      <c r="M140" s="3">
        <v>15</v>
      </c>
      <c r="N140" s="1" t="s">
        <v>166</v>
      </c>
      <c r="O140" s="1" t="s">
        <v>57</v>
      </c>
      <c r="P140" s="1" t="s">
        <v>58</v>
      </c>
      <c r="Q140" s="1" t="s">
        <v>563</v>
      </c>
      <c r="R140" s="1" t="s">
        <v>3415</v>
      </c>
      <c r="S140" s="3">
        <v>5</v>
      </c>
      <c r="T140" s="1" t="s">
        <v>36</v>
      </c>
      <c r="U140" s="3">
        <v>241</v>
      </c>
      <c r="V140" s="1" t="s">
        <v>79</v>
      </c>
      <c r="W140" s="5">
        <f>Table1[[#This Row],[Quantity]]*Table1[[#This Row],[Price]]*(1-Table1[[#This Row],[Discount %]]/100)</f>
        <v>115742.8</v>
      </c>
      <c r="X140">
        <f>Table1[[#This Row],[DeliveryDate]]-Table1[[#This Row],[OrderDate]]</f>
        <v>1</v>
      </c>
      <c r="Y140" t="str">
        <f>TEXT(Table1[[#This Row],[OrderDate]],"MMMM")</f>
        <v>October</v>
      </c>
      <c r="Z140" s="5">
        <f>YEAR(Table1[[#This Row],[OrderDate]])</f>
        <v>2023</v>
      </c>
    </row>
    <row r="141" spans="1:26" x14ac:dyDescent="0.3">
      <c r="A141" s="1" t="s">
        <v>728</v>
      </c>
      <c r="B141" t="s">
        <v>729</v>
      </c>
      <c r="C141" s="3">
        <v>60</v>
      </c>
      <c r="D141" s="1" t="s">
        <v>24</v>
      </c>
      <c r="E141" s="1" t="s">
        <v>142</v>
      </c>
      <c r="F141" s="1" t="s">
        <v>91</v>
      </c>
      <c r="G141" s="4">
        <v>45071</v>
      </c>
      <c r="H141" s="4">
        <v>45074</v>
      </c>
      <c r="I141" s="1" t="s">
        <v>108</v>
      </c>
      <c r="J141" s="1" t="s">
        <v>44</v>
      </c>
      <c r="K141" s="3">
        <v>1</v>
      </c>
      <c r="L141" s="2">
        <v>26945</v>
      </c>
      <c r="M141" s="3">
        <v>15</v>
      </c>
      <c r="N141" s="1" t="s">
        <v>45</v>
      </c>
      <c r="O141" s="1" t="s">
        <v>281</v>
      </c>
      <c r="P141" s="1" t="s">
        <v>58</v>
      </c>
      <c r="Q141" s="1" t="s">
        <v>732</v>
      </c>
      <c r="R141" s="1" t="s">
        <v>733</v>
      </c>
      <c r="S141" s="3">
        <v>2</v>
      </c>
      <c r="T141" s="1" t="s">
        <v>72</v>
      </c>
      <c r="U141" s="3">
        <v>75</v>
      </c>
      <c r="V141" s="1" t="s">
        <v>79</v>
      </c>
      <c r="W141" s="5">
        <f>Table1[[#This Row],[Quantity]]*Table1[[#This Row],[Price]]*(1-Table1[[#This Row],[Discount %]]/100)</f>
        <v>22903.25</v>
      </c>
      <c r="X141">
        <f>Table1[[#This Row],[DeliveryDate]]-Table1[[#This Row],[OrderDate]]</f>
        <v>3</v>
      </c>
      <c r="Y141" t="str">
        <f>TEXT(Table1[[#This Row],[OrderDate]],"MMMM")</f>
        <v>May</v>
      </c>
      <c r="Z141" s="5">
        <f>YEAR(Table1[[#This Row],[OrderDate]])</f>
        <v>2023</v>
      </c>
    </row>
    <row r="142" spans="1:26" x14ac:dyDescent="0.3">
      <c r="A142" s="1" t="s">
        <v>734</v>
      </c>
      <c r="B142" t="s">
        <v>589</v>
      </c>
      <c r="C142" s="3">
        <v>60</v>
      </c>
      <c r="D142" s="1" t="s">
        <v>51</v>
      </c>
      <c r="E142" s="1" t="s">
        <v>25</v>
      </c>
      <c r="F142" s="1" t="s">
        <v>26</v>
      </c>
      <c r="G142" s="4">
        <v>45316</v>
      </c>
      <c r="H142" s="4">
        <v>45324</v>
      </c>
      <c r="I142" s="1" t="s">
        <v>77</v>
      </c>
      <c r="J142" s="1" t="s">
        <v>30</v>
      </c>
      <c r="K142" s="3">
        <v>2</v>
      </c>
      <c r="L142" s="2">
        <v>69095</v>
      </c>
      <c r="M142" s="3">
        <v>15</v>
      </c>
      <c r="N142" s="1" t="s">
        <v>166</v>
      </c>
      <c r="O142" s="1" t="s">
        <v>109</v>
      </c>
      <c r="P142" s="1" t="s">
        <v>69</v>
      </c>
      <c r="Q142" s="1" t="s">
        <v>591</v>
      </c>
      <c r="R142" s="1" t="s">
        <v>737</v>
      </c>
      <c r="S142" s="3">
        <v>1</v>
      </c>
      <c r="T142" s="1" t="s">
        <v>36</v>
      </c>
      <c r="U142" s="3">
        <v>468</v>
      </c>
      <c r="V142" s="1" t="s">
        <v>37</v>
      </c>
      <c r="W142" s="5">
        <f>Table1[[#This Row],[Quantity]]*Table1[[#This Row],[Price]]*(1-Table1[[#This Row],[Discount %]]/100)</f>
        <v>117461.5</v>
      </c>
      <c r="X142">
        <f>Table1[[#This Row],[DeliveryDate]]-Table1[[#This Row],[OrderDate]]</f>
        <v>8</v>
      </c>
      <c r="Y142" t="str">
        <f>TEXT(Table1[[#This Row],[OrderDate]],"MMMM")</f>
        <v>January</v>
      </c>
      <c r="Z142" s="5">
        <f>YEAR(Table1[[#This Row],[OrderDate]])</f>
        <v>2024</v>
      </c>
    </row>
    <row r="143" spans="1:26" x14ac:dyDescent="0.3">
      <c r="A143" s="1" t="s">
        <v>738</v>
      </c>
      <c r="B143" t="s">
        <v>601</v>
      </c>
      <c r="C143" s="3">
        <v>59</v>
      </c>
      <c r="D143" s="1" t="s">
        <v>51</v>
      </c>
      <c r="E143" s="1" t="s">
        <v>229</v>
      </c>
      <c r="F143" s="1" t="s">
        <v>26</v>
      </c>
      <c r="G143" s="4">
        <v>45458</v>
      </c>
      <c r="H143" s="4">
        <v>45463</v>
      </c>
      <c r="I143" s="1" t="s">
        <v>29</v>
      </c>
      <c r="J143" s="1" t="s">
        <v>44</v>
      </c>
      <c r="K143" s="3">
        <v>3</v>
      </c>
      <c r="L143" s="2">
        <v>49476</v>
      </c>
      <c r="M143" s="3">
        <v>5</v>
      </c>
      <c r="N143" s="1" t="s">
        <v>56</v>
      </c>
      <c r="O143" s="1" t="s">
        <v>281</v>
      </c>
      <c r="P143" s="1" t="s">
        <v>174</v>
      </c>
      <c r="Q143" s="1" t="s">
        <v>603</v>
      </c>
      <c r="R143" s="1" t="s">
        <v>741</v>
      </c>
      <c r="S143" s="3">
        <v>4</v>
      </c>
      <c r="T143" s="1" t="s">
        <v>36</v>
      </c>
      <c r="U143" s="3">
        <v>439</v>
      </c>
      <c r="V143" s="1" t="s">
        <v>37</v>
      </c>
      <c r="W143" s="5">
        <f>Table1[[#This Row],[Quantity]]*Table1[[#This Row],[Price]]*(1-Table1[[#This Row],[Discount %]]/100)</f>
        <v>141006.6</v>
      </c>
      <c r="X143">
        <f>Table1[[#This Row],[DeliveryDate]]-Table1[[#This Row],[OrderDate]]</f>
        <v>5</v>
      </c>
      <c r="Y143" t="str">
        <f>TEXT(Table1[[#This Row],[OrderDate]],"MMMM")</f>
        <v>June</v>
      </c>
      <c r="Z143" s="5">
        <f>YEAR(Table1[[#This Row],[OrderDate]])</f>
        <v>2024</v>
      </c>
    </row>
    <row r="144" spans="1:26" x14ac:dyDescent="0.3">
      <c r="A144" s="1" t="s">
        <v>742</v>
      </c>
      <c r="B144" t="s">
        <v>527</v>
      </c>
      <c r="C144" s="3">
        <v>31</v>
      </c>
      <c r="D144" s="1" t="s">
        <v>24</v>
      </c>
      <c r="E144" s="1" t="s">
        <v>131</v>
      </c>
      <c r="F144" s="1" t="s">
        <v>26</v>
      </c>
      <c r="G144" s="4">
        <v>45052</v>
      </c>
      <c r="H144" s="4">
        <v>45059</v>
      </c>
      <c r="I144" s="1" t="s">
        <v>77</v>
      </c>
      <c r="J144" s="1" t="s">
        <v>44</v>
      </c>
      <c r="K144" s="3">
        <v>4</v>
      </c>
      <c r="L144" s="2">
        <v>26267</v>
      </c>
      <c r="M144" s="3">
        <v>0</v>
      </c>
      <c r="N144" s="1" t="s">
        <v>31</v>
      </c>
      <c r="O144" s="1" t="s">
        <v>102</v>
      </c>
      <c r="P144" s="1" t="s">
        <v>58</v>
      </c>
      <c r="Q144" s="1" t="s">
        <v>530</v>
      </c>
      <c r="R144" s="1" t="s">
        <v>745</v>
      </c>
      <c r="S144" s="3">
        <v>3</v>
      </c>
      <c r="T144" s="1" t="s">
        <v>72</v>
      </c>
      <c r="U144" s="3">
        <v>160</v>
      </c>
      <c r="V144" s="1" t="s">
        <v>79</v>
      </c>
      <c r="W144" s="5">
        <f>Table1[[#This Row],[Quantity]]*Table1[[#This Row],[Price]]*(1-Table1[[#This Row],[Discount %]]/100)</f>
        <v>105068</v>
      </c>
      <c r="X144">
        <f>Table1[[#This Row],[DeliveryDate]]-Table1[[#This Row],[OrderDate]]</f>
        <v>7</v>
      </c>
      <c r="Y144" t="str">
        <f>TEXT(Table1[[#This Row],[OrderDate]],"MMMM")</f>
        <v>May</v>
      </c>
      <c r="Z144" s="5">
        <f>YEAR(Table1[[#This Row],[OrderDate]])</f>
        <v>2023</v>
      </c>
    </row>
    <row r="145" spans="1:26" x14ac:dyDescent="0.3">
      <c r="A145" s="1" t="s">
        <v>746</v>
      </c>
      <c r="B145" t="s">
        <v>361</v>
      </c>
      <c r="C145" s="3">
        <v>60</v>
      </c>
      <c r="D145" s="1" t="s">
        <v>24</v>
      </c>
      <c r="E145" s="1" t="s">
        <v>99</v>
      </c>
      <c r="F145" s="1" t="s">
        <v>82</v>
      </c>
      <c r="G145" s="4">
        <v>45362</v>
      </c>
      <c r="H145" s="4">
        <v>45366</v>
      </c>
      <c r="I145" s="1" t="s">
        <v>77</v>
      </c>
      <c r="J145" s="1" t="s">
        <v>30</v>
      </c>
      <c r="K145" s="3">
        <v>4</v>
      </c>
      <c r="L145" s="2">
        <v>48182</v>
      </c>
      <c r="M145" s="3">
        <v>15</v>
      </c>
      <c r="N145" s="1" t="s">
        <v>166</v>
      </c>
      <c r="O145" s="1" t="s">
        <v>32</v>
      </c>
      <c r="P145" s="1" t="s">
        <v>33</v>
      </c>
      <c r="Q145" s="1" t="s">
        <v>364</v>
      </c>
      <c r="R145" s="1" t="s">
        <v>748</v>
      </c>
      <c r="S145" s="3">
        <v>5</v>
      </c>
      <c r="T145" s="1" t="s">
        <v>96</v>
      </c>
      <c r="U145" s="3">
        <v>482</v>
      </c>
      <c r="V145" s="1" t="s">
        <v>62</v>
      </c>
      <c r="W145" s="5">
        <f>Table1[[#This Row],[Quantity]]*Table1[[#This Row],[Price]]*(1-Table1[[#This Row],[Discount %]]/100)</f>
        <v>163818.79999999999</v>
      </c>
      <c r="X145">
        <f>Table1[[#This Row],[DeliveryDate]]-Table1[[#This Row],[OrderDate]]</f>
        <v>4</v>
      </c>
      <c r="Y145" t="str">
        <f>TEXT(Table1[[#This Row],[OrderDate]],"MMMM")</f>
        <v>March</v>
      </c>
      <c r="Z145" s="5">
        <f>YEAR(Table1[[#This Row],[OrderDate]])</f>
        <v>2024</v>
      </c>
    </row>
    <row r="146" spans="1:26" x14ac:dyDescent="0.3">
      <c r="A146" s="1" t="s">
        <v>749</v>
      </c>
      <c r="B146" t="s">
        <v>471</v>
      </c>
      <c r="C146" s="3">
        <v>56</v>
      </c>
      <c r="D146" s="1" t="s">
        <v>51</v>
      </c>
      <c r="E146" s="1" t="s">
        <v>131</v>
      </c>
      <c r="F146" s="1" t="s">
        <v>82</v>
      </c>
      <c r="G146" s="4">
        <v>45497</v>
      </c>
      <c r="H146" s="4">
        <v>45501</v>
      </c>
      <c r="I146" s="1" t="s">
        <v>85</v>
      </c>
      <c r="J146" s="1" t="s">
        <v>30</v>
      </c>
      <c r="K146" s="3">
        <v>4</v>
      </c>
      <c r="L146" s="2">
        <v>16715</v>
      </c>
      <c r="M146" s="3">
        <v>15</v>
      </c>
      <c r="N146" s="1" t="s">
        <v>56</v>
      </c>
      <c r="O146" s="1" t="s">
        <v>281</v>
      </c>
      <c r="P146" s="1" t="s">
        <v>58</v>
      </c>
      <c r="Q146" s="1" t="s">
        <v>3415</v>
      </c>
      <c r="R146" s="1" t="s">
        <v>752</v>
      </c>
      <c r="S146" s="3">
        <v>1</v>
      </c>
      <c r="T146" s="1" t="s">
        <v>36</v>
      </c>
      <c r="U146" s="3">
        <v>478</v>
      </c>
      <c r="V146" s="1" t="s">
        <v>79</v>
      </c>
      <c r="W146" s="5">
        <f>Table1[[#This Row],[Quantity]]*Table1[[#This Row],[Price]]*(1-Table1[[#This Row],[Discount %]]/100)</f>
        <v>56831</v>
      </c>
      <c r="X146">
        <f>Table1[[#This Row],[DeliveryDate]]-Table1[[#This Row],[OrderDate]]</f>
        <v>4</v>
      </c>
      <c r="Y146" t="str">
        <f>TEXT(Table1[[#This Row],[OrderDate]],"MMMM")</f>
        <v>July</v>
      </c>
      <c r="Z146" s="5">
        <f>YEAR(Table1[[#This Row],[OrderDate]])</f>
        <v>2024</v>
      </c>
    </row>
    <row r="147" spans="1:26" x14ac:dyDescent="0.3">
      <c r="A147" s="1" t="s">
        <v>753</v>
      </c>
      <c r="B147" t="s">
        <v>125</v>
      </c>
      <c r="C147" s="3">
        <v>43</v>
      </c>
      <c r="D147" s="1" t="s">
        <v>51</v>
      </c>
      <c r="E147" s="1" t="s">
        <v>142</v>
      </c>
      <c r="F147" s="1" t="s">
        <v>53</v>
      </c>
      <c r="G147" s="4">
        <v>45466</v>
      </c>
      <c r="H147" s="4">
        <v>45469</v>
      </c>
      <c r="I147" s="1" t="s">
        <v>77</v>
      </c>
      <c r="J147" s="1" t="s">
        <v>30</v>
      </c>
      <c r="K147" s="3">
        <v>2</v>
      </c>
      <c r="L147" s="2">
        <v>42241</v>
      </c>
      <c r="M147" s="3">
        <v>10</v>
      </c>
      <c r="N147" s="1" t="s">
        <v>166</v>
      </c>
      <c r="O147" s="1" t="s">
        <v>68</v>
      </c>
      <c r="P147" s="1" t="s">
        <v>174</v>
      </c>
      <c r="Q147" s="1" t="s">
        <v>756</v>
      </c>
      <c r="R147" s="1" t="s">
        <v>757</v>
      </c>
      <c r="S147" s="3">
        <v>3</v>
      </c>
      <c r="T147" s="1" t="s">
        <v>72</v>
      </c>
      <c r="U147" s="3">
        <v>338</v>
      </c>
      <c r="V147" s="1" t="s">
        <v>79</v>
      </c>
      <c r="W147" s="5">
        <f>Table1[[#This Row],[Quantity]]*Table1[[#This Row],[Price]]*(1-Table1[[#This Row],[Discount %]]/100)</f>
        <v>76033.8</v>
      </c>
      <c r="X147">
        <f>Table1[[#This Row],[DeliveryDate]]-Table1[[#This Row],[OrderDate]]</f>
        <v>3</v>
      </c>
      <c r="Y147" t="str">
        <f>TEXT(Table1[[#This Row],[OrderDate]],"MMMM")</f>
        <v>June</v>
      </c>
      <c r="Z147" s="5">
        <f>YEAR(Table1[[#This Row],[OrderDate]])</f>
        <v>2024</v>
      </c>
    </row>
    <row r="148" spans="1:26" x14ac:dyDescent="0.3">
      <c r="A148" s="1" t="s">
        <v>758</v>
      </c>
      <c r="B148" t="s">
        <v>74</v>
      </c>
      <c r="C148" s="3">
        <v>39</v>
      </c>
      <c r="D148" s="1" t="s">
        <v>24</v>
      </c>
      <c r="E148" s="1" t="s">
        <v>40</v>
      </c>
      <c r="F148" s="1" t="s">
        <v>53</v>
      </c>
      <c r="G148" s="4">
        <v>45372</v>
      </c>
      <c r="H148" s="4">
        <v>45375</v>
      </c>
      <c r="I148" s="1" t="s">
        <v>93</v>
      </c>
      <c r="J148" s="1" t="s">
        <v>30</v>
      </c>
      <c r="K148" s="3">
        <v>3</v>
      </c>
      <c r="L148" s="2">
        <v>69436</v>
      </c>
      <c r="M148" s="3">
        <v>5</v>
      </c>
      <c r="N148" s="1" t="s">
        <v>31</v>
      </c>
      <c r="O148" s="1" t="s">
        <v>68</v>
      </c>
      <c r="P148" s="1" t="s">
        <v>174</v>
      </c>
      <c r="Q148" s="1" t="s">
        <v>78</v>
      </c>
      <c r="R148" s="1" t="s">
        <v>760</v>
      </c>
      <c r="S148" s="3">
        <v>2</v>
      </c>
      <c r="T148" s="1" t="s">
        <v>61</v>
      </c>
      <c r="U148" s="3">
        <v>100</v>
      </c>
      <c r="V148" s="1" t="s">
        <v>37</v>
      </c>
      <c r="W148" s="5">
        <f>Table1[[#This Row],[Quantity]]*Table1[[#This Row],[Price]]*(1-Table1[[#This Row],[Discount %]]/100)</f>
        <v>197892.59999999998</v>
      </c>
      <c r="X148">
        <f>Table1[[#This Row],[DeliveryDate]]-Table1[[#This Row],[OrderDate]]</f>
        <v>3</v>
      </c>
      <c r="Y148" t="str">
        <f>TEXT(Table1[[#This Row],[OrderDate]],"MMMM")</f>
        <v>March</v>
      </c>
      <c r="Z148" s="5">
        <f>YEAR(Table1[[#This Row],[OrderDate]])</f>
        <v>2024</v>
      </c>
    </row>
    <row r="149" spans="1:26" x14ac:dyDescent="0.3">
      <c r="A149" s="1" t="s">
        <v>761</v>
      </c>
      <c r="B149" t="s">
        <v>461</v>
      </c>
      <c r="C149" s="3">
        <v>35</v>
      </c>
      <c r="D149" s="1" t="s">
        <v>51</v>
      </c>
      <c r="E149" s="1" t="s">
        <v>131</v>
      </c>
      <c r="F149" s="1" t="s">
        <v>91</v>
      </c>
      <c r="G149" s="4">
        <v>45562</v>
      </c>
      <c r="H149" s="4">
        <v>45567</v>
      </c>
      <c r="I149" s="1" t="s">
        <v>108</v>
      </c>
      <c r="J149" s="1" t="s">
        <v>44</v>
      </c>
      <c r="K149" s="3">
        <v>1</v>
      </c>
      <c r="L149" s="2">
        <v>49143</v>
      </c>
      <c r="M149" s="3">
        <v>10</v>
      </c>
      <c r="N149" s="1" t="s">
        <v>166</v>
      </c>
      <c r="O149" s="1" t="s">
        <v>281</v>
      </c>
      <c r="P149" s="1" t="s">
        <v>33</v>
      </c>
      <c r="Q149" s="1" t="s">
        <v>563</v>
      </c>
      <c r="R149" s="1" t="s">
        <v>765</v>
      </c>
      <c r="S149" s="3">
        <v>5</v>
      </c>
      <c r="T149" s="1" t="s">
        <v>96</v>
      </c>
      <c r="U149" s="3">
        <v>437</v>
      </c>
      <c r="V149" s="1" t="s">
        <v>37</v>
      </c>
      <c r="W149" s="5">
        <f>Table1[[#This Row],[Quantity]]*Table1[[#This Row],[Price]]*(1-Table1[[#This Row],[Discount %]]/100)</f>
        <v>44228.700000000004</v>
      </c>
      <c r="X149">
        <f>Table1[[#This Row],[DeliveryDate]]-Table1[[#This Row],[OrderDate]]</f>
        <v>5</v>
      </c>
      <c r="Y149" t="str">
        <f>TEXT(Table1[[#This Row],[OrderDate]],"MMMM")</f>
        <v>September</v>
      </c>
      <c r="Z149" s="5">
        <f>YEAR(Table1[[#This Row],[OrderDate]])</f>
        <v>2024</v>
      </c>
    </row>
    <row r="150" spans="1:26" x14ac:dyDescent="0.3">
      <c r="A150" s="1" t="s">
        <v>766</v>
      </c>
      <c r="B150" t="s">
        <v>767</v>
      </c>
      <c r="C150" s="3">
        <v>50</v>
      </c>
      <c r="D150" s="1" t="s">
        <v>24</v>
      </c>
      <c r="E150" s="1" t="s">
        <v>26</v>
      </c>
      <c r="F150" s="1" t="s">
        <v>82</v>
      </c>
      <c r="G150" s="4">
        <v>45514</v>
      </c>
      <c r="H150" s="4">
        <v>45520</v>
      </c>
      <c r="I150" s="1" t="s">
        <v>29</v>
      </c>
      <c r="J150" s="1" t="s">
        <v>44</v>
      </c>
      <c r="K150" s="3">
        <v>4</v>
      </c>
      <c r="L150" s="2">
        <v>69837</v>
      </c>
      <c r="M150" s="3">
        <v>10</v>
      </c>
      <c r="N150" s="1" t="s">
        <v>31</v>
      </c>
      <c r="O150" s="1" t="s">
        <v>46</v>
      </c>
      <c r="P150" s="1" t="s">
        <v>58</v>
      </c>
      <c r="Q150" s="1" t="s">
        <v>769</v>
      </c>
      <c r="R150" s="1" t="s">
        <v>770</v>
      </c>
      <c r="S150" s="3">
        <v>3</v>
      </c>
      <c r="T150" s="1" t="s">
        <v>36</v>
      </c>
      <c r="U150" s="3">
        <v>308</v>
      </c>
      <c r="V150" s="1" t="s">
        <v>37</v>
      </c>
      <c r="W150" s="5">
        <f>Table1[[#This Row],[Quantity]]*Table1[[#This Row],[Price]]*(1-Table1[[#This Row],[Discount %]]/100)</f>
        <v>251413.2</v>
      </c>
      <c r="X150">
        <f>Table1[[#This Row],[DeliveryDate]]-Table1[[#This Row],[OrderDate]]</f>
        <v>6</v>
      </c>
      <c r="Y150" t="str">
        <f>TEXT(Table1[[#This Row],[OrderDate]],"MMMM")</f>
        <v>August</v>
      </c>
      <c r="Z150" s="5">
        <f>YEAR(Table1[[#This Row],[OrderDate]])</f>
        <v>2024</v>
      </c>
    </row>
    <row r="151" spans="1:26" x14ac:dyDescent="0.3">
      <c r="A151" s="1" t="s">
        <v>771</v>
      </c>
      <c r="B151" t="s">
        <v>222</v>
      </c>
      <c r="C151" s="3">
        <v>47</v>
      </c>
      <c r="D151" s="1" t="s">
        <v>51</v>
      </c>
      <c r="E151" s="1" t="s">
        <v>131</v>
      </c>
      <c r="F151" s="1" t="s">
        <v>82</v>
      </c>
      <c r="G151" s="4">
        <v>45540</v>
      </c>
      <c r="H151" s="4">
        <v>45545</v>
      </c>
      <c r="I151" s="1" t="s">
        <v>85</v>
      </c>
      <c r="J151" s="1" t="s">
        <v>30</v>
      </c>
      <c r="K151" s="3">
        <v>4</v>
      </c>
      <c r="L151" s="2">
        <v>24360</v>
      </c>
      <c r="M151" s="3">
        <v>10</v>
      </c>
      <c r="N151" s="1" t="s">
        <v>166</v>
      </c>
      <c r="O151" s="1" t="s">
        <v>86</v>
      </c>
      <c r="P151" s="1" t="s">
        <v>58</v>
      </c>
      <c r="Q151" s="1" t="s">
        <v>225</v>
      </c>
      <c r="R151" s="1" t="s">
        <v>3415</v>
      </c>
      <c r="S151" s="3">
        <v>4</v>
      </c>
      <c r="T151" s="1" t="s">
        <v>36</v>
      </c>
      <c r="U151" s="3">
        <v>427</v>
      </c>
      <c r="V151" s="1" t="s">
        <v>62</v>
      </c>
      <c r="W151" s="5">
        <f>Table1[[#This Row],[Quantity]]*Table1[[#This Row],[Price]]*(1-Table1[[#This Row],[Discount %]]/100)</f>
        <v>87696</v>
      </c>
      <c r="X151">
        <f>Table1[[#This Row],[DeliveryDate]]-Table1[[#This Row],[OrderDate]]</f>
        <v>5</v>
      </c>
      <c r="Y151" t="str">
        <f>TEXT(Table1[[#This Row],[OrderDate]],"MMMM")</f>
        <v>September</v>
      </c>
      <c r="Z151" s="5">
        <f>YEAR(Table1[[#This Row],[OrderDate]])</f>
        <v>2024</v>
      </c>
    </row>
    <row r="152" spans="1:26" x14ac:dyDescent="0.3">
      <c r="A152" s="1" t="s">
        <v>773</v>
      </c>
      <c r="B152" t="s">
        <v>382</v>
      </c>
      <c r="C152" s="3">
        <v>51</v>
      </c>
      <c r="D152" s="1" t="s">
        <v>51</v>
      </c>
      <c r="E152" s="1" t="s">
        <v>99</v>
      </c>
      <c r="F152" s="1" t="s">
        <v>26</v>
      </c>
      <c r="G152" s="4">
        <v>45296</v>
      </c>
      <c r="H152" s="4">
        <v>45301</v>
      </c>
      <c r="I152" s="1" t="s">
        <v>108</v>
      </c>
      <c r="J152" s="1" t="s">
        <v>44</v>
      </c>
      <c r="K152" s="3">
        <v>3</v>
      </c>
      <c r="L152" s="2">
        <v>23714</v>
      </c>
      <c r="M152" s="3">
        <v>15</v>
      </c>
      <c r="N152" s="1" t="s">
        <v>166</v>
      </c>
      <c r="O152" s="1" t="s">
        <v>86</v>
      </c>
      <c r="P152" s="1" t="s">
        <v>33</v>
      </c>
      <c r="Q152" s="1" t="s">
        <v>385</v>
      </c>
      <c r="R152" s="1" t="s">
        <v>776</v>
      </c>
      <c r="S152" s="3">
        <v>1</v>
      </c>
      <c r="T152" s="1" t="s">
        <v>61</v>
      </c>
      <c r="U152" s="3">
        <v>421</v>
      </c>
      <c r="V152" s="1" t="s">
        <v>62</v>
      </c>
      <c r="W152" s="5">
        <f>Table1[[#This Row],[Quantity]]*Table1[[#This Row],[Price]]*(1-Table1[[#This Row],[Discount %]]/100)</f>
        <v>60470.7</v>
      </c>
      <c r="X152">
        <f>Table1[[#This Row],[DeliveryDate]]-Table1[[#This Row],[OrderDate]]</f>
        <v>5</v>
      </c>
      <c r="Y152" t="str">
        <f>TEXT(Table1[[#This Row],[OrderDate]],"MMMM")</f>
        <v>January</v>
      </c>
      <c r="Z152" s="5">
        <f>YEAR(Table1[[#This Row],[OrderDate]])</f>
        <v>2024</v>
      </c>
    </row>
    <row r="153" spans="1:26" x14ac:dyDescent="0.3">
      <c r="A153" s="1" t="s">
        <v>777</v>
      </c>
      <c r="B153" t="s">
        <v>623</v>
      </c>
      <c r="C153" s="3">
        <v>58</v>
      </c>
      <c r="D153" s="1" t="s">
        <v>24</v>
      </c>
      <c r="E153" s="1" t="s">
        <v>26</v>
      </c>
      <c r="F153" s="1" t="s">
        <v>26</v>
      </c>
      <c r="G153" s="4">
        <v>44946</v>
      </c>
      <c r="H153" s="4">
        <v>44949</v>
      </c>
      <c r="I153" s="1" t="s">
        <v>108</v>
      </c>
      <c r="J153" s="1" t="s">
        <v>44</v>
      </c>
      <c r="K153" s="3">
        <v>1</v>
      </c>
      <c r="L153" s="2">
        <v>20556</v>
      </c>
      <c r="M153" s="3">
        <v>10</v>
      </c>
      <c r="N153" s="1" t="s">
        <v>45</v>
      </c>
      <c r="O153" s="1" t="s">
        <v>109</v>
      </c>
      <c r="P153" s="1" t="s">
        <v>69</v>
      </c>
      <c r="Q153" s="1" t="s">
        <v>626</v>
      </c>
      <c r="R153" s="1" t="s">
        <v>781</v>
      </c>
      <c r="S153" s="3">
        <v>4</v>
      </c>
      <c r="T153" s="1" t="s">
        <v>36</v>
      </c>
      <c r="U153" s="3">
        <v>290</v>
      </c>
      <c r="V153" s="1" t="s">
        <v>37</v>
      </c>
      <c r="W153" s="5">
        <f>Table1[[#This Row],[Quantity]]*Table1[[#This Row],[Price]]*(1-Table1[[#This Row],[Discount %]]/100)</f>
        <v>18500.400000000001</v>
      </c>
      <c r="X153">
        <f>Table1[[#This Row],[DeliveryDate]]-Table1[[#This Row],[OrderDate]]</f>
        <v>3</v>
      </c>
      <c r="Y153" t="str">
        <f>TEXT(Table1[[#This Row],[OrderDate]],"MMMM")</f>
        <v>January</v>
      </c>
      <c r="Z153" s="5">
        <f>YEAR(Table1[[#This Row],[OrderDate]])</f>
        <v>2023</v>
      </c>
    </row>
    <row r="154" spans="1:26" x14ac:dyDescent="0.3">
      <c r="A154" s="1" t="s">
        <v>782</v>
      </c>
      <c r="B154" t="s">
        <v>684</v>
      </c>
      <c r="C154" s="3">
        <v>53</v>
      </c>
      <c r="D154" s="1" t="s">
        <v>24</v>
      </c>
      <c r="E154" s="1" t="s">
        <v>26</v>
      </c>
      <c r="F154" s="1" t="s">
        <v>53</v>
      </c>
      <c r="G154" s="4">
        <v>45107</v>
      </c>
      <c r="H154" s="4">
        <v>45109</v>
      </c>
      <c r="I154" s="1" t="s">
        <v>108</v>
      </c>
      <c r="J154" s="1" t="s">
        <v>44</v>
      </c>
      <c r="K154" s="3">
        <v>4</v>
      </c>
      <c r="L154" s="2">
        <v>40607</v>
      </c>
      <c r="M154" s="3">
        <v>10</v>
      </c>
      <c r="N154" s="1" t="s">
        <v>166</v>
      </c>
      <c r="O154" s="1" t="s">
        <v>68</v>
      </c>
      <c r="P154" s="1" t="s">
        <v>33</v>
      </c>
      <c r="Q154" s="1" t="s">
        <v>785</v>
      </c>
      <c r="R154" s="1" t="s">
        <v>786</v>
      </c>
      <c r="S154" s="3">
        <v>4</v>
      </c>
      <c r="T154" s="1" t="s">
        <v>36</v>
      </c>
      <c r="U154" s="3">
        <v>113</v>
      </c>
      <c r="V154" s="1" t="s">
        <v>37</v>
      </c>
      <c r="W154" s="5">
        <f>Table1[[#This Row],[Quantity]]*Table1[[#This Row],[Price]]*(1-Table1[[#This Row],[Discount %]]/100)</f>
        <v>146185.20000000001</v>
      </c>
      <c r="X154">
        <f>Table1[[#This Row],[DeliveryDate]]-Table1[[#This Row],[OrderDate]]</f>
        <v>2</v>
      </c>
      <c r="Y154" t="str">
        <f>TEXT(Table1[[#This Row],[OrderDate]],"MMMM")</f>
        <v>June</v>
      </c>
      <c r="Z154" s="5">
        <f>YEAR(Table1[[#This Row],[OrderDate]])</f>
        <v>2023</v>
      </c>
    </row>
    <row r="155" spans="1:26" x14ac:dyDescent="0.3">
      <c r="A155" s="1" t="s">
        <v>787</v>
      </c>
      <c r="B155" t="s">
        <v>684</v>
      </c>
      <c r="C155" s="3">
        <v>34</v>
      </c>
      <c r="D155" s="1" t="s">
        <v>51</v>
      </c>
      <c r="E155" s="1" t="s">
        <v>229</v>
      </c>
      <c r="F155" s="1" t="s">
        <v>91</v>
      </c>
      <c r="G155" s="4">
        <v>44936</v>
      </c>
      <c r="H155" s="4">
        <v>44941</v>
      </c>
      <c r="I155" s="1" t="s">
        <v>85</v>
      </c>
      <c r="J155" s="1" t="s">
        <v>44</v>
      </c>
      <c r="K155" s="3">
        <v>2.9447852760736195</v>
      </c>
      <c r="L155" s="2">
        <v>73937</v>
      </c>
      <c r="M155" s="3">
        <v>0</v>
      </c>
      <c r="N155" s="1" t="s">
        <v>31</v>
      </c>
      <c r="O155" s="1" t="s">
        <v>281</v>
      </c>
      <c r="P155" s="1" t="s">
        <v>69</v>
      </c>
      <c r="Q155" s="1" t="s">
        <v>785</v>
      </c>
      <c r="R155" s="1" t="s">
        <v>789</v>
      </c>
      <c r="S155" s="3">
        <v>4</v>
      </c>
      <c r="T155" s="1" t="s">
        <v>61</v>
      </c>
      <c r="U155" s="3">
        <v>142</v>
      </c>
      <c r="V155" s="1" t="s">
        <v>79</v>
      </c>
      <c r="W155" s="5">
        <f>Table1[[#This Row],[Quantity]]*Table1[[#This Row],[Price]]*(1-Table1[[#This Row],[Discount %]]/100)</f>
        <v>217728.58895705521</v>
      </c>
      <c r="X155">
        <f>Table1[[#This Row],[DeliveryDate]]-Table1[[#This Row],[OrderDate]]</f>
        <v>5</v>
      </c>
      <c r="Y155" t="str">
        <f>TEXT(Table1[[#This Row],[OrderDate]],"MMMM")</f>
        <v>January</v>
      </c>
      <c r="Z155" s="5">
        <f>YEAR(Table1[[#This Row],[OrderDate]])</f>
        <v>2023</v>
      </c>
    </row>
    <row r="156" spans="1:26" x14ac:dyDescent="0.3">
      <c r="A156" s="1" t="s">
        <v>790</v>
      </c>
      <c r="B156" t="s">
        <v>333</v>
      </c>
      <c r="C156" s="3">
        <v>59</v>
      </c>
      <c r="D156" s="1" t="s">
        <v>51</v>
      </c>
      <c r="E156" s="1" t="s">
        <v>131</v>
      </c>
      <c r="F156" s="1" t="s">
        <v>82</v>
      </c>
      <c r="G156" s="4">
        <v>45065</v>
      </c>
      <c r="H156" s="4">
        <v>45075</v>
      </c>
      <c r="I156" s="1" t="s">
        <v>43</v>
      </c>
      <c r="J156" s="1" t="s">
        <v>30</v>
      </c>
      <c r="K156" s="3">
        <v>2</v>
      </c>
      <c r="L156" s="2">
        <v>78548</v>
      </c>
      <c r="M156" s="3">
        <v>0</v>
      </c>
      <c r="N156" s="1" t="s">
        <v>166</v>
      </c>
      <c r="O156" s="1" t="s">
        <v>102</v>
      </c>
      <c r="P156" s="1" t="s">
        <v>174</v>
      </c>
      <c r="Q156" s="1" t="s">
        <v>336</v>
      </c>
      <c r="R156" s="1" t="s">
        <v>793</v>
      </c>
      <c r="S156" s="3">
        <v>5</v>
      </c>
      <c r="T156" s="1" t="s">
        <v>36</v>
      </c>
      <c r="U156" s="3">
        <v>372</v>
      </c>
      <c r="V156" s="1" t="s">
        <v>37</v>
      </c>
      <c r="W156" s="5">
        <f>Table1[[#This Row],[Quantity]]*Table1[[#This Row],[Price]]*(1-Table1[[#This Row],[Discount %]]/100)</f>
        <v>157096</v>
      </c>
      <c r="X156">
        <f>Table1[[#This Row],[DeliveryDate]]-Table1[[#This Row],[OrderDate]]</f>
        <v>10</v>
      </c>
      <c r="Y156" t="str">
        <f>TEXT(Table1[[#This Row],[OrderDate]],"MMMM")</f>
        <v>May</v>
      </c>
      <c r="Z156" s="5">
        <f>YEAR(Table1[[#This Row],[OrderDate]])</f>
        <v>2023</v>
      </c>
    </row>
    <row r="157" spans="1:26" x14ac:dyDescent="0.3">
      <c r="A157" s="1" t="s">
        <v>794</v>
      </c>
      <c r="B157" t="s">
        <v>527</v>
      </c>
      <c r="C157" s="3">
        <v>53</v>
      </c>
      <c r="D157" s="1" t="s">
        <v>51</v>
      </c>
      <c r="E157" s="1" t="s">
        <v>52</v>
      </c>
      <c r="F157" s="1" t="s">
        <v>82</v>
      </c>
      <c r="G157" s="4">
        <v>45020</v>
      </c>
      <c r="H157" s="4">
        <v>45027</v>
      </c>
      <c r="I157" s="1" t="s">
        <v>77</v>
      </c>
      <c r="J157" s="1" t="s">
        <v>30</v>
      </c>
      <c r="K157" s="3">
        <v>2</v>
      </c>
      <c r="L157" s="2">
        <v>39885</v>
      </c>
      <c r="M157" s="3">
        <v>10</v>
      </c>
      <c r="N157" s="1" t="s">
        <v>56</v>
      </c>
      <c r="O157" s="1" t="s">
        <v>32</v>
      </c>
      <c r="P157" s="1" t="s">
        <v>58</v>
      </c>
      <c r="Q157" s="1" t="s">
        <v>530</v>
      </c>
      <c r="R157" s="1" t="s">
        <v>797</v>
      </c>
      <c r="S157" s="3">
        <v>5</v>
      </c>
      <c r="T157" s="1" t="s">
        <v>96</v>
      </c>
      <c r="U157" s="3">
        <v>333</v>
      </c>
      <c r="V157" s="1" t="s">
        <v>37</v>
      </c>
      <c r="W157" s="5">
        <f>Table1[[#This Row],[Quantity]]*Table1[[#This Row],[Price]]*(1-Table1[[#This Row],[Discount %]]/100)</f>
        <v>71793</v>
      </c>
      <c r="X157">
        <f>Table1[[#This Row],[DeliveryDate]]-Table1[[#This Row],[OrderDate]]</f>
        <v>7</v>
      </c>
      <c r="Y157" t="str">
        <f>TEXT(Table1[[#This Row],[OrderDate]],"MMMM")</f>
        <v>April</v>
      </c>
      <c r="Z157" s="5">
        <f>YEAR(Table1[[#This Row],[OrderDate]])</f>
        <v>2023</v>
      </c>
    </row>
    <row r="158" spans="1:26" x14ac:dyDescent="0.3">
      <c r="A158" s="1" t="s">
        <v>798</v>
      </c>
      <c r="B158" t="s">
        <v>344</v>
      </c>
      <c r="C158" s="3">
        <v>58</v>
      </c>
      <c r="D158" s="1" t="s">
        <v>51</v>
      </c>
      <c r="E158" s="1" t="s">
        <v>99</v>
      </c>
      <c r="F158" s="1" t="s">
        <v>53</v>
      </c>
      <c r="G158" s="4">
        <v>45433</v>
      </c>
      <c r="H158" s="4">
        <v>45434</v>
      </c>
      <c r="I158" s="1" t="s">
        <v>108</v>
      </c>
      <c r="J158" s="1" t="s">
        <v>30</v>
      </c>
      <c r="K158" s="3">
        <v>5</v>
      </c>
      <c r="L158" s="2">
        <v>58258</v>
      </c>
      <c r="M158" s="3">
        <v>5</v>
      </c>
      <c r="N158" s="1" t="s">
        <v>31</v>
      </c>
      <c r="O158" s="1" t="s">
        <v>86</v>
      </c>
      <c r="P158" s="1" t="s">
        <v>33</v>
      </c>
      <c r="Q158" s="1" t="s">
        <v>347</v>
      </c>
      <c r="R158" s="1" t="s">
        <v>801</v>
      </c>
      <c r="S158" s="3">
        <v>4</v>
      </c>
      <c r="T158" s="1" t="s">
        <v>61</v>
      </c>
      <c r="U158" s="3">
        <v>81</v>
      </c>
      <c r="V158" s="1" t="s">
        <v>79</v>
      </c>
      <c r="W158" s="5">
        <f>Table1[[#This Row],[Quantity]]*Table1[[#This Row],[Price]]*(1-Table1[[#This Row],[Discount %]]/100)</f>
        <v>276725.5</v>
      </c>
      <c r="X158">
        <f>Table1[[#This Row],[DeliveryDate]]-Table1[[#This Row],[OrderDate]]</f>
        <v>1</v>
      </c>
      <c r="Y158" t="str">
        <f>TEXT(Table1[[#This Row],[OrderDate]],"MMMM")</f>
        <v>May</v>
      </c>
      <c r="Z158" s="5">
        <f>YEAR(Table1[[#This Row],[OrderDate]])</f>
        <v>2024</v>
      </c>
    </row>
    <row r="159" spans="1:26" x14ac:dyDescent="0.3">
      <c r="A159" s="1" t="s">
        <v>802</v>
      </c>
      <c r="B159" t="s">
        <v>803</v>
      </c>
      <c r="C159" s="3">
        <v>19</v>
      </c>
      <c r="D159" s="1" t="s">
        <v>24</v>
      </c>
      <c r="E159" s="1" t="s">
        <v>25</v>
      </c>
      <c r="F159" s="1" t="s">
        <v>53</v>
      </c>
      <c r="G159" s="4">
        <v>45077</v>
      </c>
      <c r="H159" s="4">
        <v>45087</v>
      </c>
      <c r="I159" s="1" t="s">
        <v>77</v>
      </c>
      <c r="J159" s="1" t="s">
        <v>44</v>
      </c>
      <c r="K159" s="3">
        <v>2</v>
      </c>
      <c r="L159" s="2">
        <v>58541</v>
      </c>
      <c r="M159" s="3">
        <v>0</v>
      </c>
      <c r="N159" s="1" t="s">
        <v>45</v>
      </c>
      <c r="O159" s="1" t="s">
        <v>102</v>
      </c>
      <c r="P159" s="1" t="s">
        <v>58</v>
      </c>
      <c r="Q159" s="1" t="s">
        <v>805</v>
      </c>
      <c r="R159" s="1" t="s">
        <v>806</v>
      </c>
      <c r="S159" s="3">
        <v>2</v>
      </c>
      <c r="T159" s="1" t="s">
        <v>72</v>
      </c>
      <c r="U159" s="3">
        <v>321</v>
      </c>
      <c r="V159" s="1" t="s">
        <v>79</v>
      </c>
      <c r="W159" s="5">
        <f>Table1[[#This Row],[Quantity]]*Table1[[#This Row],[Price]]*(1-Table1[[#This Row],[Discount %]]/100)</f>
        <v>117082</v>
      </c>
      <c r="X159">
        <f>Table1[[#This Row],[DeliveryDate]]-Table1[[#This Row],[OrderDate]]</f>
        <v>10</v>
      </c>
      <c r="Y159" t="str">
        <f>TEXT(Table1[[#This Row],[OrderDate]],"MMMM")</f>
        <v>May</v>
      </c>
      <c r="Z159" s="5">
        <f>YEAR(Table1[[#This Row],[OrderDate]])</f>
        <v>2023</v>
      </c>
    </row>
    <row r="160" spans="1:26" x14ac:dyDescent="0.3">
      <c r="A160" s="1" t="s">
        <v>807</v>
      </c>
      <c r="B160" t="s">
        <v>808</v>
      </c>
      <c r="C160" s="3">
        <v>28</v>
      </c>
      <c r="D160" s="1" t="s">
        <v>51</v>
      </c>
      <c r="E160" s="1" t="s">
        <v>52</v>
      </c>
      <c r="F160" s="1" t="s">
        <v>26</v>
      </c>
      <c r="G160" s="4">
        <v>45343</v>
      </c>
      <c r="H160" s="4">
        <v>45353</v>
      </c>
      <c r="I160" s="1" t="s">
        <v>77</v>
      </c>
      <c r="J160" s="1" t="s">
        <v>44</v>
      </c>
      <c r="K160" s="3">
        <v>3</v>
      </c>
      <c r="L160" s="2">
        <v>41804</v>
      </c>
      <c r="M160" s="3">
        <v>10</v>
      </c>
      <c r="N160" s="1" t="s">
        <v>45</v>
      </c>
      <c r="O160" s="1" t="s">
        <v>281</v>
      </c>
      <c r="P160" s="1" t="s">
        <v>33</v>
      </c>
      <c r="Q160" s="1" t="s">
        <v>191</v>
      </c>
      <c r="R160" s="1" t="s">
        <v>811</v>
      </c>
      <c r="S160" s="3">
        <v>5</v>
      </c>
      <c r="T160" s="1" t="s">
        <v>36</v>
      </c>
      <c r="U160" s="3">
        <v>132</v>
      </c>
      <c r="V160" s="1" t="s">
        <v>79</v>
      </c>
      <c r="W160" s="5">
        <f>Table1[[#This Row],[Quantity]]*Table1[[#This Row],[Price]]*(1-Table1[[#This Row],[Discount %]]/100)</f>
        <v>112870.8</v>
      </c>
      <c r="X160">
        <f>Table1[[#This Row],[DeliveryDate]]-Table1[[#This Row],[OrderDate]]</f>
        <v>10</v>
      </c>
      <c r="Y160" t="str">
        <f>TEXT(Table1[[#This Row],[OrderDate]],"MMMM")</f>
        <v>February</v>
      </c>
      <c r="Z160" s="5">
        <f>YEAR(Table1[[#This Row],[OrderDate]])</f>
        <v>2024</v>
      </c>
    </row>
    <row r="161" spans="1:26" x14ac:dyDescent="0.3">
      <c r="A161" s="1" t="s">
        <v>812</v>
      </c>
      <c r="B161" t="s">
        <v>424</v>
      </c>
      <c r="C161" s="3">
        <v>31</v>
      </c>
      <c r="D161" s="1" t="s">
        <v>51</v>
      </c>
      <c r="E161" s="1" t="s">
        <v>142</v>
      </c>
      <c r="F161" s="1" t="s">
        <v>65</v>
      </c>
      <c r="G161" s="4">
        <v>44977</v>
      </c>
      <c r="H161" s="4">
        <v>44986</v>
      </c>
      <c r="I161" s="1" t="s">
        <v>108</v>
      </c>
      <c r="J161" s="1" t="s">
        <v>44</v>
      </c>
      <c r="K161" s="3">
        <v>5</v>
      </c>
      <c r="L161" s="2">
        <v>68458</v>
      </c>
      <c r="M161" s="3">
        <v>0</v>
      </c>
      <c r="N161" s="1" t="s">
        <v>31</v>
      </c>
      <c r="O161" s="1" t="s">
        <v>281</v>
      </c>
      <c r="P161" s="1" t="s">
        <v>58</v>
      </c>
      <c r="Q161" s="1" t="s">
        <v>427</v>
      </c>
      <c r="R161" s="1" t="s">
        <v>813</v>
      </c>
      <c r="S161" s="3">
        <v>3</v>
      </c>
      <c r="T161" s="1" t="s">
        <v>96</v>
      </c>
      <c r="U161" s="3">
        <v>246</v>
      </c>
      <c r="V161" s="1" t="s">
        <v>37</v>
      </c>
      <c r="W161" s="5">
        <f>Table1[[#This Row],[Quantity]]*Table1[[#This Row],[Price]]*(1-Table1[[#This Row],[Discount %]]/100)</f>
        <v>342290</v>
      </c>
      <c r="X161">
        <f>Table1[[#This Row],[DeliveryDate]]-Table1[[#This Row],[OrderDate]]</f>
        <v>9</v>
      </c>
      <c r="Y161" t="str">
        <f>TEXT(Table1[[#This Row],[OrderDate]],"MMMM")</f>
        <v>February</v>
      </c>
      <c r="Z161" s="5">
        <f>YEAR(Table1[[#This Row],[OrderDate]])</f>
        <v>2023</v>
      </c>
    </row>
    <row r="162" spans="1:26" x14ac:dyDescent="0.3">
      <c r="A162" s="1" t="s">
        <v>814</v>
      </c>
      <c r="B162" t="s">
        <v>344</v>
      </c>
      <c r="C162" s="3">
        <v>56</v>
      </c>
      <c r="D162" s="1" t="s">
        <v>24</v>
      </c>
      <c r="E162" s="1" t="s">
        <v>229</v>
      </c>
      <c r="F162" s="1" t="s">
        <v>26</v>
      </c>
      <c r="G162" s="4">
        <v>45378</v>
      </c>
      <c r="H162" s="4">
        <v>45388</v>
      </c>
      <c r="I162" s="1" t="s">
        <v>108</v>
      </c>
      <c r="J162" s="1" t="s">
        <v>30</v>
      </c>
      <c r="K162" s="3">
        <v>3</v>
      </c>
      <c r="L162" s="2">
        <v>29720</v>
      </c>
      <c r="M162" s="3">
        <v>15</v>
      </c>
      <c r="N162" s="1" t="s">
        <v>56</v>
      </c>
      <c r="O162" s="1" t="s">
        <v>173</v>
      </c>
      <c r="P162" s="1" t="s">
        <v>174</v>
      </c>
      <c r="Q162" s="1" t="s">
        <v>347</v>
      </c>
      <c r="R162" s="1" t="s">
        <v>817</v>
      </c>
      <c r="S162" s="3">
        <v>4</v>
      </c>
      <c r="T162" s="1" t="s">
        <v>36</v>
      </c>
      <c r="U162" s="3">
        <v>401</v>
      </c>
      <c r="V162" s="1" t="s">
        <v>62</v>
      </c>
      <c r="W162" s="5">
        <f>Table1[[#This Row],[Quantity]]*Table1[[#This Row],[Price]]*(1-Table1[[#This Row],[Discount %]]/100)</f>
        <v>75786</v>
      </c>
      <c r="X162">
        <f>Table1[[#This Row],[DeliveryDate]]-Table1[[#This Row],[OrderDate]]</f>
        <v>10</v>
      </c>
      <c r="Y162" t="str">
        <f>TEXT(Table1[[#This Row],[OrderDate]],"MMMM")</f>
        <v>March</v>
      </c>
      <c r="Z162" s="5">
        <f>YEAR(Table1[[#This Row],[OrderDate]])</f>
        <v>2024</v>
      </c>
    </row>
    <row r="163" spans="1:26" x14ac:dyDescent="0.3">
      <c r="A163" s="1" t="s">
        <v>818</v>
      </c>
      <c r="B163" t="s">
        <v>819</v>
      </c>
      <c r="C163" s="3">
        <v>56</v>
      </c>
      <c r="D163" s="1" t="s">
        <v>24</v>
      </c>
      <c r="E163" s="1" t="s">
        <v>99</v>
      </c>
      <c r="F163" s="1" t="s">
        <v>26</v>
      </c>
      <c r="G163" s="4">
        <v>45304</v>
      </c>
      <c r="H163" s="4">
        <v>45311</v>
      </c>
      <c r="I163" s="1" t="s">
        <v>85</v>
      </c>
      <c r="J163" s="1" t="s">
        <v>44</v>
      </c>
      <c r="K163" s="3">
        <v>5</v>
      </c>
      <c r="L163" s="2">
        <v>5439</v>
      </c>
      <c r="M163" s="3">
        <v>15</v>
      </c>
      <c r="N163" s="1" t="s">
        <v>56</v>
      </c>
      <c r="O163" s="1" t="s">
        <v>86</v>
      </c>
      <c r="P163" s="1" t="s">
        <v>174</v>
      </c>
      <c r="Q163" s="1" t="s">
        <v>821</v>
      </c>
      <c r="R163" s="1" t="s">
        <v>822</v>
      </c>
      <c r="S163" s="3">
        <v>4</v>
      </c>
      <c r="T163" s="1" t="s">
        <v>96</v>
      </c>
      <c r="U163" s="3">
        <v>92</v>
      </c>
      <c r="V163" s="1" t="s">
        <v>37</v>
      </c>
      <c r="W163" s="5">
        <f>Table1[[#This Row],[Quantity]]*Table1[[#This Row],[Price]]*(1-Table1[[#This Row],[Discount %]]/100)</f>
        <v>23115.75</v>
      </c>
      <c r="X163">
        <f>Table1[[#This Row],[DeliveryDate]]-Table1[[#This Row],[OrderDate]]</f>
        <v>7</v>
      </c>
      <c r="Y163" t="str">
        <f>TEXT(Table1[[#This Row],[OrderDate]],"MMMM")</f>
        <v>January</v>
      </c>
      <c r="Z163" s="5">
        <f>YEAR(Table1[[#This Row],[OrderDate]])</f>
        <v>2024</v>
      </c>
    </row>
    <row r="164" spans="1:26" x14ac:dyDescent="0.3">
      <c r="A164" s="1" t="s">
        <v>823</v>
      </c>
      <c r="B164" t="s">
        <v>119</v>
      </c>
      <c r="C164" s="3">
        <v>48</v>
      </c>
      <c r="D164" s="1" t="s">
        <v>51</v>
      </c>
      <c r="E164" s="1" t="s">
        <v>99</v>
      </c>
      <c r="F164" s="1" t="s">
        <v>53</v>
      </c>
      <c r="G164" s="4">
        <v>45376</v>
      </c>
      <c r="H164" s="4">
        <v>45381</v>
      </c>
      <c r="I164" s="1" t="s">
        <v>93</v>
      </c>
      <c r="J164" s="1" t="s">
        <v>44</v>
      </c>
      <c r="K164" s="3">
        <v>4</v>
      </c>
      <c r="L164" s="2">
        <v>34698</v>
      </c>
      <c r="M164" s="3">
        <v>15</v>
      </c>
      <c r="N164" s="1" t="s">
        <v>31</v>
      </c>
      <c r="O164" s="1" t="s">
        <v>133</v>
      </c>
      <c r="P164" s="1" t="s">
        <v>33</v>
      </c>
      <c r="Q164" s="1" t="s">
        <v>122</v>
      </c>
      <c r="R164" s="1" t="s">
        <v>3415</v>
      </c>
      <c r="S164" s="3">
        <v>1</v>
      </c>
      <c r="T164" s="1" t="s">
        <v>72</v>
      </c>
      <c r="U164" s="3">
        <v>406</v>
      </c>
      <c r="V164" s="1" t="s">
        <v>37</v>
      </c>
      <c r="W164" s="5">
        <f>Table1[[#This Row],[Quantity]]*Table1[[#This Row],[Price]]*(1-Table1[[#This Row],[Discount %]]/100)</f>
        <v>117973.2</v>
      </c>
      <c r="X164">
        <f>Table1[[#This Row],[DeliveryDate]]-Table1[[#This Row],[OrderDate]]</f>
        <v>5</v>
      </c>
      <c r="Y164" t="str">
        <f>TEXT(Table1[[#This Row],[OrderDate]],"MMMM")</f>
        <v>March</v>
      </c>
      <c r="Z164" s="5">
        <f>YEAR(Table1[[#This Row],[OrderDate]])</f>
        <v>2024</v>
      </c>
    </row>
    <row r="165" spans="1:26" x14ac:dyDescent="0.3">
      <c r="A165" s="1" t="s">
        <v>825</v>
      </c>
      <c r="B165" t="s">
        <v>261</v>
      </c>
      <c r="C165" s="3">
        <v>52</v>
      </c>
      <c r="D165" s="1" t="s">
        <v>24</v>
      </c>
      <c r="E165" s="1" t="s">
        <v>25</v>
      </c>
      <c r="F165" s="1" t="s">
        <v>53</v>
      </c>
      <c r="G165" s="4">
        <v>45001</v>
      </c>
      <c r="H165" s="4">
        <v>45011</v>
      </c>
      <c r="I165" s="1" t="s">
        <v>29</v>
      </c>
      <c r="J165" s="1" t="s">
        <v>30</v>
      </c>
      <c r="K165" s="3">
        <v>3</v>
      </c>
      <c r="L165" s="2">
        <v>68367</v>
      </c>
      <c r="M165" s="3">
        <v>10</v>
      </c>
      <c r="N165" s="1" t="s">
        <v>45</v>
      </c>
      <c r="O165" s="1" t="s">
        <v>133</v>
      </c>
      <c r="P165" s="1" t="s">
        <v>69</v>
      </c>
      <c r="Q165" s="1" t="s">
        <v>264</v>
      </c>
      <c r="R165" s="1" t="s">
        <v>827</v>
      </c>
      <c r="S165" s="3">
        <v>4</v>
      </c>
      <c r="T165" s="1" t="s">
        <v>72</v>
      </c>
      <c r="U165" s="3">
        <v>478</v>
      </c>
      <c r="V165" s="1" t="s">
        <v>37</v>
      </c>
      <c r="W165" s="5">
        <f>Table1[[#This Row],[Quantity]]*Table1[[#This Row],[Price]]*(1-Table1[[#This Row],[Discount %]]/100)</f>
        <v>184590.9</v>
      </c>
      <c r="X165">
        <f>Table1[[#This Row],[DeliveryDate]]-Table1[[#This Row],[OrderDate]]</f>
        <v>10</v>
      </c>
      <c r="Y165" t="str">
        <f>TEXT(Table1[[#This Row],[OrderDate]],"MMMM")</f>
        <v>March</v>
      </c>
      <c r="Z165" s="5">
        <f>YEAR(Table1[[#This Row],[OrderDate]])</f>
        <v>2023</v>
      </c>
    </row>
    <row r="166" spans="1:26" x14ac:dyDescent="0.3">
      <c r="A166" s="1" t="s">
        <v>828</v>
      </c>
      <c r="B166" t="s">
        <v>113</v>
      </c>
      <c r="C166" s="3">
        <v>39</v>
      </c>
      <c r="D166" s="1" t="s">
        <v>51</v>
      </c>
      <c r="E166" s="1" t="s">
        <v>52</v>
      </c>
      <c r="F166" s="1" t="s">
        <v>53</v>
      </c>
      <c r="G166" s="4">
        <v>44960</v>
      </c>
      <c r="H166" s="4">
        <v>44965</v>
      </c>
      <c r="I166" s="1" t="s">
        <v>108</v>
      </c>
      <c r="J166" s="1" t="s">
        <v>30</v>
      </c>
      <c r="K166" s="3">
        <v>5</v>
      </c>
      <c r="L166" s="2">
        <v>16535</v>
      </c>
      <c r="M166" s="3">
        <v>15</v>
      </c>
      <c r="N166" s="1" t="s">
        <v>166</v>
      </c>
      <c r="O166" s="1" t="s">
        <v>32</v>
      </c>
      <c r="P166" s="1" t="s">
        <v>174</v>
      </c>
      <c r="Q166" s="1" t="s">
        <v>116</v>
      </c>
      <c r="R166" s="1" t="s">
        <v>831</v>
      </c>
      <c r="S166" s="3">
        <v>3</v>
      </c>
      <c r="T166" s="1" t="s">
        <v>72</v>
      </c>
      <c r="U166" s="3">
        <v>141</v>
      </c>
      <c r="V166" s="1" t="s">
        <v>79</v>
      </c>
      <c r="W166" s="5">
        <f>Table1[[#This Row],[Quantity]]*Table1[[#This Row],[Price]]*(1-Table1[[#This Row],[Discount %]]/100)</f>
        <v>70273.75</v>
      </c>
      <c r="X166">
        <f>Table1[[#This Row],[DeliveryDate]]-Table1[[#This Row],[OrderDate]]</f>
        <v>5</v>
      </c>
      <c r="Y166" t="str">
        <f>TEXT(Table1[[#This Row],[OrderDate]],"MMMM")</f>
        <v>February</v>
      </c>
      <c r="Z166" s="5">
        <f>YEAR(Table1[[#This Row],[OrderDate]])</f>
        <v>2023</v>
      </c>
    </row>
    <row r="167" spans="1:26" x14ac:dyDescent="0.3">
      <c r="A167" s="1" t="s">
        <v>832</v>
      </c>
      <c r="B167" t="s">
        <v>105</v>
      </c>
      <c r="C167" s="3">
        <v>27</v>
      </c>
      <c r="D167" s="1" t="s">
        <v>51</v>
      </c>
      <c r="E167" s="1" t="s">
        <v>52</v>
      </c>
      <c r="F167" s="1" t="s">
        <v>65</v>
      </c>
      <c r="G167" s="4">
        <v>45000</v>
      </c>
      <c r="H167" s="4">
        <v>45007</v>
      </c>
      <c r="I167" s="1" t="s">
        <v>93</v>
      </c>
      <c r="J167" s="1" t="s">
        <v>30</v>
      </c>
      <c r="K167" s="3">
        <v>2</v>
      </c>
      <c r="L167" s="2">
        <v>69669</v>
      </c>
      <c r="M167" s="3">
        <v>15</v>
      </c>
      <c r="N167" s="1" t="s">
        <v>56</v>
      </c>
      <c r="O167" s="1" t="s">
        <v>109</v>
      </c>
      <c r="P167" s="1" t="s">
        <v>58</v>
      </c>
      <c r="Q167" s="1" t="s">
        <v>110</v>
      </c>
      <c r="R167" s="1" t="s">
        <v>835</v>
      </c>
      <c r="S167" s="3">
        <v>1</v>
      </c>
      <c r="T167" s="1" t="s">
        <v>72</v>
      </c>
      <c r="U167" s="3">
        <v>296</v>
      </c>
      <c r="V167" s="1" t="s">
        <v>79</v>
      </c>
      <c r="W167" s="5">
        <f>Table1[[#This Row],[Quantity]]*Table1[[#This Row],[Price]]*(1-Table1[[#This Row],[Discount %]]/100)</f>
        <v>118437.3</v>
      </c>
      <c r="X167">
        <f>Table1[[#This Row],[DeliveryDate]]-Table1[[#This Row],[OrderDate]]</f>
        <v>7</v>
      </c>
      <c r="Y167" t="str">
        <f>TEXT(Table1[[#This Row],[OrderDate]],"MMMM")</f>
        <v>March</v>
      </c>
      <c r="Z167" s="5">
        <f>YEAR(Table1[[#This Row],[OrderDate]])</f>
        <v>2023</v>
      </c>
    </row>
    <row r="168" spans="1:26" x14ac:dyDescent="0.3">
      <c r="A168" s="1" t="s">
        <v>836</v>
      </c>
      <c r="B168" t="s">
        <v>471</v>
      </c>
      <c r="C168" s="3">
        <v>46</v>
      </c>
      <c r="D168" s="1" t="s">
        <v>51</v>
      </c>
      <c r="E168" s="1" t="s">
        <v>131</v>
      </c>
      <c r="F168" s="1" t="s">
        <v>65</v>
      </c>
      <c r="G168" s="4">
        <v>45078</v>
      </c>
      <c r="H168" s="4">
        <v>45085</v>
      </c>
      <c r="I168" s="1" t="s">
        <v>85</v>
      </c>
      <c r="J168" s="1" t="s">
        <v>30</v>
      </c>
      <c r="K168" s="3">
        <v>2</v>
      </c>
      <c r="L168" s="2">
        <v>5251</v>
      </c>
      <c r="M168" s="3">
        <v>5</v>
      </c>
      <c r="N168" s="1" t="s">
        <v>56</v>
      </c>
      <c r="O168" s="1" t="s">
        <v>173</v>
      </c>
      <c r="P168" s="1" t="s">
        <v>33</v>
      </c>
      <c r="Q168" s="1" t="s">
        <v>495</v>
      </c>
      <c r="R168" s="1" t="s">
        <v>838</v>
      </c>
      <c r="S168" s="3">
        <v>5</v>
      </c>
      <c r="T168" s="1" t="s">
        <v>61</v>
      </c>
      <c r="U168" s="3">
        <v>416</v>
      </c>
      <c r="V168" s="1" t="s">
        <v>62</v>
      </c>
      <c r="W168" s="5">
        <f>Table1[[#This Row],[Quantity]]*Table1[[#This Row],[Price]]*(1-Table1[[#This Row],[Discount %]]/100)</f>
        <v>9976.9</v>
      </c>
      <c r="X168">
        <f>Table1[[#This Row],[DeliveryDate]]-Table1[[#This Row],[OrderDate]]</f>
        <v>7</v>
      </c>
      <c r="Y168" t="str">
        <f>TEXT(Table1[[#This Row],[OrderDate]],"MMMM")</f>
        <v>June</v>
      </c>
      <c r="Z168" s="5">
        <f>YEAR(Table1[[#This Row],[OrderDate]])</f>
        <v>2023</v>
      </c>
    </row>
    <row r="169" spans="1:26" x14ac:dyDescent="0.3">
      <c r="A169" s="1" t="s">
        <v>839</v>
      </c>
      <c r="B169" t="s">
        <v>840</v>
      </c>
      <c r="C169" s="3">
        <v>34</v>
      </c>
      <c r="D169" s="1" t="s">
        <v>51</v>
      </c>
      <c r="E169" s="1" t="s">
        <v>52</v>
      </c>
      <c r="F169" s="1" t="s">
        <v>65</v>
      </c>
      <c r="G169" s="4">
        <v>45539</v>
      </c>
      <c r="H169" s="4">
        <v>45547</v>
      </c>
      <c r="I169" s="1" t="s">
        <v>93</v>
      </c>
      <c r="J169" s="1" t="s">
        <v>30</v>
      </c>
      <c r="K169" s="3">
        <v>3</v>
      </c>
      <c r="L169" s="2">
        <v>28893</v>
      </c>
      <c r="M169" s="3">
        <v>15</v>
      </c>
      <c r="N169" s="1" t="s">
        <v>31</v>
      </c>
      <c r="O169" s="1" t="s">
        <v>133</v>
      </c>
      <c r="P169" s="1" t="s">
        <v>174</v>
      </c>
      <c r="Q169" s="1" t="s">
        <v>3415</v>
      </c>
      <c r="R169" s="1" t="s">
        <v>3415</v>
      </c>
      <c r="S169" s="3">
        <v>3</v>
      </c>
      <c r="T169" s="1" t="s">
        <v>72</v>
      </c>
      <c r="U169" s="3">
        <v>82</v>
      </c>
      <c r="V169" s="1" t="s">
        <v>37</v>
      </c>
      <c r="W169" s="5">
        <f>Table1[[#This Row],[Quantity]]*Table1[[#This Row],[Price]]*(1-Table1[[#This Row],[Discount %]]/100)</f>
        <v>73677.149999999994</v>
      </c>
      <c r="X169">
        <f>Table1[[#This Row],[DeliveryDate]]-Table1[[#This Row],[OrderDate]]</f>
        <v>8</v>
      </c>
      <c r="Y169" t="str">
        <f>TEXT(Table1[[#This Row],[OrderDate]],"MMMM")</f>
        <v>September</v>
      </c>
      <c r="Z169" s="5">
        <f>YEAR(Table1[[#This Row],[OrderDate]])</f>
        <v>2024</v>
      </c>
    </row>
    <row r="170" spans="1:26" x14ac:dyDescent="0.3">
      <c r="A170" s="1" t="s">
        <v>842</v>
      </c>
      <c r="B170" t="s">
        <v>243</v>
      </c>
      <c r="C170" s="3">
        <v>22</v>
      </c>
      <c r="D170" s="1" t="s">
        <v>51</v>
      </c>
      <c r="E170" s="1" t="s">
        <v>99</v>
      </c>
      <c r="F170" s="1" t="s">
        <v>91</v>
      </c>
      <c r="G170" s="4">
        <v>45213</v>
      </c>
      <c r="H170" s="4">
        <v>45216</v>
      </c>
      <c r="I170" s="1" t="s">
        <v>108</v>
      </c>
      <c r="J170" s="1" t="s">
        <v>44</v>
      </c>
      <c r="K170" s="3">
        <v>5</v>
      </c>
      <c r="L170" s="2">
        <v>41362</v>
      </c>
      <c r="M170" s="3">
        <v>10</v>
      </c>
      <c r="N170" s="1" t="s">
        <v>31</v>
      </c>
      <c r="O170" s="1" t="s">
        <v>281</v>
      </c>
      <c r="P170" s="1" t="s">
        <v>69</v>
      </c>
      <c r="Q170" s="1" t="s">
        <v>246</v>
      </c>
      <c r="R170" s="1" t="s">
        <v>844</v>
      </c>
      <c r="S170" s="3">
        <v>3</v>
      </c>
      <c r="T170" s="1" t="s">
        <v>61</v>
      </c>
      <c r="U170" s="3">
        <v>152</v>
      </c>
      <c r="V170" s="1" t="s">
        <v>37</v>
      </c>
      <c r="W170" s="5">
        <f>Table1[[#This Row],[Quantity]]*Table1[[#This Row],[Price]]*(1-Table1[[#This Row],[Discount %]]/100)</f>
        <v>186129</v>
      </c>
      <c r="X170">
        <f>Table1[[#This Row],[DeliveryDate]]-Table1[[#This Row],[OrderDate]]</f>
        <v>3</v>
      </c>
      <c r="Y170" t="str">
        <f>TEXT(Table1[[#This Row],[OrderDate]],"MMMM")</f>
        <v>October</v>
      </c>
      <c r="Z170" s="5">
        <f>YEAR(Table1[[#This Row],[OrderDate]])</f>
        <v>2023</v>
      </c>
    </row>
    <row r="171" spans="1:26" x14ac:dyDescent="0.3">
      <c r="A171" s="1" t="s">
        <v>845</v>
      </c>
      <c r="B171" t="s">
        <v>767</v>
      </c>
      <c r="C171" s="3">
        <v>28</v>
      </c>
      <c r="D171" s="1" t="s">
        <v>51</v>
      </c>
      <c r="E171" s="1" t="s">
        <v>25</v>
      </c>
      <c r="F171" s="1" t="s">
        <v>65</v>
      </c>
      <c r="G171" s="4">
        <v>45373</v>
      </c>
      <c r="H171" s="4">
        <v>45380</v>
      </c>
      <c r="I171" s="1" t="s">
        <v>108</v>
      </c>
      <c r="J171" s="1" t="s">
        <v>44</v>
      </c>
      <c r="K171" s="3">
        <v>5</v>
      </c>
      <c r="L171" s="2">
        <v>53334</v>
      </c>
      <c r="M171" s="3">
        <v>15</v>
      </c>
      <c r="N171" s="1" t="s">
        <v>45</v>
      </c>
      <c r="O171" s="1" t="s">
        <v>173</v>
      </c>
      <c r="P171" s="1" t="s">
        <v>33</v>
      </c>
      <c r="Q171" s="1" t="s">
        <v>769</v>
      </c>
      <c r="R171" s="1" t="s">
        <v>848</v>
      </c>
      <c r="S171" s="3">
        <v>5</v>
      </c>
      <c r="T171" s="1" t="s">
        <v>96</v>
      </c>
      <c r="U171" s="3">
        <v>223</v>
      </c>
      <c r="V171" s="1" t="s">
        <v>79</v>
      </c>
      <c r="W171" s="5">
        <f>Table1[[#This Row],[Quantity]]*Table1[[#This Row],[Price]]*(1-Table1[[#This Row],[Discount %]]/100)</f>
        <v>226669.5</v>
      </c>
      <c r="X171">
        <f>Table1[[#This Row],[DeliveryDate]]-Table1[[#This Row],[OrderDate]]</f>
        <v>7</v>
      </c>
      <c r="Y171" t="str">
        <f>TEXT(Table1[[#This Row],[OrderDate]],"MMMM")</f>
        <v>March</v>
      </c>
      <c r="Z171" s="5">
        <f>YEAR(Table1[[#This Row],[OrderDate]])</f>
        <v>2024</v>
      </c>
    </row>
    <row r="172" spans="1:26" x14ac:dyDescent="0.3">
      <c r="A172" s="1" t="s">
        <v>849</v>
      </c>
      <c r="B172" t="s">
        <v>850</v>
      </c>
      <c r="C172" s="3">
        <v>23</v>
      </c>
      <c r="D172" s="1" t="s">
        <v>24</v>
      </c>
      <c r="E172" s="1" t="s">
        <v>52</v>
      </c>
      <c r="F172" s="1" t="s">
        <v>26</v>
      </c>
      <c r="G172" s="4">
        <v>45146</v>
      </c>
      <c r="H172" s="4">
        <v>45155</v>
      </c>
      <c r="I172" s="1" t="s">
        <v>108</v>
      </c>
      <c r="J172" s="1" t="s">
        <v>30</v>
      </c>
      <c r="K172" s="3">
        <v>5</v>
      </c>
      <c r="L172" s="2">
        <v>45767</v>
      </c>
      <c r="M172" s="3">
        <v>15</v>
      </c>
      <c r="N172" s="1" t="s">
        <v>45</v>
      </c>
      <c r="O172" s="1" t="s">
        <v>281</v>
      </c>
      <c r="P172" s="1" t="s">
        <v>33</v>
      </c>
      <c r="Q172" s="1" t="s">
        <v>3415</v>
      </c>
      <c r="R172" s="1" t="s">
        <v>853</v>
      </c>
      <c r="S172" s="3">
        <v>3</v>
      </c>
      <c r="T172" s="1" t="s">
        <v>72</v>
      </c>
      <c r="U172" s="3">
        <v>310</v>
      </c>
      <c r="V172" s="1" t="s">
        <v>79</v>
      </c>
      <c r="W172" s="5">
        <f>Table1[[#This Row],[Quantity]]*Table1[[#This Row],[Price]]*(1-Table1[[#This Row],[Discount %]]/100)</f>
        <v>194509.75</v>
      </c>
      <c r="X172">
        <f>Table1[[#This Row],[DeliveryDate]]-Table1[[#This Row],[OrderDate]]</f>
        <v>9</v>
      </c>
      <c r="Y172" t="str">
        <f>TEXT(Table1[[#This Row],[OrderDate]],"MMMM")</f>
        <v>August</v>
      </c>
      <c r="Z172" s="5">
        <f>YEAR(Table1[[#This Row],[OrderDate]])</f>
        <v>2023</v>
      </c>
    </row>
    <row r="173" spans="1:26" x14ac:dyDescent="0.3">
      <c r="A173" s="1" t="s">
        <v>854</v>
      </c>
      <c r="B173" t="s">
        <v>113</v>
      </c>
      <c r="C173" s="3">
        <v>50</v>
      </c>
      <c r="D173" s="1" t="s">
        <v>24</v>
      </c>
      <c r="E173" s="1" t="s">
        <v>25</v>
      </c>
      <c r="F173" s="1" t="s">
        <v>91</v>
      </c>
      <c r="G173" s="4">
        <v>45420</v>
      </c>
      <c r="H173" s="4">
        <v>45427</v>
      </c>
      <c r="I173" s="1" t="s">
        <v>43</v>
      </c>
      <c r="J173" s="1" t="s">
        <v>30</v>
      </c>
      <c r="K173" s="3">
        <v>4</v>
      </c>
      <c r="L173" s="2">
        <v>19559</v>
      </c>
      <c r="M173" s="3">
        <v>0</v>
      </c>
      <c r="N173" s="1" t="s">
        <v>56</v>
      </c>
      <c r="O173" s="1" t="s">
        <v>173</v>
      </c>
      <c r="P173" s="1" t="s">
        <v>58</v>
      </c>
      <c r="Q173" s="1" t="s">
        <v>3415</v>
      </c>
      <c r="R173" s="1" t="s">
        <v>3415</v>
      </c>
      <c r="S173" s="3">
        <v>4</v>
      </c>
      <c r="T173" s="1" t="s">
        <v>61</v>
      </c>
      <c r="U173" s="3">
        <v>238</v>
      </c>
      <c r="V173" s="1" t="s">
        <v>37</v>
      </c>
      <c r="W173" s="5">
        <f>Table1[[#This Row],[Quantity]]*Table1[[#This Row],[Price]]*(1-Table1[[#This Row],[Discount %]]/100)</f>
        <v>78236</v>
      </c>
      <c r="X173">
        <f>Table1[[#This Row],[DeliveryDate]]-Table1[[#This Row],[OrderDate]]</f>
        <v>7</v>
      </c>
      <c r="Y173" t="str">
        <f>TEXT(Table1[[#This Row],[OrderDate]],"MMMM")</f>
        <v>May</v>
      </c>
      <c r="Z173" s="5">
        <f>YEAR(Table1[[#This Row],[OrderDate]])</f>
        <v>2024</v>
      </c>
    </row>
    <row r="174" spans="1:26" x14ac:dyDescent="0.3">
      <c r="A174" s="1" t="s">
        <v>855</v>
      </c>
      <c r="B174" t="s">
        <v>23</v>
      </c>
      <c r="C174" s="3">
        <v>42</v>
      </c>
      <c r="D174" s="1" t="s">
        <v>24</v>
      </c>
      <c r="E174" s="1" t="s">
        <v>99</v>
      </c>
      <c r="F174" s="1" t="s">
        <v>65</v>
      </c>
      <c r="G174" s="4">
        <v>45019</v>
      </c>
      <c r="H174" s="4">
        <v>45022</v>
      </c>
      <c r="I174" s="1" t="s">
        <v>85</v>
      </c>
      <c r="J174" s="1" t="s">
        <v>44</v>
      </c>
      <c r="K174" s="3">
        <v>4</v>
      </c>
      <c r="L174" s="2">
        <v>40835</v>
      </c>
      <c r="M174" s="3">
        <v>0</v>
      </c>
      <c r="N174" s="1" t="s">
        <v>56</v>
      </c>
      <c r="O174" s="1" t="s">
        <v>32</v>
      </c>
      <c r="P174" s="1" t="s">
        <v>69</v>
      </c>
      <c r="Q174" s="1" t="s">
        <v>34</v>
      </c>
      <c r="R174" s="1" t="s">
        <v>858</v>
      </c>
      <c r="S174" s="3">
        <v>2</v>
      </c>
      <c r="T174" s="1" t="s">
        <v>72</v>
      </c>
      <c r="U174" s="3">
        <v>69</v>
      </c>
      <c r="V174" s="1" t="s">
        <v>37</v>
      </c>
      <c r="W174" s="5">
        <f>Table1[[#This Row],[Quantity]]*Table1[[#This Row],[Price]]*(1-Table1[[#This Row],[Discount %]]/100)</f>
        <v>163340</v>
      </c>
      <c r="X174">
        <f>Table1[[#This Row],[DeliveryDate]]-Table1[[#This Row],[OrderDate]]</f>
        <v>3</v>
      </c>
      <c r="Y174" t="str">
        <f>TEXT(Table1[[#This Row],[OrderDate]],"MMMM")</f>
        <v>April</v>
      </c>
      <c r="Z174" s="5">
        <f>YEAR(Table1[[#This Row],[OrderDate]])</f>
        <v>2023</v>
      </c>
    </row>
    <row r="175" spans="1:26" x14ac:dyDescent="0.3">
      <c r="A175" s="1" t="s">
        <v>859</v>
      </c>
      <c r="B175" t="s">
        <v>860</v>
      </c>
      <c r="C175" s="3">
        <v>54</v>
      </c>
      <c r="D175" s="1" t="s">
        <v>51</v>
      </c>
      <c r="E175" s="1" t="s">
        <v>26</v>
      </c>
      <c r="F175" s="1" t="s">
        <v>91</v>
      </c>
      <c r="G175" s="4">
        <v>45083</v>
      </c>
      <c r="H175" s="4">
        <v>45087</v>
      </c>
      <c r="I175" s="1" t="s">
        <v>93</v>
      </c>
      <c r="J175" s="1" t="s">
        <v>30</v>
      </c>
      <c r="K175" s="3">
        <v>2</v>
      </c>
      <c r="L175" s="2">
        <v>20155</v>
      </c>
      <c r="M175" s="3">
        <v>0</v>
      </c>
      <c r="N175" s="1" t="s">
        <v>56</v>
      </c>
      <c r="O175" s="1" t="s">
        <v>68</v>
      </c>
      <c r="P175" s="1" t="s">
        <v>33</v>
      </c>
      <c r="Q175" s="1" t="s">
        <v>862</v>
      </c>
      <c r="R175" s="1" t="s">
        <v>863</v>
      </c>
      <c r="S175" s="3">
        <v>5</v>
      </c>
      <c r="T175" s="1" t="s">
        <v>61</v>
      </c>
      <c r="U175" s="3">
        <v>317</v>
      </c>
      <c r="V175" s="1" t="s">
        <v>62</v>
      </c>
      <c r="W175" s="5">
        <f>Table1[[#This Row],[Quantity]]*Table1[[#This Row],[Price]]*(1-Table1[[#This Row],[Discount %]]/100)</f>
        <v>40310</v>
      </c>
      <c r="X175">
        <f>Table1[[#This Row],[DeliveryDate]]-Table1[[#This Row],[OrderDate]]</f>
        <v>4</v>
      </c>
      <c r="Y175" t="str">
        <f>TEXT(Table1[[#This Row],[OrderDate]],"MMMM")</f>
        <v>June</v>
      </c>
      <c r="Z175" s="5">
        <f>YEAR(Table1[[#This Row],[OrderDate]])</f>
        <v>2023</v>
      </c>
    </row>
    <row r="176" spans="1:26" x14ac:dyDescent="0.3">
      <c r="A176" s="1" t="s">
        <v>864</v>
      </c>
      <c r="B176" t="s">
        <v>382</v>
      </c>
      <c r="C176" s="3">
        <v>23</v>
      </c>
      <c r="D176" s="1" t="s">
        <v>51</v>
      </c>
      <c r="E176" s="1" t="s">
        <v>26</v>
      </c>
      <c r="F176" s="1" t="s">
        <v>53</v>
      </c>
      <c r="G176" s="4">
        <v>45210</v>
      </c>
      <c r="H176" s="4">
        <v>45220</v>
      </c>
      <c r="I176" s="1" t="s">
        <v>93</v>
      </c>
      <c r="J176" s="1" t="s">
        <v>44</v>
      </c>
      <c r="K176" s="3">
        <v>4</v>
      </c>
      <c r="L176" s="2">
        <v>30980</v>
      </c>
      <c r="M176" s="3">
        <v>5</v>
      </c>
      <c r="N176" s="1" t="s">
        <v>166</v>
      </c>
      <c r="O176" s="1" t="s">
        <v>281</v>
      </c>
      <c r="P176" s="1" t="s">
        <v>69</v>
      </c>
      <c r="Q176" s="1" t="s">
        <v>3415</v>
      </c>
      <c r="R176" s="1" t="s">
        <v>865</v>
      </c>
      <c r="S176" s="3">
        <v>4</v>
      </c>
      <c r="T176" s="1" t="s">
        <v>36</v>
      </c>
      <c r="U176" s="3">
        <v>416</v>
      </c>
      <c r="V176" s="1" t="s">
        <v>79</v>
      </c>
      <c r="W176" s="5">
        <f>Table1[[#This Row],[Quantity]]*Table1[[#This Row],[Price]]*(1-Table1[[#This Row],[Discount %]]/100)</f>
        <v>117724</v>
      </c>
      <c r="X176">
        <f>Table1[[#This Row],[DeliveryDate]]-Table1[[#This Row],[OrderDate]]</f>
        <v>10</v>
      </c>
      <c r="Y176" t="str">
        <f>TEXT(Table1[[#This Row],[OrderDate]],"MMMM")</f>
        <v>October</v>
      </c>
      <c r="Z176" s="5">
        <f>YEAR(Table1[[#This Row],[OrderDate]])</f>
        <v>2023</v>
      </c>
    </row>
    <row r="177" spans="1:26" x14ac:dyDescent="0.3">
      <c r="A177" s="1" t="s">
        <v>866</v>
      </c>
      <c r="B177" t="s">
        <v>50</v>
      </c>
      <c r="C177" s="3">
        <v>24</v>
      </c>
      <c r="D177" s="1" t="s">
        <v>24</v>
      </c>
      <c r="E177" s="1" t="s">
        <v>99</v>
      </c>
      <c r="F177" s="1" t="s">
        <v>91</v>
      </c>
      <c r="G177" s="4">
        <v>45103</v>
      </c>
      <c r="H177" s="4">
        <v>45105</v>
      </c>
      <c r="I177" s="1" t="s">
        <v>77</v>
      </c>
      <c r="J177" s="1" t="s">
        <v>44</v>
      </c>
      <c r="K177" s="3">
        <v>2</v>
      </c>
      <c r="L177" s="2">
        <v>67861</v>
      </c>
      <c r="M177" s="3">
        <v>10</v>
      </c>
      <c r="N177" s="1" t="s">
        <v>56</v>
      </c>
      <c r="O177" s="1" t="s">
        <v>46</v>
      </c>
      <c r="P177" s="1" t="s">
        <v>58</v>
      </c>
      <c r="Q177" s="1" t="s">
        <v>59</v>
      </c>
      <c r="R177" s="1" t="s">
        <v>868</v>
      </c>
      <c r="S177" s="3">
        <v>3</v>
      </c>
      <c r="T177" s="1" t="s">
        <v>36</v>
      </c>
      <c r="U177" s="3">
        <v>399</v>
      </c>
      <c r="V177" s="1" t="s">
        <v>79</v>
      </c>
      <c r="W177" s="5">
        <f>Table1[[#This Row],[Quantity]]*Table1[[#This Row],[Price]]*(1-Table1[[#This Row],[Discount %]]/100)</f>
        <v>122149.8</v>
      </c>
      <c r="X177">
        <f>Table1[[#This Row],[DeliveryDate]]-Table1[[#This Row],[OrderDate]]</f>
        <v>2</v>
      </c>
      <c r="Y177" t="str">
        <f>TEXT(Table1[[#This Row],[OrderDate]],"MMMM")</f>
        <v>June</v>
      </c>
      <c r="Z177" s="5">
        <f>YEAR(Table1[[#This Row],[OrderDate]])</f>
        <v>2023</v>
      </c>
    </row>
    <row r="178" spans="1:26" x14ac:dyDescent="0.3">
      <c r="A178" s="1" t="s">
        <v>869</v>
      </c>
      <c r="B178" t="s">
        <v>235</v>
      </c>
      <c r="C178" s="3">
        <v>58</v>
      </c>
      <c r="D178" s="1" t="s">
        <v>24</v>
      </c>
      <c r="E178" s="1" t="s">
        <v>229</v>
      </c>
      <c r="F178" s="1" t="s">
        <v>82</v>
      </c>
      <c r="G178" s="4">
        <v>45273</v>
      </c>
      <c r="H178" s="4">
        <v>45283</v>
      </c>
      <c r="I178" s="1" t="s">
        <v>77</v>
      </c>
      <c r="J178" s="1" t="s">
        <v>44</v>
      </c>
      <c r="K178" s="3">
        <v>5</v>
      </c>
      <c r="L178" s="2">
        <v>13315</v>
      </c>
      <c r="M178" s="3">
        <v>5</v>
      </c>
      <c r="N178" s="1" t="s">
        <v>45</v>
      </c>
      <c r="O178" s="1" t="s">
        <v>86</v>
      </c>
      <c r="P178" s="1" t="s">
        <v>69</v>
      </c>
      <c r="Q178" s="1" t="s">
        <v>871</v>
      </c>
      <c r="R178" s="1" t="s">
        <v>872</v>
      </c>
      <c r="S178" s="3">
        <v>3</v>
      </c>
      <c r="T178" s="1" t="s">
        <v>36</v>
      </c>
      <c r="U178" s="3">
        <v>92</v>
      </c>
      <c r="V178" s="1" t="s">
        <v>37</v>
      </c>
      <c r="W178" s="5">
        <f>Table1[[#This Row],[Quantity]]*Table1[[#This Row],[Price]]*(1-Table1[[#This Row],[Discount %]]/100)</f>
        <v>63246.25</v>
      </c>
      <c r="X178">
        <f>Table1[[#This Row],[DeliveryDate]]-Table1[[#This Row],[OrderDate]]</f>
        <v>10</v>
      </c>
      <c r="Y178" t="str">
        <f>TEXT(Table1[[#This Row],[OrderDate]],"MMMM")</f>
        <v>December</v>
      </c>
      <c r="Z178" s="5">
        <f>YEAR(Table1[[#This Row],[OrderDate]])</f>
        <v>2023</v>
      </c>
    </row>
    <row r="179" spans="1:26" x14ac:dyDescent="0.3">
      <c r="A179" s="1" t="s">
        <v>873</v>
      </c>
      <c r="B179" t="s">
        <v>570</v>
      </c>
      <c r="C179" s="3">
        <v>48</v>
      </c>
      <c r="D179" s="1" t="s">
        <v>51</v>
      </c>
      <c r="E179" s="1" t="s">
        <v>26</v>
      </c>
      <c r="F179" s="1" t="s">
        <v>53</v>
      </c>
      <c r="G179" s="4">
        <v>45116</v>
      </c>
      <c r="H179" s="4">
        <v>45122</v>
      </c>
      <c r="I179" s="1" t="s">
        <v>29</v>
      </c>
      <c r="J179" s="1" t="s">
        <v>44</v>
      </c>
      <c r="K179" s="3">
        <v>3</v>
      </c>
      <c r="L179" s="2">
        <v>7525</v>
      </c>
      <c r="M179" s="3">
        <v>0</v>
      </c>
      <c r="N179" s="1" t="s">
        <v>166</v>
      </c>
      <c r="O179" s="1" t="s">
        <v>102</v>
      </c>
      <c r="P179" s="1" t="s">
        <v>174</v>
      </c>
      <c r="Q179" s="1" t="s">
        <v>573</v>
      </c>
      <c r="R179" s="1" t="s">
        <v>875</v>
      </c>
      <c r="S179" s="3">
        <v>3</v>
      </c>
      <c r="T179" s="1" t="s">
        <v>72</v>
      </c>
      <c r="U179" s="3">
        <v>491</v>
      </c>
      <c r="V179" s="1" t="s">
        <v>37</v>
      </c>
      <c r="W179" s="5">
        <f>Table1[[#This Row],[Quantity]]*Table1[[#This Row],[Price]]*(1-Table1[[#This Row],[Discount %]]/100)</f>
        <v>22575</v>
      </c>
      <c r="X179">
        <f>Table1[[#This Row],[DeliveryDate]]-Table1[[#This Row],[OrderDate]]</f>
        <v>6</v>
      </c>
      <c r="Y179" t="str">
        <f>TEXT(Table1[[#This Row],[OrderDate]],"MMMM")</f>
        <v>July</v>
      </c>
      <c r="Z179" s="5">
        <f>YEAR(Table1[[#This Row],[OrderDate]])</f>
        <v>2023</v>
      </c>
    </row>
    <row r="180" spans="1:26" x14ac:dyDescent="0.3">
      <c r="A180" s="1" t="s">
        <v>876</v>
      </c>
      <c r="B180" t="s">
        <v>125</v>
      </c>
      <c r="C180" s="3">
        <v>27</v>
      </c>
      <c r="D180" s="1" t="s">
        <v>24</v>
      </c>
      <c r="E180" s="1" t="s">
        <v>40</v>
      </c>
      <c r="F180" s="1" t="s">
        <v>65</v>
      </c>
      <c r="G180" s="4">
        <v>44966</v>
      </c>
      <c r="H180" s="4">
        <v>44971</v>
      </c>
      <c r="I180" s="1" t="s">
        <v>85</v>
      </c>
      <c r="J180" s="1" t="s">
        <v>44</v>
      </c>
      <c r="K180" s="3">
        <v>2</v>
      </c>
      <c r="L180" s="2">
        <v>32407</v>
      </c>
      <c r="M180" s="3">
        <v>10</v>
      </c>
      <c r="N180" s="1" t="s">
        <v>166</v>
      </c>
      <c r="O180" s="1" t="s">
        <v>86</v>
      </c>
      <c r="P180" s="1" t="s">
        <v>33</v>
      </c>
      <c r="Q180" s="1" t="s">
        <v>756</v>
      </c>
      <c r="R180" s="1" t="s">
        <v>879</v>
      </c>
      <c r="S180" s="3">
        <v>3</v>
      </c>
      <c r="T180" s="1" t="s">
        <v>61</v>
      </c>
      <c r="U180" s="3">
        <v>108</v>
      </c>
      <c r="V180" s="1" t="s">
        <v>37</v>
      </c>
      <c r="W180" s="5">
        <f>Table1[[#This Row],[Quantity]]*Table1[[#This Row],[Price]]*(1-Table1[[#This Row],[Discount %]]/100)</f>
        <v>58332.6</v>
      </c>
      <c r="X180">
        <f>Table1[[#This Row],[DeliveryDate]]-Table1[[#This Row],[OrderDate]]</f>
        <v>5</v>
      </c>
      <c r="Y180" t="str">
        <f>TEXT(Table1[[#This Row],[OrderDate]],"MMMM")</f>
        <v>February</v>
      </c>
      <c r="Z180" s="5">
        <f>YEAR(Table1[[#This Row],[OrderDate]])</f>
        <v>2023</v>
      </c>
    </row>
    <row r="181" spans="1:26" x14ac:dyDescent="0.3">
      <c r="A181" s="1" t="s">
        <v>880</v>
      </c>
      <c r="B181" t="s">
        <v>808</v>
      </c>
      <c r="C181" s="3">
        <v>30</v>
      </c>
      <c r="D181" s="1" t="s">
        <v>51</v>
      </c>
      <c r="E181" s="1" t="s">
        <v>99</v>
      </c>
      <c r="F181" s="1" t="s">
        <v>82</v>
      </c>
      <c r="G181" s="4">
        <v>45421</v>
      </c>
      <c r="H181" s="4">
        <v>45422</v>
      </c>
      <c r="I181" s="1" t="s">
        <v>93</v>
      </c>
      <c r="J181" s="1" t="s">
        <v>44</v>
      </c>
      <c r="K181" s="3">
        <v>3</v>
      </c>
      <c r="L181" s="2">
        <v>15202</v>
      </c>
      <c r="M181" s="3">
        <v>0</v>
      </c>
      <c r="N181" s="1" t="s">
        <v>166</v>
      </c>
      <c r="O181" s="1" t="s">
        <v>173</v>
      </c>
      <c r="P181" s="1" t="s">
        <v>58</v>
      </c>
      <c r="Q181" s="1" t="s">
        <v>191</v>
      </c>
      <c r="R181" s="1" t="s">
        <v>883</v>
      </c>
      <c r="S181" s="3">
        <v>5</v>
      </c>
      <c r="T181" s="1" t="s">
        <v>72</v>
      </c>
      <c r="U181" s="3">
        <v>383</v>
      </c>
      <c r="V181" s="1" t="s">
        <v>37</v>
      </c>
      <c r="W181" s="5">
        <f>Table1[[#This Row],[Quantity]]*Table1[[#This Row],[Price]]*(1-Table1[[#This Row],[Discount %]]/100)</f>
        <v>45606</v>
      </c>
      <c r="X181">
        <f>Table1[[#This Row],[DeliveryDate]]-Table1[[#This Row],[OrderDate]]</f>
        <v>1</v>
      </c>
      <c r="Y181" t="str">
        <f>TEXT(Table1[[#This Row],[OrderDate]],"MMMM")</f>
        <v>May</v>
      </c>
      <c r="Z181" s="5">
        <f>YEAR(Table1[[#This Row],[OrderDate]])</f>
        <v>2024</v>
      </c>
    </row>
    <row r="182" spans="1:26" x14ac:dyDescent="0.3">
      <c r="A182" s="1" t="s">
        <v>884</v>
      </c>
      <c r="B182" t="s">
        <v>74</v>
      </c>
      <c r="C182" s="3">
        <v>49</v>
      </c>
      <c r="D182" s="1" t="s">
        <v>51</v>
      </c>
      <c r="E182" s="1" t="s">
        <v>99</v>
      </c>
      <c r="F182" s="1" t="s">
        <v>65</v>
      </c>
      <c r="G182" s="4">
        <v>45024</v>
      </c>
      <c r="H182" s="4">
        <v>45029</v>
      </c>
      <c r="I182" s="1" t="s">
        <v>85</v>
      </c>
      <c r="J182" s="1" t="s">
        <v>30</v>
      </c>
      <c r="K182" s="3">
        <v>4</v>
      </c>
      <c r="L182" s="2">
        <v>41664</v>
      </c>
      <c r="M182" s="3">
        <v>5</v>
      </c>
      <c r="N182" s="1" t="s">
        <v>31</v>
      </c>
      <c r="O182" s="1" t="s">
        <v>46</v>
      </c>
      <c r="P182" s="1" t="s">
        <v>69</v>
      </c>
      <c r="Q182" s="1" t="s">
        <v>78</v>
      </c>
      <c r="R182" s="1" t="s">
        <v>887</v>
      </c>
      <c r="S182" s="3">
        <v>2</v>
      </c>
      <c r="T182" s="1" t="s">
        <v>36</v>
      </c>
      <c r="U182" s="3">
        <v>157</v>
      </c>
      <c r="V182" s="1" t="s">
        <v>62</v>
      </c>
      <c r="W182" s="5">
        <f>Table1[[#This Row],[Quantity]]*Table1[[#This Row],[Price]]*(1-Table1[[#This Row],[Discount %]]/100)</f>
        <v>158323.19999999998</v>
      </c>
      <c r="X182">
        <f>Table1[[#This Row],[DeliveryDate]]-Table1[[#This Row],[OrderDate]]</f>
        <v>5</v>
      </c>
      <c r="Y182" t="str">
        <f>TEXT(Table1[[#This Row],[OrderDate]],"MMMM")</f>
        <v>April</v>
      </c>
      <c r="Z182" s="5">
        <f>YEAR(Table1[[#This Row],[OrderDate]])</f>
        <v>2023</v>
      </c>
    </row>
    <row r="183" spans="1:26" x14ac:dyDescent="0.3">
      <c r="A183" s="1" t="s">
        <v>888</v>
      </c>
      <c r="B183" t="s">
        <v>660</v>
      </c>
      <c r="C183" s="3">
        <v>40</v>
      </c>
      <c r="D183" s="1" t="s">
        <v>51</v>
      </c>
      <c r="E183" s="1" t="s">
        <v>99</v>
      </c>
      <c r="F183" s="1" t="s">
        <v>53</v>
      </c>
      <c r="G183" s="4">
        <v>45193</v>
      </c>
      <c r="H183" s="4">
        <v>45198</v>
      </c>
      <c r="I183" s="1" t="s">
        <v>77</v>
      </c>
      <c r="J183" s="1" t="s">
        <v>44</v>
      </c>
      <c r="K183" s="3">
        <v>1</v>
      </c>
      <c r="L183" s="2">
        <v>29116</v>
      </c>
      <c r="M183" s="3">
        <v>5</v>
      </c>
      <c r="N183" s="1" t="s">
        <v>56</v>
      </c>
      <c r="O183" s="1" t="s">
        <v>281</v>
      </c>
      <c r="P183" s="1" t="s">
        <v>58</v>
      </c>
      <c r="Q183" s="1" t="s">
        <v>662</v>
      </c>
      <c r="R183" s="1" t="s">
        <v>889</v>
      </c>
      <c r="S183" s="3">
        <v>4</v>
      </c>
      <c r="T183" s="1" t="s">
        <v>36</v>
      </c>
      <c r="U183" s="3">
        <v>408</v>
      </c>
      <c r="V183" s="1" t="s">
        <v>37</v>
      </c>
      <c r="W183" s="5">
        <f>Table1[[#This Row],[Quantity]]*Table1[[#This Row],[Price]]*(1-Table1[[#This Row],[Discount %]]/100)</f>
        <v>27660.199999999997</v>
      </c>
      <c r="X183">
        <f>Table1[[#This Row],[DeliveryDate]]-Table1[[#This Row],[OrderDate]]</f>
        <v>5</v>
      </c>
      <c r="Y183" t="str">
        <f>TEXT(Table1[[#This Row],[OrderDate]],"MMMM")</f>
        <v>September</v>
      </c>
      <c r="Z183" s="5">
        <f>YEAR(Table1[[#This Row],[OrderDate]])</f>
        <v>2023</v>
      </c>
    </row>
    <row r="184" spans="1:26" x14ac:dyDescent="0.3">
      <c r="A184" s="1" t="s">
        <v>890</v>
      </c>
      <c r="B184" t="s">
        <v>674</v>
      </c>
      <c r="C184" s="3">
        <v>59</v>
      </c>
      <c r="D184" s="1" t="s">
        <v>51</v>
      </c>
      <c r="E184" s="1" t="s">
        <v>131</v>
      </c>
      <c r="F184" s="1" t="s">
        <v>65</v>
      </c>
      <c r="G184" s="4">
        <v>45613</v>
      </c>
      <c r="H184" s="4">
        <v>45623</v>
      </c>
      <c r="I184" s="1" t="s">
        <v>77</v>
      </c>
      <c r="J184" s="1" t="s">
        <v>30</v>
      </c>
      <c r="K184" s="3">
        <v>3</v>
      </c>
      <c r="L184" s="2">
        <v>6383</v>
      </c>
      <c r="M184" s="3">
        <v>15</v>
      </c>
      <c r="N184" s="1" t="s">
        <v>31</v>
      </c>
      <c r="O184" s="1" t="s">
        <v>86</v>
      </c>
      <c r="P184" s="1" t="s">
        <v>58</v>
      </c>
      <c r="Q184" s="1" t="s">
        <v>677</v>
      </c>
      <c r="R184" s="1" t="s">
        <v>892</v>
      </c>
      <c r="S184" s="3">
        <v>1</v>
      </c>
      <c r="T184" s="1" t="s">
        <v>36</v>
      </c>
      <c r="U184" s="3">
        <v>435</v>
      </c>
      <c r="V184" s="1" t="s">
        <v>62</v>
      </c>
      <c r="W184" s="5">
        <f>Table1[[#This Row],[Quantity]]*Table1[[#This Row],[Price]]*(1-Table1[[#This Row],[Discount %]]/100)</f>
        <v>16276.65</v>
      </c>
      <c r="X184">
        <f>Table1[[#This Row],[DeliveryDate]]-Table1[[#This Row],[OrderDate]]</f>
        <v>10</v>
      </c>
      <c r="Y184" t="str">
        <f>TEXT(Table1[[#This Row],[OrderDate]],"MMMM")</f>
        <v>November</v>
      </c>
      <c r="Z184" s="5">
        <f>YEAR(Table1[[#This Row],[OrderDate]])</f>
        <v>2024</v>
      </c>
    </row>
    <row r="185" spans="1:26" x14ac:dyDescent="0.3">
      <c r="A185" s="1" t="s">
        <v>893</v>
      </c>
      <c r="B185" t="s">
        <v>850</v>
      </c>
      <c r="C185" s="3">
        <v>52</v>
      </c>
      <c r="D185" s="1" t="s">
        <v>51</v>
      </c>
      <c r="E185" s="1" t="s">
        <v>26</v>
      </c>
      <c r="F185" s="1" t="s">
        <v>82</v>
      </c>
      <c r="G185" s="4">
        <v>45201</v>
      </c>
      <c r="H185" s="4">
        <v>45208</v>
      </c>
      <c r="I185" s="1" t="s">
        <v>29</v>
      </c>
      <c r="J185" s="1" t="s">
        <v>44</v>
      </c>
      <c r="K185" s="3">
        <v>5</v>
      </c>
      <c r="L185" s="2">
        <v>77020</v>
      </c>
      <c r="M185" s="3">
        <v>15</v>
      </c>
      <c r="N185" s="1" t="s">
        <v>56</v>
      </c>
      <c r="O185" s="1" t="s">
        <v>109</v>
      </c>
      <c r="P185" s="1" t="s">
        <v>58</v>
      </c>
      <c r="Q185" s="1" t="s">
        <v>258</v>
      </c>
      <c r="R185" s="1" t="s">
        <v>896</v>
      </c>
      <c r="S185" s="3">
        <v>3</v>
      </c>
      <c r="T185" s="1" t="s">
        <v>72</v>
      </c>
      <c r="U185" s="3">
        <v>262</v>
      </c>
      <c r="V185" s="1" t="s">
        <v>62</v>
      </c>
      <c r="W185" s="5">
        <f>Table1[[#This Row],[Quantity]]*Table1[[#This Row],[Price]]*(1-Table1[[#This Row],[Discount %]]/100)</f>
        <v>327335</v>
      </c>
      <c r="X185">
        <f>Table1[[#This Row],[DeliveryDate]]-Table1[[#This Row],[OrderDate]]</f>
        <v>7</v>
      </c>
      <c r="Y185" t="str">
        <f>TEXT(Table1[[#This Row],[OrderDate]],"MMMM")</f>
        <v>October</v>
      </c>
      <c r="Z185" s="5">
        <f>YEAR(Table1[[#This Row],[OrderDate]])</f>
        <v>2023</v>
      </c>
    </row>
    <row r="186" spans="1:26" x14ac:dyDescent="0.3">
      <c r="A186" s="1" t="s">
        <v>897</v>
      </c>
      <c r="B186" t="s">
        <v>424</v>
      </c>
      <c r="C186" s="3">
        <v>38</v>
      </c>
      <c r="D186" s="1" t="s">
        <v>51</v>
      </c>
      <c r="E186" s="1" t="s">
        <v>52</v>
      </c>
      <c r="F186" s="1" t="s">
        <v>65</v>
      </c>
      <c r="G186" s="4">
        <v>45011</v>
      </c>
      <c r="H186" s="4">
        <v>45012</v>
      </c>
      <c r="I186" s="1" t="s">
        <v>93</v>
      </c>
      <c r="J186" s="1" t="s">
        <v>30</v>
      </c>
      <c r="K186" s="3">
        <v>5</v>
      </c>
      <c r="L186" s="2">
        <v>14212</v>
      </c>
      <c r="M186" s="3">
        <v>10</v>
      </c>
      <c r="N186" s="1" t="s">
        <v>56</v>
      </c>
      <c r="O186" s="1" t="s">
        <v>32</v>
      </c>
      <c r="P186" s="1" t="s">
        <v>33</v>
      </c>
      <c r="Q186" s="1" t="s">
        <v>427</v>
      </c>
      <c r="R186" s="1" t="s">
        <v>899</v>
      </c>
      <c r="S186" s="3">
        <v>5</v>
      </c>
      <c r="T186" s="1" t="s">
        <v>36</v>
      </c>
      <c r="U186" s="3">
        <v>390</v>
      </c>
      <c r="V186" s="1" t="s">
        <v>79</v>
      </c>
      <c r="W186" s="5">
        <f>Table1[[#This Row],[Quantity]]*Table1[[#This Row],[Price]]*(1-Table1[[#This Row],[Discount %]]/100)</f>
        <v>63954</v>
      </c>
      <c r="X186">
        <f>Table1[[#This Row],[DeliveryDate]]-Table1[[#This Row],[OrderDate]]</f>
        <v>1</v>
      </c>
      <c r="Y186" t="str">
        <f>TEXT(Table1[[#This Row],[OrderDate]],"MMMM")</f>
        <v>March</v>
      </c>
      <c r="Z186" s="5">
        <f>YEAR(Table1[[#This Row],[OrderDate]])</f>
        <v>2023</v>
      </c>
    </row>
    <row r="187" spans="1:26" x14ac:dyDescent="0.3">
      <c r="A187" s="1" t="s">
        <v>900</v>
      </c>
      <c r="B187" t="s">
        <v>125</v>
      </c>
      <c r="C187" s="3">
        <v>53</v>
      </c>
      <c r="D187" s="1" t="s">
        <v>24</v>
      </c>
      <c r="E187" s="1" t="s">
        <v>142</v>
      </c>
      <c r="F187" s="1" t="s">
        <v>53</v>
      </c>
      <c r="G187" s="4">
        <v>45064</v>
      </c>
      <c r="H187" s="4">
        <v>45068</v>
      </c>
      <c r="I187" s="1" t="s">
        <v>85</v>
      </c>
      <c r="J187" s="1" t="s">
        <v>30</v>
      </c>
      <c r="K187" s="3">
        <v>5</v>
      </c>
      <c r="L187" s="2">
        <v>27212</v>
      </c>
      <c r="M187" s="3">
        <v>0</v>
      </c>
      <c r="N187" s="1" t="s">
        <v>166</v>
      </c>
      <c r="O187" s="1" t="s">
        <v>133</v>
      </c>
      <c r="P187" s="1" t="s">
        <v>69</v>
      </c>
      <c r="Q187" s="1" t="s">
        <v>756</v>
      </c>
      <c r="R187" s="1" t="s">
        <v>903</v>
      </c>
      <c r="S187" s="3">
        <v>4</v>
      </c>
      <c r="T187" s="1" t="s">
        <v>72</v>
      </c>
      <c r="U187" s="3">
        <v>77</v>
      </c>
      <c r="V187" s="1" t="s">
        <v>62</v>
      </c>
      <c r="W187" s="5">
        <f>Table1[[#This Row],[Quantity]]*Table1[[#This Row],[Price]]*(1-Table1[[#This Row],[Discount %]]/100)</f>
        <v>136060</v>
      </c>
      <c r="X187">
        <f>Table1[[#This Row],[DeliveryDate]]-Table1[[#This Row],[OrderDate]]</f>
        <v>4</v>
      </c>
      <c r="Y187" t="str">
        <f>TEXT(Table1[[#This Row],[OrderDate]],"MMMM")</f>
        <v>May</v>
      </c>
      <c r="Z187" s="5">
        <f>YEAR(Table1[[#This Row],[OrderDate]])</f>
        <v>2023</v>
      </c>
    </row>
    <row r="188" spans="1:26" x14ac:dyDescent="0.3">
      <c r="A188" s="1" t="s">
        <v>904</v>
      </c>
      <c r="B188" t="s">
        <v>660</v>
      </c>
      <c r="C188" s="3">
        <v>54</v>
      </c>
      <c r="D188" s="1" t="s">
        <v>24</v>
      </c>
      <c r="E188" s="1" t="s">
        <v>52</v>
      </c>
      <c r="F188" s="1" t="s">
        <v>53</v>
      </c>
      <c r="G188" s="4">
        <v>45031</v>
      </c>
      <c r="H188" s="4">
        <v>45034</v>
      </c>
      <c r="I188" s="1" t="s">
        <v>108</v>
      </c>
      <c r="J188" s="1" t="s">
        <v>44</v>
      </c>
      <c r="K188" s="3">
        <v>4</v>
      </c>
      <c r="L188" s="2">
        <v>31166</v>
      </c>
      <c r="M188" s="3">
        <v>10</v>
      </c>
      <c r="N188" s="1" t="s">
        <v>45</v>
      </c>
      <c r="O188" s="1" t="s">
        <v>57</v>
      </c>
      <c r="P188" s="1" t="s">
        <v>174</v>
      </c>
      <c r="Q188" s="1" t="s">
        <v>662</v>
      </c>
      <c r="R188" s="1" t="s">
        <v>907</v>
      </c>
      <c r="S188" s="3">
        <v>2</v>
      </c>
      <c r="T188" s="1" t="s">
        <v>36</v>
      </c>
      <c r="U188" s="3">
        <v>398</v>
      </c>
      <c r="V188" s="1" t="s">
        <v>37</v>
      </c>
      <c r="W188" s="5">
        <f>Table1[[#This Row],[Quantity]]*Table1[[#This Row],[Price]]*(1-Table1[[#This Row],[Discount %]]/100)</f>
        <v>112197.6</v>
      </c>
      <c r="X188">
        <f>Table1[[#This Row],[DeliveryDate]]-Table1[[#This Row],[OrderDate]]</f>
        <v>3</v>
      </c>
      <c r="Y188" t="str">
        <f>TEXT(Table1[[#This Row],[OrderDate]],"MMMM")</f>
        <v>April</v>
      </c>
      <c r="Z188" s="5">
        <f>YEAR(Table1[[#This Row],[OrderDate]])</f>
        <v>2023</v>
      </c>
    </row>
    <row r="189" spans="1:26" x14ac:dyDescent="0.3">
      <c r="A189" s="1" t="s">
        <v>908</v>
      </c>
      <c r="B189" t="s">
        <v>382</v>
      </c>
      <c r="C189" s="3">
        <v>55</v>
      </c>
      <c r="D189" s="1" t="s">
        <v>24</v>
      </c>
      <c r="E189" s="1" t="s">
        <v>40</v>
      </c>
      <c r="F189" s="1" t="s">
        <v>91</v>
      </c>
      <c r="G189" s="4">
        <v>45610</v>
      </c>
      <c r="H189" s="4">
        <v>45611</v>
      </c>
      <c r="I189" s="1" t="s">
        <v>108</v>
      </c>
      <c r="J189" s="1" t="s">
        <v>30</v>
      </c>
      <c r="K189" s="3">
        <v>3</v>
      </c>
      <c r="L189" s="2">
        <v>64910</v>
      </c>
      <c r="M189" s="3">
        <v>0</v>
      </c>
      <c r="N189" s="1" t="s">
        <v>45</v>
      </c>
      <c r="O189" s="1" t="s">
        <v>68</v>
      </c>
      <c r="P189" s="1" t="s">
        <v>174</v>
      </c>
      <c r="Q189" s="1" t="s">
        <v>385</v>
      </c>
      <c r="R189" s="1" t="s">
        <v>3415</v>
      </c>
      <c r="S189" s="3">
        <v>2</v>
      </c>
      <c r="T189" s="1" t="s">
        <v>36</v>
      </c>
      <c r="U189" s="3">
        <v>491</v>
      </c>
      <c r="V189" s="1" t="s">
        <v>79</v>
      </c>
      <c r="W189" s="5">
        <f>Table1[[#This Row],[Quantity]]*Table1[[#This Row],[Price]]*(1-Table1[[#This Row],[Discount %]]/100)</f>
        <v>194730</v>
      </c>
      <c r="X189">
        <f>Table1[[#This Row],[DeliveryDate]]-Table1[[#This Row],[OrderDate]]</f>
        <v>1</v>
      </c>
      <c r="Y189" t="str">
        <f>TEXT(Table1[[#This Row],[OrderDate]],"MMMM")</f>
        <v>November</v>
      </c>
      <c r="Z189" s="5">
        <f>YEAR(Table1[[#This Row],[OrderDate]])</f>
        <v>2024</v>
      </c>
    </row>
    <row r="190" spans="1:26" x14ac:dyDescent="0.3">
      <c r="A190" s="1" t="s">
        <v>911</v>
      </c>
      <c r="B190" t="s">
        <v>23</v>
      </c>
      <c r="C190" s="3">
        <v>38</v>
      </c>
      <c r="D190" s="1" t="s">
        <v>51</v>
      </c>
      <c r="E190" s="1" t="s">
        <v>52</v>
      </c>
      <c r="F190" s="1" t="s">
        <v>91</v>
      </c>
      <c r="G190" s="4">
        <v>45423</v>
      </c>
      <c r="H190" s="4">
        <v>45424</v>
      </c>
      <c r="I190" s="1" t="s">
        <v>77</v>
      </c>
      <c r="J190" s="1" t="s">
        <v>30</v>
      </c>
      <c r="K190" s="3">
        <v>2</v>
      </c>
      <c r="L190" s="2">
        <v>49922</v>
      </c>
      <c r="M190" s="3">
        <v>5</v>
      </c>
      <c r="N190" s="1" t="s">
        <v>166</v>
      </c>
      <c r="O190" s="1" t="s">
        <v>32</v>
      </c>
      <c r="P190" s="1" t="s">
        <v>174</v>
      </c>
      <c r="Q190" s="1" t="s">
        <v>34</v>
      </c>
      <c r="R190" s="1" t="s">
        <v>912</v>
      </c>
      <c r="S190" s="3">
        <v>4</v>
      </c>
      <c r="T190" s="1" t="s">
        <v>96</v>
      </c>
      <c r="U190" s="3">
        <v>471</v>
      </c>
      <c r="V190" s="1" t="s">
        <v>79</v>
      </c>
      <c r="W190" s="5">
        <f>Table1[[#This Row],[Quantity]]*Table1[[#This Row],[Price]]*(1-Table1[[#This Row],[Discount %]]/100)</f>
        <v>94851.799999999988</v>
      </c>
      <c r="X190">
        <f>Table1[[#This Row],[DeliveryDate]]-Table1[[#This Row],[OrderDate]]</f>
        <v>1</v>
      </c>
      <c r="Y190" t="str">
        <f>TEXT(Table1[[#This Row],[OrderDate]],"MMMM")</f>
        <v>May</v>
      </c>
      <c r="Z190" s="5">
        <f>YEAR(Table1[[#This Row],[OrderDate]])</f>
        <v>2024</v>
      </c>
    </row>
    <row r="191" spans="1:26" x14ac:dyDescent="0.3">
      <c r="A191" s="1" t="s">
        <v>913</v>
      </c>
      <c r="B191" t="s">
        <v>702</v>
      </c>
      <c r="C191" s="3">
        <v>57</v>
      </c>
      <c r="D191" s="1" t="s">
        <v>51</v>
      </c>
      <c r="E191" s="1" t="s">
        <v>26</v>
      </c>
      <c r="F191" s="1" t="s">
        <v>82</v>
      </c>
      <c r="G191" s="4">
        <v>45627</v>
      </c>
      <c r="H191" s="4">
        <v>45636</v>
      </c>
      <c r="I191" s="1" t="s">
        <v>108</v>
      </c>
      <c r="J191" s="1" t="s">
        <v>30</v>
      </c>
      <c r="K191" s="3">
        <v>3</v>
      </c>
      <c r="L191" s="2">
        <v>42109.716287215415</v>
      </c>
      <c r="M191" s="3">
        <v>10</v>
      </c>
      <c r="N191" s="1" t="s">
        <v>45</v>
      </c>
      <c r="O191" s="1" t="s">
        <v>68</v>
      </c>
      <c r="P191" s="1" t="s">
        <v>174</v>
      </c>
      <c r="Q191" s="1" t="s">
        <v>916</v>
      </c>
      <c r="R191" s="1" t="s">
        <v>917</v>
      </c>
      <c r="S191" s="3">
        <v>2</v>
      </c>
      <c r="T191" s="1" t="s">
        <v>61</v>
      </c>
      <c r="U191" s="3">
        <v>457</v>
      </c>
      <c r="V191" s="1" t="s">
        <v>37</v>
      </c>
      <c r="W191" s="5">
        <f>Table1[[#This Row],[Quantity]]*Table1[[#This Row],[Price]]*(1-Table1[[#This Row],[Discount %]]/100)</f>
        <v>113696.23397548162</v>
      </c>
      <c r="X191">
        <f>Table1[[#This Row],[DeliveryDate]]-Table1[[#This Row],[OrderDate]]</f>
        <v>9</v>
      </c>
      <c r="Y191" t="str">
        <f>TEXT(Table1[[#This Row],[OrderDate]],"MMMM")</f>
        <v>December</v>
      </c>
      <c r="Z191" s="5">
        <f>YEAR(Table1[[#This Row],[OrderDate]])</f>
        <v>2024</v>
      </c>
    </row>
    <row r="192" spans="1:26" x14ac:dyDescent="0.3">
      <c r="A192" s="1" t="s">
        <v>918</v>
      </c>
      <c r="B192" t="s">
        <v>136</v>
      </c>
      <c r="C192" s="3">
        <v>28</v>
      </c>
      <c r="D192" s="1" t="s">
        <v>24</v>
      </c>
      <c r="E192" s="1" t="s">
        <v>25</v>
      </c>
      <c r="F192" s="1" t="s">
        <v>26</v>
      </c>
      <c r="G192" s="4">
        <v>45027</v>
      </c>
      <c r="H192" s="4">
        <v>45031</v>
      </c>
      <c r="I192" s="1" t="s">
        <v>93</v>
      </c>
      <c r="J192" s="1" t="s">
        <v>30</v>
      </c>
      <c r="K192" s="3">
        <v>2</v>
      </c>
      <c r="L192" s="2">
        <v>64952</v>
      </c>
      <c r="M192" s="3">
        <v>0</v>
      </c>
      <c r="N192" s="1" t="s">
        <v>166</v>
      </c>
      <c r="O192" s="1" t="s">
        <v>68</v>
      </c>
      <c r="P192" s="1" t="s">
        <v>58</v>
      </c>
      <c r="Q192" s="1" t="s">
        <v>3415</v>
      </c>
      <c r="R192" s="1" t="s">
        <v>919</v>
      </c>
      <c r="S192" s="3">
        <v>1</v>
      </c>
      <c r="T192" s="1" t="s">
        <v>61</v>
      </c>
      <c r="U192" s="3">
        <v>106</v>
      </c>
      <c r="V192" s="1" t="s">
        <v>37</v>
      </c>
      <c r="W192" s="5">
        <f>Table1[[#This Row],[Quantity]]*Table1[[#This Row],[Price]]*(1-Table1[[#This Row],[Discount %]]/100)</f>
        <v>129904</v>
      </c>
      <c r="X192">
        <f>Table1[[#This Row],[DeliveryDate]]-Table1[[#This Row],[OrderDate]]</f>
        <v>4</v>
      </c>
      <c r="Y192" t="str">
        <f>TEXT(Table1[[#This Row],[OrderDate]],"MMMM")</f>
        <v>April</v>
      </c>
      <c r="Z192" s="5">
        <f>YEAR(Table1[[#This Row],[OrderDate]])</f>
        <v>2023</v>
      </c>
    </row>
    <row r="193" spans="1:26" x14ac:dyDescent="0.3">
      <c r="A193" s="1" t="s">
        <v>920</v>
      </c>
      <c r="B193" t="s">
        <v>272</v>
      </c>
      <c r="C193" s="3">
        <v>51</v>
      </c>
      <c r="D193" s="1" t="s">
        <v>51</v>
      </c>
      <c r="E193" s="1" t="s">
        <v>99</v>
      </c>
      <c r="F193" s="1" t="s">
        <v>53</v>
      </c>
      <c r="G193" s="4">
        <v>45389</v>
      </c>
      <c r="H193" s="4">
        <v>45394</v>
      </c>
      <c r="I193" s="1" t="s">
        <v>93</v>
      </c>
      <c r="J193" s="1" t="s">
        <v>44</v>
      </c>
      <c r="K193" s="3">
        <v>5</v>
      </c>
      <c r="L193" s="2">
        <v>79683</v>
      </c>
      <c r="M193" s="3">
        <v>5</v>
      </c>
      <c r="N193" s="1" t="s">
        <v>56</v>
      </c>
      <c r="O193" s="1" t="s">
        <v>173</v>
      </c>
      <c r="P193" s="1" t="s">
        <v>174</v>
      </c>
      <c r="Q193" s="1" t="s">
        <v>3415</v>
      </c>
      <c r="R193" s="1" t="s">
        <v>923</v>
      </c>
      <c r="S193" s="3">
        <v>4</v>
      </c>
      <c r="T193" s="1" t="s">
        <v>36</v>
      </c>
      <c r="U193" s="3">
        <v>329</v>
      </c>
      <c r="V193" s="1" t="s">
        <v>79</v>
      </c>
      <c r="W193" s="5">
        <f>Table1[[#This Row],[Quantity]]*Table1[[#This Row],[Price]]*(1-Table1[[#This Row],[Discount %]]/100)</f>
        <v>378494.25</v>
      </c>
      <c r="X193">
        <f>Table1[[#This Row],[DeliveryDate]]-Table1[[#This Row],[OrderDate]]</f>
        <v>5</v>
      </c>
      <c r="Y193" t="str">
        <f>TEXT(Table1[[#This Row],[OrderDate]],"MMMM")</f>
        <v>April</v>
      </c>
      <c r="Z193" s="5">
        <f>YEAR(Table1[[#This Row],[OrderDate]])</f>
        <v>2024</v>
      </c>
    </row>
    <row r="194" spans="1:26" x14ac:dyDescent="0.3">
      <c r="A194" s="1" t="s">
        <v>924</v>
      </c>
      <c r="B194" t="s">
        <v>64</v>
      </c>
      <c r="C194" s="3">
        <v>19</v>
      </c>
      <c r="D194" s="1" t="s">
        <v>51</v>
      </c>
      <c r="E194" s="1" t="s">
        <v>26</v>
      </c>
      <c r="F194" s="1" t="s">
        <v>53</v>
      </c>
      <c r="G194" s="4">
        <v>45508</v>
      </c>
      <c r="H194" s="4">
        <v>45516</v>
      </c>
      <c r="I194" s="1" t="s">
        <v>43</v>
      </c>
      <c r="J194" s="1" t="s">
        <v>30</v>
      </c>
      <c r="K194" s="3">
        <v>1</v>
      </c>
      <c r="L194" s="2">
        <v>42771</v>
      </c>
      <c r="M194" s="3">
        <v>15</v>
      </c>
      <c r="N194" s="1" t="s">
        <v>45</v>
      </c>
      <c r="O194" s="1" t="s">
        <v>86</v>
      </c>
      <c r="P194" s="1" t="s">
        <v>174</v>
      </c>
      <c r="Q194" s="1" t="s">
        <v>3415</v>
      </c>
      <c r="R194" s="1" t="s">
        <v>927</v>
      </c>
      <c r="S194" s="3">
        <v>2</v>
      </c>
      <c r="T194" s="1" t="s">
        <v>36</v>
      </c>
      <c r="U194" s="3">
        <v>224</v>
      </c>
      <c r="V194" s="1" t="s">
        <v>79</v>
      </c>
      <c r="W194" s="5">
        <f>Table1[[#This Row],[Quantity]]*Table1[[#This Row],[Price]]*(1-Table1[[#This Row],[Discount %]]/100)</f>
        <v>36355.35</v>
      </c>
      <c r="X194">
        <f>Table1[[#This Row],[DeliveryDate]]-Table1[[#This Row],[OrderDate]]</f>
        <v>8</v>
      </c>
      <c r="Y194" t="str">
        <f>TEXT(Table1[[#This Row],[OrderDate]],"MMMM")</f>
        <v>August</v>
      </c>
      <c r="Z194" s="5">
        <f>YEAR(Table1[[#This Row],[OrderDate]])</f>
        <v>2024</v>
      </c>
    </row>
    <row r="195" spans="1:26" x14ac:dyDescent="0.3">
      <c r="A195" s="1" t="s">
        <v>928</v>
      </c>
      <c r="B195" t="s">
        <v>637</v>
      </c>
      <c r="C195" s="3">
        <v>57</v>
      </c>
      <c r="D195" s="1" t="s">
        <v>51</v>
      </c>
      <c r="E195" s="1" t="s">
        <v>229</v>
      </c>
      <c r="F195" s="1" t="s">
        <v>26</v>
      </c>
      <c r="G195" s="4">
        <v>45271</v>
      </c>
      <c r="H195" s="4">
        <v>45273</v>
      </c>
      <c r="I195" s="1" t="s">
        <v>29</v>
      </c>
      <c r="J195" s="1" t="s">
        <v>44</v>
      </c>
      <c r="K195" s="3">
        <v>3</v>
      </c>
      <c r="L195" s="2">
        <v>32897</v>
      </c>
      <c r="M195" s="3">
        <v>0</v>
      </c>
      <c r="N195" s="1" t="s">
        <v>166</v>
      </c>
      <c r="O195" s="1" t="s">
        <v>281</v>
      </c>
      <c r="P195" s="1" t="s">
        <v>174</v>
      </c>
      <c r="Q195" s="1" t="s">
        <v>3415</v>
      </c>
      <c r="R195" s="1" t="s">
        <v>3415</v>
      </c>
      <c r="S195" s="3">
        <v>1</v>
      </c>
      <c r="T195" s="1" t="s">
        <v>61</v>
      </c>
      <c r="U195" s="3">
        <v>451</v>
      </c>
      <c r="V195" s="1" t="s">
        <v>37</v>
      </c>
      <c r="W195" s="5">
        <f>Table1[[#This Row],[Quantity]]*Table1[[#This Row],[Price]]*(1-Table1[[#This Row],[Discount %]]/100)</f>
        <v>98691</v>
      </c>
      <c r="X195">
        <f>Table1[[#This Row],[DeliveryDate]]-Table1[[#This Row],[OrderDate]]</f>
        <v>2</v>
      </c>
      <c r="Y195" t="str">
        <f>TEXT(Table1[[#This Row],[OrderDate]],"MMMM")</f>
        <v>December</v>
      </c>
      <c r="Z195" s="5">
        <f>YEAR(Table1[[#This Row],[OrderDate]])</f>
        <v>2023</v>
      </c>
    </row>
    <row r="196" spans="1:26" x14ac:dyDescent="0.3">
      <c r="A196" s="1" t="s">
        <v>929</v>
      </c>
      <c r="B196" t="s">
        <v>808</v>
      </c>
      <c r="C196" s="3">
        <v>35</v>
      </c>
      <c r="D196" s="1" t="s">
        <v>51</v>
      </c>
      <c r="E196" s="1" t="s">
        <v>142</v>
      </c>
      <c r="F196" s="1" t="s">
        <v>65</v>
      </c>
      <c r="G196" s="4">
        <v>45283</v>
      </c>
      <c r="H196" s="4">
        <v>45293</v>
      </c>
      <c r="I196" s="1" t="s">
        <v>77</v>
      </c>
      <c r="J196" s="1" t="s">
        <v>44</v>
      </c>
      <c r="K196" s="3">
        <v>2</v>
      </c>
      <c r="L196" s="2">
        <v>49831</v>
      </c>
      <c r="M196" s="3">
        <v>5</v>
      </c>
      <c r="N196" s="1" t="s">
        <v>166</v>
      </c>
      <c r="O196" s="1" t="s">
        <v>281</v>
      </c>
      <c r="P196" s="1" t="s">
        <v>58</v>
      </c>
      <c r="Q196" s="1" t="s">
        <v>191</v>
      </c>
      <c r="R196" s="1" t="s">
        <v>931</v>
      </c>
      <c r="S196" s="3">
        <v>4</v>
      </c>
      <c r="T196" s="1" t="s">
        <v>96</v>
      </c>
      <c r="U196" s="3">
        <v>56</v>
      </c>
      <c r="V196" s="1" t="s">
        <v>62</v>
      </c>
      <c r="W196" s="5">
        <f>Table1[[#This Row],[Quantity]]*Table1[[#This Row],[Price]]*(1-Table1[[#This Row],[Discount %]]/100)</f>
        <v>94678.9</v>
      </c>
      <c r="X196">
        <f>Table1[[#This Row],[DeliveryDate]]-Table1[[#This Row],[OrderDate]]</f>
        <v>10</v>
      </c>
      <c r="Y196" t="str">
        <f>TEXT(Table1[[#This Row],[OrderDate]],"MMMM")</f>
        <v>December</v>
      </c>
      <c r="Z196" s="5">
        <f>YEAR(Table1[[#This Row],[OrderDate]])</f>
        <v>2023</v>
      </c>
    </row>
    <row r="197" spans="1:26" x14ac:dyDescent="0.3">
      <c r="A197" s="1" t="s">
        <v>932</v>
      </c>
      <c r="B197" t="s">
        <v>933</v>
      </c>
      <c r="C197" s="3">
        <v>51</v>
      </c>
      <c r="D197" s="1" t="s">
        <v>24</v>
      </c>
      <c r="E197" s="1" t="s">
        <v>142</v>
      </c>
      <c r="F197" s="1" t="s">
        <v>26</v>
      </c>
      <c r="G197" s="4">
        <v>45429</v>
      </c>
      <c r="H197" s="4">
        <v>45436</v>
      </c>
      <c r="I197" s="1" t="s">
        <v>93</v>
      </c>
      <c r="J197" s="1" t="s">
        <v>30</v>
      </c>
      <c r="K197" s="3">
        <v>5</v>
      </c>
      <c r="L197" s="2">
        <v>71841</v>
      </c>
      <c r="M197" s="3">
        <v>10</v>
      </c>
      <c r="N197" s="1" t="s">
        <v>56</v>
      </c>
      <c r="O197" s="1" t="s">
        <v>109</v>
      </c>
      <c r="P197" s="1" t="s">
        <v>58</v>
      </c>
      <c r="Q197" s="1" t="s">
        <v>935</v>
      </c>
      <c r="R197" s="1" t="s">
        <v>936</v>
      </c>
      <c r="S197" s="3">
        <v>3</v>
      </c>
      <c r="T197" s="1" t="s">
        <v>96</v>
      </c>
      <c r="U197" s="3">
        <v>104</v>
      </c>
      <c r="V197" s="1" t="s">
        <v>62</v>
      </c>
      <c r="W197" s="5">
        <f>Table1[[#This Row],[Quantity]]*Table1[[#This Row],[Price]]*(1-Table1[[#This Row],[Discount %]]/100)</f>
        <v>323284.5</v>
      </c>
      <c r="X197">
        <f>Table1[[#This Row],[DeliveryDate]]-Table1[[#This Row],[OrderDate]]</f>
        <v>7</v>
      </c>
      <c r="Y197" t="str">
        <f>TEXT(Table1[[#This Row],[OrderDate]],"MMMM")</f>
        <v>May</v>
      </c>
      <c r="Z197" s="5">
        <f>YEAR(Table1[[#This Row],[OrderDate]])</f>
        <v>2024</v>
      </c>
    </row>
    <row r="198" spans="1:26" x14ac:dyDescent="0.3">
      <c r="A198" s="1" t="s">
        <v>937</v>
      </c>
      <c r="B198" t="s">
        <v>461</v>
      </c>
      <c r="C198" s="3">
        <v>43</v>
      </c>
      <c r="D198" s="1" t="s">
        <v>24</v>
      </c>
      <c r="E198" s="1" t="s">
        <v>229</v>
      </c>
      <c r="F198" s="1" t="s">
        <v>53</v>
      </c>
      <c r="G198" s="4">
        <v>45593</v>
      </c>
      <c r="H198" s="4">
        <v>45595</v>
      </c>
      <c r="I198" s="1" t="s">
        <v>85</v>
      </c>
      <c r="J198" s="1" t="s">
        <v>44</v>
      </c>
      <c r="K198" s="3">
        <v>5</v>
      </c>
      <c r="L198" s="2">
        <v>64136</v>
      </c>
      <c r="M198" s="3">
        <v>10</v>
      </c>
      <c r="N198" s="1" t="s">
        <v>166</v>
      </c>
      <c r="O198" s="1" t="s">
        <v>281</v>
      </c>
      <c r="P198" s="1" t="s">
        <v>174</v>
      </c>
      <c r="Q198" s="1" t="s">
        <v>563</v>
      </c>
      <c r="R198" s="1" t="s">
        <v>940</v>
      </c>
      <c r="S198" s="3">
        <v>5</v>
      </c>
      <c r="T198" s="1" t="s">
        <v>96</v>
      </c>
      <c r="U198" s="3">
        <v>324</v>
      </c>
      <c r="V198" s="1" t="s">
        <v>62</v>
      </c>
      <c r="W198" s="5">
        <f>Table1[[#This Row],[Quantity]]*Table1[[#This Row],[Price]]*(1-Table1[[#This Row],[Discount %]]/100)</f>
        <v>288612</v>
      </c>
      <c r="X198">
        <f>Table1[[#This Row],[DeliveryDate]]-Table1[[#This Row],[OrderDate]]</f>
        <v>2</v>
      </c>
      <c r="Y198" t="str">
        <f>TEXT(Table1[[#This Row],[OrderDate]],"MMMM")</f>
        <v>October</v>
      </c>
      <c r="Z198" s="5">
        <f>YEAR(Table1[[#This Row],[OrderDate]])</f>
        <v>2024</v>
      </c>
    </row>
    <row r="199" spans="1:26" x14ac:dyDescent="0.3">
      <c r="A199" s="1" t="s">
        <v>941</v>
      </c>
      <c r="B199" t="s">
        <v>767</v>
      </c>
      <c r="C199" s="3">
        <v>53</v>
      </c>
      <c r="D199" s="1" t="s">
        <v>51</v>
      </c>
      <c r="E199" s="1" t="s">
        <v>229</v>
      </c>
      <c r="F199" s="1" t="s">
        <v>82</v>
      </c>
      <c r="G199" s="4">
        <v>45112</v>
      </c>
      <c r="H199" s="4">
        <v>45113</v>
      </c>
      <c r="I199" s="1" t="s">
        <v>93</v>
      </c>
      <c r="J199" s="1" t="s">
        <v>30</v>
      </c>
      <c r="K199" s="3">
        <v>2.9447852760736195</v>
      </c>
      <c r="L199" s="2">
        <v>79020</v>
      </c>
      <c r="M199" s="3">
        <v>5</v>
      </c>
      <c r="N199" s="1" t="s">
        <v>31</v>
      </c>
      <c r="O199" s="1" t="s">
        <v>57</v>
      </c>
      <c r="P199" s="1" t="s">
        <v>69</v>
      </c>
      <c r="Q199" s="1" t="s">
        <v>769</v>
      </c>
      <c r="R199" s="1" t="s">
        <v>944</v>
      </c>
      <c r="S199" s="3">
        <v>2</v>
      </c>
      <c r="T199" s="1" t="s">
        <v>72</v>
      </c>
      <c r="U199" s="3">
        <v>499</v>
      </c>
      <c r="V199" s="1" t="s">
        <v>37</v>
      </c>
      <c r="W199" s="5">
        <f>Table1[[#This Row],[Quantity]]*Table1[[#This Row],[Price]]*(1-Table1[[#This Row],[Discount %]]/100)</f>
        <v>221062.08588957053</v>
      </c>
      <c r="X199">
        <f>Table1[[#This Row],[DeliveryDate]]-Table1[[#This Row],[OrderDate]]</f>
        <v>1</v>
      </c>
      <c r="Y199" t="str">
        <f>TEXT(Table1[[#This Row],[OrderDate]],"MMMM")</f>
        <v>July</v>
      </c>
      <c r="Z199" s="5">
        <f>YEAR(Table1[[#This Row],[OrderDate]])</f>
        <v>2023</v>
      </c>
    </row>
    <row r="200" spans="1:26" x14ac:dyDescent="0.3">
      <c r="A200" s="1" t="s">
        <v>945</v>
      </c>
      <c r="B200" t="s">
        <v>946</v>
      </c>
      <c r="C200" s="3">
        <v>57</v>
      </c>
      <c r="D200" s="1" t="s">
        <v>24</v>
      </c>
      <c r="E200" s="1" t="s">
        <v>131</v>
      </c>
      <c r="F200" s="1" t="s">
        <v>82</v>
      </c>
      <c r="G200" s="4">
        <v>45591</v>
      </c>
      <c r="H200" s="4">
        <v>45601</v>
      </c>
      <c r="I200" s="1" t="s">
        <v>85</v>
      </c>
      <c r="J200" s="1" t="s">
        <v>44</v>
      </c>
      <c r="K200" s="3">
        <v>1</v>
      </c>
      <c r="L200" s="2">
        <v>37165</v>
      </c>
      <c r="M200" s="3">
        <v>10</v>
      </c>
      <c r="N200" s="1" t="s">
        <v>56</v>
      </c>
      <c r="O200" s="1" t="s">
        <v>46</v>
      </c>
      <c r="P200" s="1" t="s">
        <v>58</v>
      </c>
      <c r="Q200" s="1" t="s">
        <v>3415</v>
      </c>
      <c r="R200" s="1" t="s">
        <v>948</v>
      </c>
      <c r="S200" s="3">
        <v>3</v>
      </c>
      <c r="T200" s="1" t="s">
        <v>61</v>
      </c>
      <c r="U200" s="3">
        <v>349</v>
      </c>
      <c r="V200" s="1" t="s">
        <v>79</v>
      </c>
      <c r="W200" s="5">
        <f>Table1[[#This Row],[Quantity]]*Table1[[#This Row],[Price]]*(1-Table1[[#This Row],[Discount %]]/100)</f>
        <v>33448.5</v>
      </c>
      <c r="X200">
        <f>Table1[[#This Row],[DeliveryDate]]-Table1[[#This Row],[OrderDate]]</f>
        <v>10</v>
      </c>
      <c r="Y200" t="str">
        <f>TEXT(Table1[[#This Row],[OrderDate]],"MMMM")</f>
        <v>October</v>
      </c>
      <c r="Z200" s="5">
        <f>YEAR(Table1[[#This Row],[OrderDate]])</f>
        <v>2024</v>
      </c>
    </row>
    <row r="201" spans="1:26" x14ac:dyDescent="0.3">
      <c r="A201" s="1" t="s">
        <v>949</v>
      </c>
      <c r="B201" t="s">
        <v>729</v>
      </c>
      <c r="C201" s="3">
        <v>59</v>
      </c>
      <c r="D201" s="1" t="s">
        <v>51</v>
      </c>
      <c r="E201" s="1" t="s">
        <v>131</v>
      </c>
      <c r="F201" s="1" t="s">
        <v>91</v>
      </c>
      <c r="G201" s="4">
        <v>45449</v>
      </c>
      <c r="H201" s="4">
        <v>45451</v>
      </c>
      <c r="I201" s="1" t="s">
        <v>93</v>
      </c>
      <c r="J201" s="1" t="s">
        <v>44</v>
      </c>
      <c r="K201" s="3">
        <v>5</v>
      </c>
      <c r="L201" s="2">
        <v>28972</v>
      </c>
      <c r="M201" s="3">
        <v>10</v>
      </c>
      <c r="N201" s="1" t="s">
        <v>45</v>
      </c>
      <c r="O201" s="1" t="s">
        <v>86</v>
      </c>
      <c r="P201" s="1" t="s">
        <v>69</v>
      </c>
      <c r="Q201" s="1" t="s">
        <v>732</v>
      </c>
      <c r="R201" s="1" t="s">
        <v>952</v>
      </c>
      <c r="S201" s="3">
        <v>2</v>
      </c>
      <c r="T201" s="1" t="s">
        <v>36</v>
      </c>
      <c r="U201" s="3">
        <v>278</v>
      </c>
      <c r="V201" s="1" t="s">
        <v>79</v>
      </c>
      <c r="W201" s="5">
        <f>Table1[[#This Row],[Quantity]]*Table1[[#This Row],[Price]]*(1-Table1[[#This Row],[Discount %]]/100)</f>
        <v>130374</v>
      </c>
      <c r="X201">
        <f>Table1[[#This Row],[DeliveryDate]]-Table1[[#This Row],[OrderDate]]</f>
        <v>2</v>
      </c>
      <c r="Y201" t="str">
        <f>TEXT(Table1[[#This Row],[OrderDate]],"MMMM")</f>
        <v>June</v>
      </c>
      <c r="Z201" s="5">
        <f>YEAR(Table1[[#This Row],[OrderDate]])</f>
        <v>2024</v>
      </c>
    </row>
    <row r="202" spans="1:26" x14ac:dyDescent="0.3">
      <c r="A202" s="1" t="s">
        <v>953</v>
      </c>
      <c r="B202" t="s">
        <v>954</v>
      </c>
      <c r="C202" s="3">
        <v>58</v>
      </c>
      <c r="D202" s="1" t="s">
        <v>51</v>
      </c>
      <c r="E202" s="1" t="s">
        <v>52</v>
      </c>
      <c r="F202" s="1" t="s">
        <v>26</v>
      </c>
      <c r="G202" s="4">
        <v>45109</v>
      </c>
      <c r="H202" s="4">
        <v>45114</v>
      </c>
      <c r="I202" s="1" t="s">
        <v>108</v>
      </c>
      <c r="J202" s="1" t="s">
        <v>30</v>
      </c>
      <c r="K202" s="3">
        <v>1</v>
      </c>
      <c r="L202" s="2">
        <v>13843</v>
      </c>
      <c r="M202" s="3">
        <v>0</v>
      </c>
      <c r="N202" s="1" t="s">
        <v>31</v>
      </c>
      <c r="O202" s="1" t="s">
        <v>109</v>
      </c>
      <c r="P202" s="1" t="s">
        <v>69</v>
      </c>
      <c r="Q202" s="1" t="s">
        <v>536</v>
      </c>
      <c r="R202" s="1" t="s">
        <v>955</v>
      </c>
      <c r="S202" s="3">
        <v>3</v>
      </c>
      <c r="T202" s="1" t="s">
        <v>36</v>
      </c>
      <c r="U202" s="3">
        <v>291</v>
      </c>
      <c r="V202" s="1" t="s">
        <v>37</v>
      </c>
      <c r="W202" s="5">
        <f>Table1[[#This Row],[Quantity]]*Table1[[#This Row],[Price]]*(1-Table1[[#This Row],[Discount %]]/100)</f>
        <v>13843</v>
      </c>
      <c r="X202">
        <f>Table1[[#This Row],[DeliveryDate]]-Table1[[#This Row],[OrderDate]]</f>
        <v>5</v>
      </c>
      <c r="Y202" t="str">
        <f>TEXT(Table1[[#This Row],[OrderDate]],"MMMM")</f>
        <v>July</v>
      </c>
      <c r="Z202" s="5">
        <f>YEAR(Table1[[#This Row],[OrderDate]])</f>
        <v>2023</v>
      </c>
    </row>
    <row r="203" spans="1:26" x14ac:dyDescent="0.3">
      <c r="A203" s="1" t="s">
        <v>956</v>
      </c>
      <c r="B203" t="s">
        <v>162</v>
      </c>
      <c r="C203" s="3">
        <v>44</v>
      </c>
      <c r="D203" s="1" t="s">
        <v>24</v>
      </c>
      <c r="E203" s="1" t="s">
        <v>52</v>
      </c>
      <c r="F203" s="1" t="s">
        <v>65</v>
      </c>
      <c r="G203" s="4">
        <v>45350</v>
      </c>
      <c r="H203" s="4">
        <v>45359</v>
      </c>
      <c r="I203" s="1" t="s">
        <v>77</v>
      </c>
      <c r="J203" s="1" t="s">
        <v>44</v>
      </c>
      <c r="K203" s="3">
        <v>1</v>
      </c>
      <c r="L203" s="2">
        <v>51406</v>
      </c>
      <c r="M203" s="3">
        <v>5</v>
      </c>
      <c r="N203" s="1" t="s">
        <v>45</v>
      </c>
      <c r="O203" s="1" t="s">
        <v>173</v>
      </c>
      <c r="P203" s="1" t="s">
        <v>58</v>
      </c>
      <c r="Q203" s="1" t="s">
        <v>167</v>
      </c>
      <c r="R203" s="1" t="s">
        <v>958</v>
      </c>
      <c r="S203" s="3">
        <v>5</v>
      </c>
      <c r="T203" s="1" t="s">
        <v>72</v>
      </c>
      <c r="U203" s="3">
        <v>301</v>
      </c>
      <c r="V203" s="1" t="s">
        <v>62</v>
      </c>
      <c r="W203" s="5">
        <f>Table1[[#This Row],[Quantity]]*Table1[[#This Row],[Price]]*(1-Table1[[#This Row],[Discount %]]/100)</f>
        <v>48835.7</v>
      </c>
      <c r="X203">
        <f>Table1[[#This Row],[DeliveryDate]]-Table1[[#This Row],[OrderDate]]</f>
        <v>9</v>
      </c>
      <c r="Y203" t="str">
        <f>TEXT(Table1[[#This Row],[OrderDate]],"MMMM")</f>
        <v>February</v>
      </c>
      <c r="Z203" s="5">
        <f>YEAR(Table1[[#This Row],[OrderDate]])</f>
        <v>2024</v>
      </c>
    </row>
    <row r="204" spans="1:26" x14ac:dyDescent="0.3">
      <c r="A204" s="1" t="s">
        <v>959</v>
      </c>
      <c r="B204" t="s">
        <v>228</v>
      </c>
      <c r="C204" s="3">
        <v>32</v>
      </c>
      <c r="D204" s="1" t="s">
        <v>51</v>
      </c>
      <c r="E204" s="1" t="s">
        <v>142</v>
      </c>
      <c r="F204" s="1" t="s">
        <v>82</v>
      </c>
      <c r="G204" s="4">
        <v>45337</v>
      </c>
      <c r="H204" s="4">
        <v>45343</v>
      </c>
      <c r="I204" s="1" t="s">
        <v>85</v>
      </c>
      <c r="J204" s="1" t="s">
        <v>30</v>
      </c>
      <c r="K204" s="3">
        <v>4</v>
      </c>
      <c r="L204" s="2">
        <v>26669</v>
      </c>
      <c r="M204" s="3">
        <v>0</v>
      </c>
      <c r="N204" s="1" t="s">
        <v>166</v>
      </c>
      <c r="O204" s="1" t="s">
        <v>68</v>
      </c>
      <c r="P204" s="1" t="s">
        <v>69</v>
      </c>
      <c r="Q204" s="1" t="s">
        <v>232</v>
      </c>
      <c r="R204" s="1" t="s">
        <v>961</v>
      </c>
      <c r="S204" s="3">
        <v>1</v>
      </c>
      <c r="T204" s="1" t="s">
        <v>72</v>
      </c>
      <c r="U204" s="3">
        <v>278</v>
      </c>
      <c r="V204" s="1" t="s">
        <v>37</v>
      </c>
      <c r="W204" s="5">
        <f>Table1[[#This Row],[Quantity]]*Table1[[#This Row],[Price]]*(1-Table1[[#This Row],[Discount %]]/100)</f>
        <v>106676</v>
      </c>
      <c r="X204">
        <f>Table1[[#This Row],[DeliveryDate]]-Table1[[#This Row],[OrderDate]]</f>
        <v>6</v>
      </c>
      <c r="Y204" t="str">
        <f>TEXT(Table1[[#This Row],[OrderDate]],"MMMM")</f>
        <v>February</v>
      </c>
      <c r="Z204" s="5">
        <f>YEAR(Table1[[#This Row],[OrderDate]])</f>
        <v>2024</v>
      </c>
    </row>
    <row r="205" spans="1:26" x14ac:dyDescent="0.3">
      <c r="A205" s="1" t="s">
        <v>962</v>
      </c>
      <c r="B205" t="s">
        <v>162</v>
      </c>
      <c r="C205" s="3">
        <v>29</v>
      </c>
      <c r="D205" s="1" t="s">
        <v>24</v>
      </c>
      <c r="E205" s="1" t="s">
        <v>26</v>
      </c>
      <c r="F205" s="1" t="s">
        <v>82</v>
      </c>
      <c r="G205" s="4">
        <v>45511</v>
      </c>
      <c r="H205" s="4">
        <v>45514</v>
      </c>
      <c r="I205" s="1" t="s">
        <v>85</v>
      </c>
      <c r="J205" s="1" t="s">
        <v>30</v>
      </c>
      <c r="K205" s="3">
        <v>3</v>
      </c>
      <c r="L205" s="2">
        <v>68204</v>
      </c>
      <c r="M205" s="3">
        <v>15</v>
      </c>
      <c r="N205" s="1" t="s">
        <v>45</v>
      </c>
      <c r="O205" s="1" t="s">
        <v>109</v>
      </c>
      <c r="P205" s="1" t="s">
        <v>33</v>
      </c>
      <c r="Q205" s="1" t="s">
        <v>167</v>
      </c>
      <c r="R205" s="1" t="s">
        <v>964</v>
      </c>
      <c r="S205" s="3">
        <v>4</v>
      </c>
      <c r="T205" s="1" t="s">
        <v>61</v>
      </c>
      <c r="U205" s="3">
        <v>454</v>
      </c>
      <c r="V205" s="1" t="s">
        <v>37</v>
      </c>
      <c r="W205" s="5">
        <f>Table1[[#This Row],[Quantity]]*Table1[[#This Row],[Price]]*(1-Table1[[#This Row],[Discount %]]/100)</f>
        <v>173920.19999999998</v>
      </c>
      <c r="X205">
        <f>Table1[[#This Row],[DeliveryDate]]-Table1[[#This Row],[OrderDate]]</f>
        <v>3</v>
      </c>
      <c r="Y205" t="str">
        <f>TEXT(Table1[[#This Row],[OrderDate]],"MMMM")</f>
        <v>August</v>
      </c>
      <c r="Z205" s="5">
        <f>YEAR(Table1[[#This Row],[OrderDate]])</f>
        <v>2024</v>
      </c>
    </row>
    <row r="206" spans="1:26" x14ac:dyDescent="0.3">
      <c r="A206" s="1" t="s">
        <v>965</v>
      </c>
      <c r="B206" t="s">
        <v>150</v>
      </c>
      <c r="C206" s="3">
        <v>23</v>
      </c>
      <c r="D206" s="1" t="s">
        <v>24</v>
      </c>
      <c r="E206" s="1" t="s">
        <v>99</v>
      </c>
      <c r="F206" s="1" t="s">
        <v>26</v>
      </c>
      <c r="G206" s="4">
        <v>45035</v>
      </c>
      <c r="H206" s="4">
        <v>45037</v>
      </c>
      <c r="I206" s="1" t="s">
        <v>93</v>
      </c>
      <c r="J206" s="1" t="s">
        <v>30</v>
      </c>
      <c r="K206" s="3">
        <v>4</v>
      </c>
      <c r="L206" s="2">
        <v>27187</v>
      </c>
      <c r="M206" s="3">
        <v>0</v>
      </c>
      <c r="N206" s="1" t="s">
        <v>45</v>
      </c>
      <c r="O206" s="1" t="s">
        <v>102</v>
      </c>
      <c r="P206" s="1" t="s">
        <v>33</v>
      </c>
      <c r="Q206" s="1" t="s">
        <v>153</v>
      </c>
      <c r="R206" s="1" t="s">
        <v>967</v>
      </c>
      <c r="S206" s="3">
        <v>1</v>
      </c>
      <c r="T206" s="1" t="s">
        <v>96</v>
      </c>
      <c r="U206" s="3">
        <v>318</v>
      </c>
      <c r="V206" s="1" t="s">
        <v>79</v>
      </c>
      <c r="W206" s="5">
        <f>Table1[[#This Row],[Quantity]]*Table1[[#This Row],[Price]]*(1-Table1[[#This Row],[Discount %]]/100)</f>
        <v>108748</v>
      </c>
      <c r="X206">
        <f>Table1[[#This Row],[DeliveryDate]]-Table1[[#This Row],[OrderDate]]</f>
        <v>2</v>
      </c>
      <c r="Y206" t="str">
        <f>TEXT(Table1[[#This Row],[OrderDate]],"MMMM")</f>
        <v>April</v>
      </c>
      <c r="Z206" s="5">
        <f>YEAR(Table1[[#This Row],[OrderDate]])</f>
        <v>2023</v>
      </c>
    </row>
    <row r="207" spans="1:26" x14ac:dyDescent="0.3">
      <c r="A207" s="1" t="s">
        <v>968</v>
      </c>
      <c r="B207" t="s">
        <v>261</v>
      </c>
      <c r="C207" s="3">
        <v>50</v>
      </c>
      <c r="D207" s="1" t="s">
        <v>24</v>
      </c>
      <c r="E207" s="1" t="s">
        <v>99</v>
      </c>
      <c r="F207" s="1" t="s">
        <v>53</v>
      </c>
      <c r="G207" s="4">
        <v>44931</v>
      </c>
      <c r="H207" s="4">
        <v>44935</v>
      </c>
      <c r="I207" s="1" t="s">
        <v>29</v>
      </c>
      <c r="J207" s="1" t="s">
        <v>30</v>
      </c>
      <c r="K207" s="3">
        <v>4</v>
      </c>
      <c r="L207" s="2">
        <v>42109.716287215415</v>
      </c>
      <c r="M207" s="3">
        <v>15</v>
      </c>
      <c r="N207" s="1" t="s">
        <v>31</v>
      </c>
      <c r="O207" s="1" t="s">
        <v>281</v>
      </c>
      <c r="P207" s="1" t="s">
        <v>174</v>
      </c>
      <c r="Q207" s="1" t="s">
        <v>264</v>
      </c>
      <c r="R207" s="1" t="s">
        <v>971</v>
      </c>
      <c r="S207" s="3">
        <v>1</v>
      </c>
      <c r="T207" s="1" t="s">
        <v>36</v>
      </c>
      <c r="U207" s="3">
        <v>494</v>
      </c>
      <c r="V207" s="1" t="s">
        <v>37</v>
      </c>
      <c r="W207" s="5">
        <f>Table1[[#This Row],[Quantity]]*Table1[[#This Row],[Price]]*(1-Table1[[#This Row],[Discount %]]/100)</f>
        <v>143173.03537653241</v>
      </c>
      <c r="X207">
        <f>Table1[[#This Row],[DeliveryDate]]-Table1[[#This Row],[OrderDate]]</f>
        <v>4</v>
      </c>
      <c r="Y207" t="str">
        <f>TEXT(Table1[[#This Row],[OrderDate]],"MMMM")</f>
        <v>January</v>
      </c>
      <c r="Z207" s="5">
        <f>YEAR(Table1[[#This Row],[OrderDate]])</f>
        <v>2023</v>
      </c>
    </row>
    <row r="208" spans="1:26" x14ac:dyDescent="0.3">
      <c r="A208" s="1" t="s">
        <v>972</v>
      </c>
      <c r="B208" t="s">
        <v>216</v>
      </c>
      <c r="C208" s="3">
        <v>32</v>
      </c>
      <c r="D208" s="1" t="s">
        <v>51</v>
      </c>
      <c r="E208" s="1" t="s">
        <v>229</v>
      </c>
      <c r="F208" s="1" t="s">
        <v>65</v>
      </c>
      <c r="G208" s="4">
        <v>45338</v>
      </c>
      <c r="H208" s="4">
        <v>45348</v>
      </c>
      <c r="I208" s="1" t="s">
        <v>108</v>
      </c>
      <c r="J208" s="1" t="s">
        <v>30</v>
      </c>
      <c r="K208" s="3">
        <v>3</v>
      </c>
      <c r="L208" s="2">
        <v>16857</v>
      </c>
      <c r="M208" s="3">
        <v>0</v>
      </c>
      <c r="N208" s="1" t="s">
        <v>56</v>
      </c>
      <c r="O208" s="1" t="s">
        <v>173</v>
      </c>
      <c r="P208" s="1" t="s">
        <v>174</v>
      </c>
      <c r="Q208" s="1" t="s">
        <v>219</v>
      </c>
      <c r="R208" s="1" t="s">
        <v>975</v>
      </c>
      <c r="S208" s="3">
        <v>4</v>
      </c>
      <c r="T208" s="1" t="s">
        <v>96</v>
      </c>
      <c r="U208" s="3">
        <v>219</v>
      </c>
      <c r="V208" s="1" t="s">
        <v>37</v>
      </c>
      <c r="W208" s="5">
        <f>Table1[[#This Row],[Quantity]]*Table1[[#This Row],[Price]]*(1-Table1[[#This Row],[Discount %]]/100)</f>
        <v>50571</v>
      </c>
      <c r="X208">
        <f>Table1[[#This Row],[DeliveryDate]]-Table1[[#This Row],[OrderDate]]</f>
        <v>10</v>
      </c>
      <c r="Y208" t="str">
        <f>TEXT(Table1[[#This Row],[OrderDate]],"MMMM")</f>
        <v>February</v>
      </c>
      <c r="Z208" s="5">
        <f>YEAR(Table1[[#This Row],[OrderDate]])</f>
        <v>2024</v>
      </c>
    </row>
    <row r="209" spans="1:26" x14ac:dyDescent="0.3">
      <c r="A209" s="1" t="s">
        <v>976</v>
      </c>
      <c r="B209" t="s">
        <v>272</v>
      </c>
      <c r="C209" s="3">
        <v>22</v>
      </c>
      <c r="D209" s="1" t="s">
        <v>24</v>
      </c>
      <c r="E209" s="1" t="s">
        <v>40</v>
      </c>
      <c r="F209" s="1" t="s">
        <v>82</v>
      </c>
      <c r="G209" s="4">
        <v>45116</v>
      </c>
      <c r="H209" s="4">
        <v>45122</v>
      </c>
      <c r="I209" s="1" t="s">
        <v>29</v>
      </c>
      <c r="J209" s="1" t="s">
        <v>30</v>
      </c>
      <c r="K209" s="3">
        <v>4</v>
      </c>
      <c r="L209" s="2">
        <v>7515</v>
      </c>
      <c r="M209" s="3">
        <v>5</v>
      </c>
      <c r="N209" s="1" t="s">
        <v>31</v>
      </c>
      <c r="O209" s="1" t="s">
        <v>46</v>
      </c>
      <c r="P209" s="1" t="s">
        <v>58</v>
      </c>
      <c r="Q209" s="1" t="s">
        <v>275</v>
      </c>
      <c r="R209" s="1" t="s">
        <v>977</v>
      </c>
      <c r="S209" s="3">
        <v>3</v>
      </c>
      <c r="T209" s="1" t="s">
        <v>61</v>
      </c>
      <c r="U209" s="3">
        <v>453</v>
      </c>
      <c r="V209" s="1" t="s">
        <v>62</v>
      </c>
      <c r="W209" s="5">
        <f>Table1[[#This Row],[Quantity]]*Table1[[#This Row],[Price]]*(1-Table1[[#This Row],[Discount %]]/100)</f>
        <v>28557</v>
      </c>
      <c r="X209">
        <f>Table1[[#This Row],[DeliveryDate]]-Table1[[#This Row],[OrderDate]]</f>
        <v>6</v>
      </c>
      <c r="Y209" t="str">
        <f>TEXT(Table1[[#This Row],[OrderDate]],"MMMM")</f>
        <v>July</v>
      </c>
      <c r="Z209" s="5">
        <f>YEAR(Table1[[#This Row],[OrderDate]])</f>
        <v>2023</v>
      </c>
    </row>
    <row r="210" spans="1:26" x14ac:dyDescent="0.3">
      <c r="A210" s="1" t="s">
        <v>978</v>
      </c>
      <c r="B210" t="s">
        <v>803</v>
      </c>
      <c r="C210" s="3">
        <v>47</v>
      </c>
      <c r="D210" s="1" t="s">
        <v>51</v>
      </c>
      <c r="E210" s="1" t="s">
        <v>25</v>
      </c>
      <c r="F210" s="1" t="s">
        <v>53</v>
      </c>
      <c r="G210" s="4">
        <v>45494</v>
      </c>
      <c r="H210" s="4">
        <v>45504</v>
      </c>
      <c r="I210" s="1" t="s">
        <v>29</v>
      </c>
      <c r="J210" s="1" t="s">
        <v>44</v>
      </c>
      <c r="K210" s="3">
        <v>1</v>
      </c>
      <c r="L210" s="2">
        <v>42109.716287215415</v>
      </c>
      <c r="M210" s="3">
        <v>10</v>
      </c>
      <c r="N210" s="1" t="s">
        <v>31</v>
      </c>
      <c r="O210" s="1" t="s">
        <v>173</v>
      </c>
      <c r="P210" s="1" t="s">
        <v>58</v>
      </c>
      <c r="Q210" s="1" t="s">
        <v>805</v>
      </c>
      <c r="R210" s="1" t="s">
        <v>979</v>
      </c>
      <c r="S210" s="3">
        <v>1</v>
      </c>
      <c r="T210" s="1" t="s">
        <v>61</v>
      </c>
      <c r="U210" s="3">
        <v>297</v>
      </c>
      <c r="V210" s="1" t="s">
        <v>62</v>
      </c>
      <c r="W210" s="5">
        <f>Table1[[#This Row],[Quantity]]*Table1[[#This Row],[Price]]*(1-Table1[[#This Row],[Discount %]]/100)</f>
        <v>37898.744658493873</v>
      </c>
      <c r="X210">
        <f>Table1[[#This Row],[DeliveryDate]]-Table1[[#This Row],[OrderDate]]</f>
        <v>10</v>
      </c>
      <c r="Y210" t="str">
        <f>TEXT(Table1[[#This Row],[OrderDate]],"MMMM")</f>
        <v>July</v>
      </c>
      <c r="Z210" s="5">
        <f>YEAR(Table1[[#This Row],[OrderDate]])</f>
        <v>2024</v>
      </c>
    </row>
    <row r="211" spans="1:26" x14ac:dyDescent="0.3">
      <c r="A211" s="1" t="s">
        <v>980</v>
      </c>
      <c r="B211" t="s">
        <v>617</v>
      </c>
      <c r="C211" s="3">
        <v>25</v>
      </c>
      <c r="D211" s="1" t="s">
        <v>51</v>
      </c>
      <c r="E211" s="1" t="s">
        <v>99</v>
      </c>
      <c r="F211" s="1" t="s">
        <v>26</v>
      </c>
      <c r="G211" s="4">
        <v>45121</v>
      </c>
      <c r="H211" s="4">
        <v>45124</v>
      </c>
      <c r="I211" s="1" t="s">
        <v>108</v>
      </c>
      <c r="J211" s="1" t="s">
        <v>30</v>
      </c>
      <c r="K211" s="3">
        <v>3</v>
      </c>
      <c r="L211" s="2">
        <v>44348</v>
      </c>
      <c r="M211" s="3">
        <v>0</v>
      </c>
      <c r="N211" s="1" t="s">
        <v>166</v>
      </c>
      <c r="O211" s="1" t="s">
        <v>46</v>
      </c>
      <c r="P211" s="1" t="s">
        <v>174</v>
      </c>
      <c r="Q211" s="1" t="s">
        <v>620</v>
      </c>
      <c r="R211" s="1" t="s">
        <v>3415</v>
      </c>
      <c r="S211" s="3">
        <v>1</v>
      </c>
      <c r="T211" s="1" t="s">
        <v>72</v>
      </c>
      <c r="U211" s="3">
        <v>331</v>
      </c>
      <c r="V211" s="1" t="s">
        <v>79</v>
      </c>
      <c r="W211" s="5">
        <f>Table1[[#This Row],[Quantity]]*Table1[[#This Row],[Price]]*(1-Table1[[#This Row],[Discount %]]/100)</f>
        <v>133044</v>
      </c>
      <c r="X211">
        <f>Table1[[#This Row],[DeliveryDate]]-Table1[[#This Row],[OrderDate]]</f>
        <v>3</v>
      </c>
      <c r="Y211" t="str">
        <f>TEXT(Table1[[#This Row],[OrderDate]],"MMMM")</f>
        <v>July</v>
      </c>
      <c r="Z211" s="5">
        <f>YEAR(Table1[[#This Row],[OrderDate]])</f>
        <v>2023</v>
      </c>
    </row>
    <row r="212" spans="1:26" x14ac:dyDescent="0.3">
      <c r="A212" s="1" t="s">
        <v>981</v>
      </c>
      <c r="B212" t="s">
        <v>946</v>
      </c>
      <c r="C212" s="3">
        <v>32</v>
      </c>
      <c r="D212" s="1" t="s">
        <v>51</v>
      </c>
      <c r="E212" s="1" t="s">
        <v>52</v>
      </c>
      <c r="F212" s="1" t="s">
        <v>82</v>
      </c>
      <c r="G212" s="4">
        <v>45393</v>
      </c>
      <c r="H212" s="4">
        <v>45395</v>
      </c>
      <c r="I212" s="1" t="s">
        <v>93</v>
      </c>
      <c r="J212" s="1" t="s">
        <v>30</v>
      </c>
      <c r="K212" s="3">
        <v>3</v>
      </c>
      <c r="L212" s="2">
        <v>71060</v>
      </c>
      <c r="M212" s="3">
        <v>15</v>
      </c>
      <c r="N212" s="1" t="s">
        <v>56</v>
      </c>
      <c r="O212" s="1" t="s">
        <v>133</v>
      </c>
      <c r="P212" s="1" t="s">
        <v>69</v>
      </c>
      <c r="Q212" s="1" t="s">
        <v>983</v>
      </c>
      <c r="R212" s="1" t="s">
        <v>984</v>
      </c>
      <c r="S212" s="3">
        <v>1</v>
      </c>
      <c r="T212" s="1" t="s">
        <v>96</v>
      </c>
      <c r="U212" s="3">
        <v>277</v>
      </c>
      <c r="V212" s="1" t="s">
        <v>79</v>
      </c>
      <c r="W212" s="5">
        <f>Table1[[#This Row],[Quantity]]*Table1[[#This Row],[Price]]*(1-Table1[[#This Row],[Discount %]]/100)</f>
        <v>181203</v>
      </c>
      <c r="X212">
        <f>Table1[[#This Row],[DeliveryDate]]-Table1[[#This Row],[OrderDate]]</f>
        <v>2</v>
      </c>
      <c r="Y212" t="str">
        <f>TEXT(Table1[[#This Row],[OrderDate]],"MMMM")</f>
        <v>April</v>
      </c>
      <c r="Z212" s="5">
        <f>YEAR(Table1[[#This Row],[OrderDate]])</f>
        <v>2024</v>
      </c>
    </row>
    <row r="213" spans="1:26" x14ac:dyDescent="0.3">
      <c r="A213" s="1" t="s">
        <v>985</v>
      </c>
      <c r="B213" t="s">
        <v>64</v>
      </c>
      <c r="C213" s="3">
        <v>45</v>
      </c>
      <c r="D213" s="1" t="s">
        <v>51</v>
      </c>
      <c r="E213" s="1" t="s">
        <v>25</v>
      </c>
      <c r="F213" s="1" t="s">
        <v>53</v>
      </c>
      <c r="G213" s="4">
        <v>45247</v>
      </c>
      <c r="H213" s="4">
        <v>45248</v>
      </c>
      <c r="I213" s="1" t="s">
        <v>77</v>
      </c>
      <c r="J213" s="1" t="s">
        <v>44</v>
      </c>
      <c r="K213" s="3">
        <v>3</v>
      </c>
      <c r="L213" s="2">
        <v>65916</v>
      </c>
      <c r="M213" s="3">
        <v>5</v>
      </c>
      <c r="N213" s="1" t="s">
        <v>45</v>
      </c>
      <c r="O213" s="1" t="s">
        <v>68</v>
      </c>
      <c r="P213" s="1" t="s">
        <v>69</v>
      </c>
      <c r="Q213" s="1" t="s">
        <v>70</v>
      </c>
      <c r="R213" s="1" t="s">
        <v>988</v>
      </c>
      <c r="S213" s="3">
        <v>4</v>
      </c>
      <c r="T213" s="1" t="s">
        <v>61</v>
      </c>
      <c r="U213" s="3">
        <v>116</v>
      </c>
      <c r="V213" s="1" t="s">
        <v>79</v>
      </c>
      <c r="W213" s="5">
        <f>Table1[[#This Row],[Quantity]]*Table1[[#This Row],[Price]]*(1-Table1[[#This Row],[Discount %]]/100)</f>
        <v>187860.59999999998</v>
      </c>
      <c r="X213">
        <f>Table1[[#This Row],[DeliveryDate]]-Table1[[#This Row],[OrderDate]]</f>
        <v>1</v>
      </c>
      <c r="Y213" t="str">
        <f>TEXT(Table1[[#This Row],[OrderDate]],"MMMM")</f>
        <v>November</v>
      </c>
      <c r="Z213" s="5">
        <f>YEAR(Table1[[#This Row],[OrderDate]])</f>
        <v>2023</v>
      </c>
    </row>
    <row r="214" spans="1:26" x14ac:dyDescent="0.3">
      <c r="A214" s="1" t="s">
        <v>989</v>
      </c>
      <c r="B214" t="s">
        <v>162</v>
      </c>
      <c r="C214" s="3">
        <v>30</v>
      </c>
      <c r="D214" s="1" t="s">
        <v>24</v>
      </c>
      <c r="E214" s="1" t="s">
        <v>229</v>
      </c>
      <c r="F214" s="1" t="s">
        <v>82</v>
      </c>
      <c r="G214" s="4">
        <v>45008</v>
      </c>
      <c r="H214" s="4">
        <v>45012</v>
      </c>
      <c r="I214" s="1" t="s">
        <v>43</v>
      </c>
      <c r="J214" s="1" t="s">
        <v>44</v>
      </c>
      <c r="K214" s="3">
        <v>2</v>
      </c>
      <c r="L214" s="2">
        <v>19882</v>
      </c>
      <c r="M214" s="3">
        <v>0</v>
      </c>
      <c r="N214" s="1" t="s">
        <v>56</v>
      </c>
      <c r="O214" s="1" t="s">
        <v>102</v>
      </c>
      <c r="P214" s="1" t="s">
        <v>174</v>
      </c>
      <c r="Q214" s="1" t="s">
        <v>167</v>
      </c>
      <c r="R214" s="1" t="s">
        <v>991</v>
      </c>
      <c r="S214" s="3">
        <v>4</v>
      </c>
      <c r="T214" s="1" t="s">
        <v>36</v>
      </c>
      <c r="U214" s="3">
        <v>406</v>
      </c>
      <c r="V214" s="1" t="s">
        <v>62</v>
      </c>
      <c r="W214" s="5">
        <f>Table1[[#This Row],[Quantity]]*Table1[[#This Row],[Price]]*(1-Table1[[#This Row],[Discount %]]/100)</f>
        <v>39764</v>
      </c>
      <c r="X214">
        <f>Table1[[#This Row],[DeliveryDate]]-Table1[[#This Row],[OrderDate]]</f>
        <v>4</v>
      </c>
      <c r="Y214" t="str">
        <f>TEXT(Table1[[#This Row],[OrderDate]],"MMMM")</f>
        <v>March</v>
      </c>
      <c r="Z214" s="5">
        <f>YEAR(Table1[[#This Row],[OrderDate]])</f>
        <v>2023</v>
      </c>
    </row>
    <row r="215" spans="1:26" x14ac:dyDescent="0.3">
      <c r="A215" s="1" t="s">
        <v>992</v>
      </c>
      <c r="B215" t="s">
        <v>547</v>
      </c>
      <c r="C215" s="3">
        <v>36</v>
      </c>
      <c r="D215" s="1" t="s">
        <v>51</v>
      </c>
      <c r="E215" s="1" t="s">
        <v>229</v>
      </c>
      <c r="F215" s="1" t="s">
        <v>26</v>
      </c>
      <c r="G215" s="4">
        <v>44949</v>
      </c>
      <c r="H215" s="4">
        <v>44955</v>
      </c>
      <c r="I215" s="1" t="s">
        <v>93</v>
      </c>
      <c r="J215" s="1" t="s">
        <v>30</v>
      </c>
      <c r="K215" s="3">
        <v>3</v>
      </c>
      <c r="L215" s="2">
        <v>29158</v>
      </c>
      <c r="M215" s="3">
        <v>5</v>
      </c>
      <c r="N215" s="1" t="s">
        <v>45</v>
      </c>
      <c r="O215" s="1" t="s">
        <v>32</v>
      </c>
      <c r="P215" s="1" t="s">
        <v>33</v>
      </c>
      <c r="Q215" s="1" t="s">
        <v>549</v>
      </c>
      <c r="R215" s="1" t="s">
        <v>994</v>
      </c>
      <c r="S215" s="3">
        <v>4</v>
      </c>
      <c r="T215" s="1" t="s">
        <v>96</v>
      </c>
      <c r="U215" s="3">
        <v>197</v>
      </c>
      <c r="V215" s="1" t="s">
        <v>62</v>
      </c>
      <c r="W215" s="5">
        <f>Table1[[#This Row],[Quantity]]*Table1[[#This Row],[Price]]*(1-Table1[[#This Row],[Discount %]]/100)</f>
        <v>83100.3</v>
      </c>
      <c r="X215">
        <f>Table1[[#This Row],[DeliveryDate]]-Table1[[#This Row],[OrderDate]]</f>
        <v>6</v>
      </c>
      <c r="Y215" t="str">
        <f>TEXT(Table1[[#This Row],[OrderDate]],"MMMM")</f>
        <v>January</v>
      </c>
      <c r="Z215" s="5">
        <f>YEAR(Table1[[#This Row],[OrderDate]])</f>
        <v>2023</v>
      </c>
    </row>
    <row r="216" spans="1:26" x14ac:dyDescent="0.3">
      <c r="A216" s="1" t="s">
        <v>995</v>
      </c>
      <c r="B216" t="s">
        <v>261</v>
      </c>
      <c r="C216" s="3">
        <v>58</v>
      </c>
      <c r="D216" s="1" t="s">
        <v>24</v>
      </c>
      <c r="E216" s="1" t="s">
        <v>25</v>
      </c>
      <c r="F216" s="1" t="s">
        <v>65</v>
      </c>
      <c r="G216" s="4">
        <v>45410</v>
      </c>
      <c r="H216" s="4">
        <v>45414</v>
      </c>
      <c r="I216" s="1" t="s">
        <v>43</v>
      </c>
      <c r="J216" s="1" t="s">
        <v>44</v>
      </c>
      <c r="K216" s="3">
        <v>1</v>
      </c>
      <c r="L216" s="2">
        <v>42109.716287215415</v>
      </c>
      <c r="M216" s="3">
        <v>10</v>
      </c>
      <c r="N216" s="1" t="s">
        <v>31</v>
      </c>
      <c r="O216" s="1" t="s">
        <v>102</v>
      </c>
      <c r="P216" s="1" t="s">
        <v>174</v>
      </c>
      <c r="Q216" s="1" t="s">
        <v>264</v>
      </c>
      <c r="R216" s="1" t="s">
        <v>997</v>
      </c>
      <c r="S216" s="3">
        <v>2</v>
      </c>
      <c r="T216" s="1" t="s">
        <v>61</v>
      </c>
      <c r="U216" s="3">
        <v>459</v>
      </c>
      <c r="V216" s="1" t="s">
        <v>79</v>
      </c>
      <c r="W216" s="5">
        <f>Table1[[#This Row],[Quantity]]*Table1[[#This Row],[Price]]*(1-Table1[[#This Row],[Discount %]]/100)</f>
        <v>37898.744658493873</v>
      </c>
      <c r="X216">
        <f>Table1[[#This Row],[DeliveryDate]]-Table1[[#This Row],[OrderDate]]</f>
        <v>4</v>
      </c>
      <c r="Y216" t="str">
        <f>TEXT(Table1[[#This Row],[OrderDate]],"MMMM")</f>
        <v>April</v>
      </c>
      <c r="Z216" s="5">
        <f>YEAR(Table1[[#This Row],[OrderDate]])</f>
        <v>2024</v>
      </c>
    </row>
    <row r="217" spans="1:26" x14ac:dyDescent="0.3">
      <c r="A217" s="1" t="s">
        <v>998</v>
      </c>
      <c r="B217" t="s">
        <v>209</v>
      </c>
      <c r="C217" s="3">
        <v>26</v>
      </c>
      <c r="D217" s="1" t="s">
        <v>24</v>
      </c>
      <c r="E217" s="1" t="s">
        <v>52</v>
      </c>
      <c r="F217" s="1" t="s">
        <v>82</v>
      </c>
      <c r="G217" s="4">
        <v>45242</v>
      </c>
      <c r="H217" s="4">
        <v>45246</v>
      </c>
      <c r="I217" s="1" t="s">
        <v>93</v>
      </c>
      <c r="J217" s="1" t="s">
        <v>44</v>
      </c>
      <c r="K217" s="3">
        <v>3</v>
      </c>
      <c r="L217" s="2">
        <v>20542</v>
      </c>
      <c r="M217" s="3">
        <v>10</v>
      </c>
      <c r="N217" s="1" t="s">
        <v>31</v>
      </c>
      <c r="O217" s="1" t="s">
        <v>68</v>
      </c>
      <c r="P217" s="1" t="s">
        <v>174</v>
      </c>
      <c r="Q217" s="1" t="s">
        <v>1001</v>
      </c>
      <c r="R217" s="1" t="s">
        <v>1002</v>
      </c>
      <c r="S217" s="3">
        <v>1</v>
      </c>
      <c r="T217" s="1" t="s">
        <v>36</v>
      </c>
      <c r="U217" s="3">
        <v>73</v>
      </c>
      <c r="V217" s="1" t="s">
        <v>37</v>
      </c>
      <c r="W217" s="5">
        <f>Table1[[#This Row],[Quantity]]*Table1[[#This Row],[Price]]*(1-Table1[[#This Row],[Discount %]]/100)</f>
        <v>55463.4</v>
      </c>
      <c r="X217">
        <f>Table1[[#This Row],[DeliveryDate]]-Table1[[#This Row],[OrderDate]]</f>
        <v>4</v>
      </c>
      <c r="Y217" t="str">
        <f>TEXT(Table1[[#This Row],[OrderDate]],"MMMM")</f>
        <v>November</v>
      </c>
      <c r="Z217" s="5">
        <f>YEAR(Table1[[#This Row],[OrderDate]])</f>
        <v>2023</v>
      </c>
    </row>
    <row r="218" spans="1:26" x14ac:dyDescent="0.3">
      <c r="A218" s="1" t="s">
        <v>1003</v>
      </c>
      <c r="B218" t="s">
        <v>309</v>
      </c>
      <c r="C218" s="3">
        <v>42</v>
      </c>
      <c r="D218" s="1" t="s">
        <v>24</v>
      </c>
      <c r="E218" s="1" t="s">
        <v>99</v>
      </c>
      <c r="F218" s="1" t="s">
        <v>65</v>
      </c>
      <c r="G218" s="4">
        <v>45077</v>
      </c>
      <c r="H218" s="4">
        <v>45080</v>
      </c>
      <c r="I218" s="1" t="s">
        <v>108</v>
      </c>
      <c r="J218" s="1" t="s">
        <v>30</v>
      </c>
      <c r="K218" s="3">
        <v>4</v>
      </c>
      <c r="L218" s="2">
        <v>7966</v>
      </c>
      <c r="M218" s="3">
        <v>0</v>
      </c>
      <c r="N218" s="1" t="s">
        <v>56</v>
      </c>
      <c r="O218" s="1" t="s">
        <v>109</v>
      </c>
      <c r="P218" s="1" t="s">
        <v>33</v>
      </c>
      <c r="Q218" s="1" t="s">
        <v>312</v>
      </c>
      <c r="R218" s="1" t="s">
        <v>1006</v>
      </c>
      <c r="S218" s="3">
        <v>1</v>
      </c>
      <c r="T218" s="1" t="s">
        <v>61</v>
      </c>
      <c r="U218" s="3">
        <v>306</v>
      </c>
      <c r="V218" s="1" t="s">
        <v>62</v>
      </c>
      <c r="W218" s="5">
        <f>Table1[[#This Row],[Quantity]]*Table1[[#This Row],[Price]]*(1-Table1[[#This Row],[Discount %]]/100)</f>
        <v>31864</v>
      </c>
      <c r="X218">
        <f>Table1[[#This Row],[DeliveryDate]]-Table1[[#This Row],[OrderDate]]</f>
        <v>3</v>
      </c>
      <c r="Y218" t="str">
        <f>TEXT(Table1[[#This Row],[OrderDate]],"MMMM")</f>
        <v>May</v>
      </c>
      <c r="Z218" s="5">
        <f>YEAR(Table1[[#This Row],[OrderDate]])</f>
        <v>2023</v>
      </c>
    </row>
    <row r="219" spans="1:26" x14ac:dyDescent="0.3">
      <c r="A219" s="1" t="s">
        <v>1007</v>
      </c>
      <c r="B219" t="s">
        <v>1008</v>
      </c>
      <c r="C219" s="3">
        <v>30</v>
      </c>
      <c r="D219" s="1" t="s">
        <v>51</v>
      </c>
      <c r="E219" s="1" t="s">
        <v>229</v>
      </c>
      <c r="F219" s="1" t="s">
        <v>26</v>
      </c>
      <c r="G219" s="4">
        <v>45140</v>
      </c>
      <c r="H219" s="4">
        <v>45145</v>
      </c>
      <c r="I219" s="1" t="s">
        <v>93</v>
      </c>
      <c r="J219" s="1" t="s">
        <v>30</v>
      </c>
      <c r="K219" s="3">
        <v>5</v>
      </c>
      <c r="L219" s="2">
        <v>42109.716287215415</v>
      </c>
      <c r="M219" s="3">
        <v>10</v>
      </c>
      <c r="N219" s="1" t="s">
        <v>31</v>
      </c>
      <c r="O219" s="1" t="s">
        <v>173</v>
      </c>
      <c r="P219" s="1" t="s">
        <v>58</v>
      </c>
      <c r="Q219" s="1" t="s">
        <v>1011</v>
      </c>
      <c r="R219" s="1" t="s">
        <v>1012</v>
      </c>
      <c r="S219" s="3">
        <v>3</v>
      </c>
      <c r="T219" s="1" t="s">
        <v>61</v>
      </c>
      <c r="U219" s="3">
        <v>299</v>
      </c>
      <c r="V219" s="1" t="s">
        <v>37</v>
      </c>
      <c r="W219" s="5">
        <f>Table1[[#This Row],[Quantity]]*Table1[[#This Row],[Price]]*(1-Table1[[#This Row],[Discount %]]/100)</f>
        <v>189493.72329246937</v>
      </c>
      <c r="X219">
        <f>Table1[[#This Row],[DeliveryDate]]-Table1[[#This Row],[OrderDate]]</f>
        <v>5</v>
      </c>
      <c r="Y219" t="str">
        <f>TEXT(Table1[[#This Row],[OrderDate]],"MMMM")</f>
        <v>August</v>
      </c>
      <c r="Z219" s="5">
        <f>YEAR(Table1[[#This Row],[OrderDate]])</f>
        <v>2023</v>
      </c>
    </row>
    <row r="220" spans="1:26" x14ac:dyDescent="0.3">
      <c r="A220" s="1" t="s">
        <v>1013</v>
      </c>
      <c r="B220" t="s">
        <v>933</v>
      </c>
      <c r="C220" s="3">
        <v>57</v>
      </c>
      <c r="D220" s="1" t="s">
        <v>51</v>
      </c>
      <c r="E220" s="1" t="s">
        <v>40</v>
      </c>
      <c r="F220" s="1" t="s">
        <v>65</v>
      </c>
      <c r="G220" s="4">
        <v>45334</v>
      </c>
      <c r="H220" s="4">
        <v>45342</v>
      </c>
      <c r="I220" s="1" t="s">
        <v>29</v>
      </c>
      <c r="J220" s="1" t="s">
        <v>30</v>
      </c>
      <c r="K220" s="3">
        <v>3</v>
      </c>
      <c r="L220" s="2">
        <v>67930</v>
      </c>
      <c r="M220" s="3">
        <v>5</v>
      </c>
      <c r="N220" s="1" t="s">
        <v>31</v>
      </c>
      <c r="O220" s="1" t="s">
        <v>68</v>
      </c>
      <c r="P220" s="1" t="s">
        <v>69</v>
      </c>
      <c r="Q220" s="1" t="s">
        <v>935</v>
      </c>
      <c r="R220" s="1" t="s">
        <v>1017</v>
      </c>
      <c r="S220" s="3">
        <v>1</v>
      </c>
      <c r="T220" s="1" t="s">
        <v>72</v>
      </c>
      <c r="U220" s="3">
        <v>85</v>
      </c>
      <c r="V220" s="1" t="s">
        <v>79</v>
      </c>
      <c r="W220" s="5">
        <f>Table1[[#This Row],[Quantity]]*Table1[[#This Row],[Price]]*(1-Table1[[#This Row],[Discount %]]/100)</f>
        <v>193600.5</v>
      </c>
      <c r="X220">
        <f>Table1[[#This Row],[DeliveryDate]]-Table1[[#This Row],[OrderDate]]</f>
        <v>8</v>
      </c>
      <c r="Y220" t="str">
        <f>TEXT(Table1[[#This Row],[OrderDate]],"MMMM")</f>
        <v>February</v>
      </c>
      <c r="Z220" s="5">
        <f>YEAR(Table1[[#This Row],[OrderDate]])</f>
        <v>2024</v>
      </c>
    </row>
    <row r="221" spans="1:26" x14ac:dyDescent="0.3">
      <c r="A221" s="1" t="s">
        <v>1018</v>
      </c>
      <c r="B221" t="s">
        <v>527</v>
      </c>
      <c r="C221" s="3">
        <v>60</v>
      </c>
      <c r="D221" s="1" t="s">
        <v>51</v>
      </c>
      <c r="E221" s="1" t="s">
        <v>229</v>
      </c>
      <c r="F221" s="1" t="s">
        <v>26</v>
      </c>
      <c r="G221" s="4">
        <v>45096</v>
      </c>
      <c r="H221" s="4">
        <v>45104</v>
      </c>
      <c r="I221" s="1" t="s">
        <v>29</v>
      </c>
      <c r="J221" s="1" t="s">
        <v>30</v>
      </c>
      <c r="K221" s="3">
        <v>1</v>
      </c>
      <c r="L221" s="2">
        <v>21388</v>
      </c>
      <c r="M221" s="3">
        <v>0</v>
      </c>
      <c r="N221" s="1" t="s">
        <v>45</v>
      </c>
      <c r="O221" s="1" t="s">
        <v>173</v>
      </c>
      <c r="P221" s="1" t="s">
        <v>174</v>
      </c>
      <c r="Q221" s="1" t="s">
        <v>530</v>
      </c>
      <c r="R221" s="1" t="s">
        <v>3415</v>
      </c>
      <c r="S221" s="3">
        <v>2</v>
      </c>
      <c r="T221" s="1" t="s">
        <v>36</v>
      </c>
      <c r="U221" s="3">
        <v>226</v>
      </c>
      <c r="V221" s="1" t="s">
        <v>37</v>
      </c>
      <c r="W221" s="5">
        <f>Table1[[#This Row],[Quantity]]*Table1[[#This Row],[Price]]*(1-Table1[[#This Row],[Discount %]]/100)</f>
        <v>21388</v>
      </c>
      <c r="X221">
        <f>Table1[[#This Row],[DeliveryDate]]-Table1[[#This Row],[OrderDate]]</f>
        <v>8</v>
      </c>
      <c r="Y221" t="str">
        <f>TEXT(Table1[[#This Row],[OrderDate]],"MMMM")</f>
        <v>June</v>
      </c>
      <c r="Z221" s="5">
        <f>YEAR(Table1[[#This Row],[OrderDate]])</f>
        <v>2023</v>
      </c>
    </row>
    <row r="222" spans="1:26" x14ac:dyDescent="0.3">
      <c r="A222" s="1" t="s">
        <v>1021</v>
      </c>
      <c r="B222" t="s">
        <v>162</v>
      </c>
      <c r="C222" s="3">
        <v>27</v>
      </c>
      <c r="D222" s="1" t="s">
        <v>24</v>
      </c>
      <c r="E222" s="1" t="s">
        <v>25</v>
      </c>
      <c r="F222" s="1" t="s">
        <v>53</v>
      </c>
      <c r="G222" s="4">
        <v>45351</v>
      </c>
      <c r="H222" s="4">
        <v>45355</v>
      </c>
      <c r="I222" s="1" t="s">
        <v>43</v>
      </c>
      <c r="J222" s="1" t="s">
        <v>44</v>
      </c>
      <c r="K222" s="3">
        <v>5</v>
      </c>
      <c r="L222" s="2">
        <v>31732</v>
      </c>
      <c r="M222" s="3">
        <v>15</v>
      </c>
      <c r="N222" s="1" t="s">
        <v>56</v>
      </c>
      <c r="O222" s="1" t="s">
        <v>281</v>
      </c>
      <c r="P222" s="1" t="s">
        <v>58</v>
      </c>
      <c r="Q222" s="1" t="s">
        <v>167</v>
      </c>
      <c r="R222" s="1" t="s">
        <v>1023</v>
      </c>
      <c r="S222" s="3">
        <v>3</v>
      </c>
      <c r="T222" s="1" t="s">
        <v>96</v>
      </c>
      <c r="U222" s="3">
        <v>337</v>
      </c>
      <c r="V222" s="1" t="s">
        <v>62</v>
      </c>
      <c r="W222" s="5">
        <f>Table1[[#This Row],[Quantity]]*Table1[[#This Row],[Price]]*(1-Table1[[#This Row],[Discount %]]/100)</f>
        <v>134861</v>
      </c>
      <c r="X222">
        <f>Table1[[#This Row],[DeliveryDate]]-Table1[[#This Row],[OrderDate]]</f>
        <v>4</v>
      </c>
      <c r="Y222" t="str">
        <f>TEXT(Table1[[#This Row],[OrderDate]],"MMMM")</f>
        <v>February</v>
      </c>
      <c r="Z222" s="5">
        <f>YEAR(Table1[[#This Row],[OrderDate]])</f>
        <v>2024</v>
      </c>
    </row>
    <row r="223" spans="1:26" x14ac:dyDescent="0.3">
      <c r="A223" s="1" t="s">
        <v>1024</v>
      </c>
      <c r="B223" t="s">
        <v>162</v>
      </c>
      <c r="C223" s="3">
        <v>22</v>
      </c>
      <c r="D223" s="1" t="s">
        <v>24</v>
      </c>
      <c r="E223" s="1" t="s">
        <v>142</v>
      </c>
      <c r="F223" s="1" t="s">
        <v>65</v>
      </c>
      <c r="G223" s="4">
        <v>45012</v>
      </c>
      <c r="H223" s="4">
        <v>45019</v>
      </c>
      <c r="I223" s="1" t="s">
        <v>85</v>
      </c>
      <c r="J223" s="1" t="s">
        <v>30</v>
      </c>
      <c r="K223" s="3">
        <v>4</v>
      </c>
      <c r="L223" s="2">
        <v>23574</v>
      </c>
      <c r="M223" s="3">
        <v>0</v>
      </c>
      <c r="N223" s="1" t="s">
        <v>166</v>
      </c>
      <c r="O223" s="1" t="s">
        <v>109</v>
      </c>
      <c r="P223" s="1" t="s">
        <v>174</v>
      </c>
      <c r="Q223" s="1" t="s">
        <v>167</v>
      </c>
      <c r="R223" s="1" t="s">
        <v>1026</v>
      </c>
      <c r="S223" s="3">
        <v>1</v>
      </c>
      <c r="T223" s="1" t="s">
        <v>96</v>
      </c>
      <c r="U223" s="3">
        <v>164</v>
      </c>
      <c r="V223" s="1" t="s">
        <v>62</v>
      </c>
      <c r="W223" s="5">
        <f>Table1[[#This Row],[Quantity]]*Table1[[#This Row],[Price]]*(1-Table1[[#This Row],[Discount %]]/100)</f>
        <v>94296</v>
      </c>
      <c r="X223">
        <f>Table1[[#This Row],[DeliveryDate]]-Table1[[#This Row],[OrderDate]]</f>
        <v>7</v>
      </c>
      <c r="Y223" t="str">
        <f>TEXT(Table1[[#This Row],[OrderDate]],"MMMM")</f>
        <v>March</v>
      </c>
      <c r="Z223" s="5">
        <f>YEAR(Table1[[#This Row],[OrderDate]])</f>
        <v>2023</v>
      </c>
    </row>
    <row r="224" spans="1:26" x14ac:dyDescent="0.3">
      <c r="A224" s="1" t="s">
        <v>1027</v>
      </c>
      <c r="B224" t="s">
        <v>228</v>
      </c>
      <c r="C224" s="3">
        <v>52</v>
      </c>
      <c r="D224" s="1" t="s">
        <v>51</v>
      </c>
      <c r="E224" s="1" t="s">
        <v>229</v>
      </c>
      <c r="F224" s="1" t="s">
        <v>82</v>
      </c>
      <c r="G224" s="4">
        <v>45437</v>
      </c>
      <c r="H224" s="4">
        <v>45442</v>
      </c>
      <c r="I224" s="1" t="s">
        <v>43</v>
      </c>
      <c r="J224" s="1" t="s">
        <v>30</v>
      </c>
      <c r="K224" s="3">
        <v>5</v>
      </c>
      <c r="L224" s="2">
        <v>46059</v>
      </c>
      <c r="M224" s="3">
        <v>0</v>
      </c>
      <c r="N224" s="1" t="s">
        <v>56</v>
      </c>
      <c r="O224" s="1" t="s">
        <v>86</v>
      </c>
      <c r="P224" s="1" t="s">
        <v>58</v>
      </c>
      <c r="Q224" s="1" t="s">
        <v>232</v>
      </c>
      <c r="R224" s="1" t="s">
        <v>1028</v>
      </c>
      <c r="S224" s="3">
        <v>5</v>
      </c>
      <c r="T224" s="1" t="s">
        <v>61</v>
      </c>
      <c r="U224" s="3">
        <v>52</v>
      </c>
      <c r="V224" s="1" t="s">
        <v>79</v>
      </c>
      <c r="W224" s="5">
        <f>Table1[[#This Row],[Quantity]]*Table1[[#This Row],[Price]]*(1-Table1[[#This Row],[Discount %]]/100)</f>
        <v>230295</v>
      </c>
      <c r="X224">
        <f>Table1[[#This Row],[DeliveryDate]]-Table1[[#This Row],[OrderDate]]</f>
        <v>5</v>
      </c>
      <c r="Y224" t="str">
        <f>TEXT(Table1[[#This Row],[OrderDate]],"MMMM")</f>
        <v>May</v>
      </c>
      <c r="Z224" s="5">
        <f>YEAR(Table1[[#This Row],[OrderDate]])</f>
        <v>2024</v>
      </c>
    </row>
    <row r="225" spans="1:26" x14ac:dyDescent="0.3">
      <c r="A225" s="1" t="s">
        <v>1029</v>
      </c>
      <c r="B225" t="s">
        <v>509</v>
      </c>
      <c r="C225" s="3">
        <v>33</v>
      </c>
      <c r="D225" s="1" t="s">
        <v>51</v>
      </c>
      <c r="E225" s="1" t="s">
        <v>131</v>
      </c>
      <c r="F225" s="1" t="s">
        <v>26</v>
      </c>
      <c r="G225" s="4">
        <v>45230</v>
      </c>
      <c r="H225" s="4">
        <v>45232</v>
      </c>
      <c r="I225" s="1" t="s">
        <v>85</v>
      </c>
      <c r="J225" s="1" t="s">
        <v>44</v>
      </c>
      <c r="K225" s="3">
        <v>3</v>
      </c>
      <c r="L225" s="2">
        <v>37852</v>
      </c>
      <c r="M225" s="3">
        <v>10</v>
      </c>
      <c r="N225" s="1" t="s">
        <v>45</v>
      </c>
      <c r="O225" s="1" t="s">
        <v>102</v>
      </c>
      <c r="P225" s="1" t="s">
        <v>58</v>
      </c>
      <c r="Q225" s="1" t="s">
        <v>3415</v>
      </c>
      <c r="R225" s="1" t="s">
        <v>1032</v>
      </c>
      <c r="S225" s="3">
        <v>4</v>
      </c>
      <c r="T225" s="1" t="s">
        <v>96</v>
      </c>
      <c r="U225" s="3">
        <v>229</v>
      </c>
      <c r="V225" s="1" t="s">
        <v>79</v>
      </c>
      <c r="W225" s="5">
        <f>Table1[[#This Row],[Quantity]]*Table1[[#This Row],[Price]]*(1-Table1[[#This Row],[Discount %]]/100)</f>
        <v>102200.40000000001</v>
      </c>
      <c r="X225">
        <f>Table1[[#This Row],[DeliveryDate]]-Table1[[#This Row],[OrderDate]]</f>
        <v>2</v>
      </c>
      <c r="Y225" t="str">
        <f>TEXT(Table1[[#This Row],[OrderDate]],"MMMM")</f>
        <v>October</v>
      </c>
      <c r="Z225" s="5">
        <f>YEAR(Table1[[#This Row],[OrderDate]])</f>
        <v>2023</v>
      </c>
    </row>
    <row r="226" spans="1:26" x14ac:dyDescent="0.3">
      <c r="A226" s="1" t="s">
        <v>1033</v>
      </c>
      <c r="B226" t="s">
        <v>424</v>
      </c>
      <c r="C226" s="3">
        <v>45</v>
      </c>
      <c r="D226" s="1" t="s">
        <v>24</v>
      </c>
      <c r="E226" s="1" t="s">
        <v>142</v>
      </c>
      <c r="F226" s="1" t="s">
        <v>26</v>
      </c>
      <c r="G226" s="4">
        <v>45311</v>
      </c>
      <c r="H226" s="4">
        <v>45320</v>
      </c>
      <c r="I226" s="1" t="s">
        <v>108</v>
      </c>
      <c r="J226" s="1" t="s">
        <v>30</v>
      </c>
      <c r="K226" s="3">
        <v>3</v>
      </c>
      <c r="L226" s="2">
        <v>36282</v>
      </c>
      <c r="M226" s="3">
        <v>10</v>
      </c>
      <c r="N226" s="1" t="s">
        <v>166</v>
      </c>
      <c r="O226" s="1" t="s">
        <v>173</v>
      </c>
      <c r="P226" s="1" t="s">
        <v>69</v>
      </c>
      <c r="Q226" s="1" t="s">
        <v>427</v>
      </c>
      <c r="R226" s="1" t="s">
        <v>1035</v>
      </c>
      <c r="S226" s="3">
        <v>1</v>
      </c>
      <c r="T226" s="1" t="s">
        <v>61</v>
      </c>
      <c r="U226" s="3">
        <v>209</v>
      </c>
      <c r="V226" s="1" t="s">
        <v>37</v>
      </c>
      <c r="W226" s="5">
        <f>Table1[[#This Row],[Quantity]]*Table1[[#This Row],[Price]]*(1-Table1[[#This Row],[Discount %]]/100)</f>
        <v>97961.400000000009</v>
      </c>
      <c r="X226">
        <f>Table1[[#This Row],[DeliveryDate]]-Table1[[#This Row],[OrderDate]]</f>
        <v>9</v>
      </c>
      <c r="Y226" t="str">
        <f>TEXT(Table1[[#This Row],[OrderDate]],"MMMM")</f>
        <v>January</v>
      </c>
      <c r="Z226" s="5">
        <f>YEAR(Table1[[#This Row],[OrderDate]])</f>
        <v>2024</v>
      </c>
    </row>
    <row r="227" spans="1:26" x14ac:dyDescent="0.3">
      <c r="A227" s="1" t="s">
        <v>1036</v>
      </c>
      <c r="B227" t="s">
        <v>90</v>
      </c>
      <c r="C227" s="3">
        <v>42</v>
      </c>
      <c r="D227" s="1" t="s">
        <v>24</v>
      </c>
      <c r="E227" s="1" t="s">
        <v>25</v>
      </c>
      <c r="F227" s="1" t="s">
        <v>53</v>
      </c>
      <c r="G227" s="4">
        <v>45051</v>
      </c>
      <c r="H227" s="4">
        <v>45058</v>
      </c>
      <c r="I227" s="1" t="s">
        <v>108</v>
      </c>
      <c r="J227" s="1" t="s">
        <v>30</v>
      </c>
      <c r="K227" s="3">
        <v>5</v>
      </c>
      <c r="L227" s="2">
        <v>61575</v>
      </c>
      <c r="M227" s="3">
        <v>10</v>
      </c>
      <c r="N227" s="1" t="s">
        <v>166</v>
      </c>
      <c r="O227" s="1" t="s">
        <v>109</v>
      </c>
      <c r="P227" s="1" t="s">
        <v>33</v>
      </c>
      <c r="Q227" s="1" t="s">
        <v>3415</v>
      </c>
      <c r="R227" s="1" t="s">
        <v>1038</v>
      </c>
      <c r="S227" s="3">
        <v>4</v>
      </c>
      <c r="T227" s="1" t="s">
        <v>36</v>
      </c>
      <c r="U227" s="3">
        <v>276</v>
      </c>
      <c r="V227" s="1" t="s">
        <v>79</v>
      </c>
      <c r="W227" s="5">
        <f>Table1[[#This Row],[Quantity]]*Table1[[#This Row],[Price]]*(1-Table1[[#This Row],[Discount %]]/100)</f>
        <v>277087.5</v>
      </c>
      <c r="X227">
        <f>Table1[[#This Row],[DeliveryDate]]-Table1[[#This Row],[OrderDate]]</f>
        <v>7</v>
      </c>
      <c r="Y227" t="str">
        <f>TEXT(Table1[[#This Row],[OrderDate]],"MMMM")</f>
        <v>May</v>
      </c>
      <c r="Z227" s="5">
        <f>YEAR(Table1[[#This Row],[OrderDate]])</f>
        <v>2023</v>
      </c>
    </row>
    <row r="228" spans="1:26" x14ac:dyDescent="0.3">
      <c r="A228" s="1" t="s">
        <v>1039</v>
      </c>
      <c r="B228" t="s">
        <v>424</v>
      </c>
      <c r="C228" s="3">
        <v>43</v>
      </c>
      <c r="D228" s="1" t="s">
        <v>24</v>
      </c>
      <c r="E228" s="1" t="s">
        <v>229</v>
      </c>
      <c r="F228" s="1" t="s">
        <v>65</v>
      </c>
      <c r="G228" s="4">
        <v>45345</v>
      </c>
      <c r="H228" s="4">
        <v>45350</v>
      </c>
      <c r="I228" s="1" t="s">
        <v>93</v>
      </c>
      <c r="J228" s="1" t="s">
        <v>30</v>
      </c>
      <c r="K228" s="3">
        <v>3</v>
      </c>
      <c r="L228" s="2">
        <v>5610</v>
      </c>
      <c r="M228" s="3">
        <v>0</v>
      </c>
      <c r="N228" s="1" t="s">
        <v>166</v>
      </c>
      <c r="O228" s="1" t="s">
        <v>281</v>
      </c>
      <c r="P228" s="1" t="s">
        <v>58</v>
      </c>
      <c r="Q228" s="1" t="s">
        <v>427</v>
      </c>
      <c r="R228" s="1" t="s">
        <v>1040</v>
      </c>
      <c r="S228" s="3">
        <v>1</v>
      </c>
      <c r="T228" s="1" t="s">
        <v>96</v>
      </c>
      <c r="U228" s="3">
        <v>234</v>
      </c>
      <c r="V228" s="1" t="s">
        <v>37</v>
      </c>
      <c r="W228" s="5">
        <f>Table1[[#This Row],[Quantity]]*Table1[[#This Row],[Price]]*(1-Table1[[#This Row],[Discount %]]/100)</f>
        <v>16830</v>
      </c>
      <c r="X228">
        <f>Table1[[#This Row],[DeliveryDate]]-Table1[[#This Row],[OrderDate]]</f>
        <v>5</v>
      </c>
      <c r="Y228" t="str">
        <f>TEXT(Table1[[#This Row],[OrderDate]],"MMMM")</f>
        <v>February</v>
      </c>
      <c r="Z228" s="5">
        <f>YEAR(Table1[[#This Row],[OrderDate]])</f>
        <v>2024</v>
      </c>
    </row>
    <row r="229" spans="1:26" x14ac:dyDescent="0.3">
      <c r="A229" s="1" t="s">
        <v>1041</v>
      </c>
      <c r="B229" t="s">
        <v>660</v>
      </c>
      <c r="C229" s="3">
        <v>58</v>
      </c>
      <c r="D229" s="1" t="s">
        <v>24</v>
      </c>
      <c r="E229" s="1" t="s">
        <v>26</v>
      </c>
      <c r="F229" s="1" t="s">
        <v>91</v>
      </c>
      <c r="G229" s="4">
        <v>45004</v>
      </c>
      <c r="H229" s="4">
        <v>45007</v>
      </c>
      <c r="I229" s="1" t="s">
        <v>108</v>
      </c>
      <c r="J229" s="1" t="s">
        <v>30</v>
      </c>
      <c r="K229" s="3">
        <v>2</v>
      </c>
      <c r="L229" s="2">
        <v>33409</v>
      </c>
      <c r="M229" s="3">
        <v>5</v>
      </c>
      <c r="N229" s="1" t="s">
        <v>166</v>
      </c>
      <c r="O229" s="1" t="s">
        <v>109</v>
      </c>
      <c r="P229" s="1" t="s">
        <v>33</v>
      </c>
      <c r="Q229" s="1" t="s">
        <v>662</v>
      </c>
      <c r="R229" s="1" t="s">
        <v>1043</v>
      </c>
      <c r="S229" s="3">
        <v>5</v>
      </c>
      <c r="T229" s="1" t="s">
        <v>61</v>
      </c>
      <c r="U229" s="3">
        <v>425</v>
      </c>
      <c r="V229" s="1" t="s">
        <v>62</v>
      </c>
      <c r="W229" s="5">
        <f>Table1[[#This Row],[Quantity]]*Table1[[#This Row],[Price]]*(1-Table1[[#This Row],[Discount %]]/100)</f>
        <v>63477.1</v>
      </c>
      <c r="X229">
        <f>Table1[[#This Row],[DeliveryDate]]-Table1[[#This Row],[OrderDate]]</f>
        <v>3</v>
      </c>
      <c r="Y229" t="str">
        <f>TEXT(Table1[[#This Row],[OrderDate]],"MMMM")</f>
        <v>March</v>
      </c>
      <c r="Z229" s="5">
        <f>YEAR(Table1[[#This Row],[OrderDate]])</f>
        <v>2023</v>
      </c>
    </row>
    <row r="230" spans="1:26" x14ac:dyDescent="0.3">
      <c r="A230" s="1" t="s">
        <v>1044</v>
      </c>
      <c r="B230" t="s">
        <v>1045</v>
      </c>
      <c r="C230" s="3">
        <v>59</v>
      </c>
      <c r="D230" s="1" t="s">
        <v>24</v>
      </c>
      <c r="E230" s="1" t="s">
        <v>99</v>
      </c>
      <c r="F230" s="1" t="s">
        <v>65</v>
      </c>
      <c r="G230" s="4">
        <v>45577</v>
      </c>
      <c r="H230" s="4">
        <v>45580</v>
      </c>
      <c r="I230" s="1" t="s">
        <v>77</v>
      </c>
      <c r="J230" s="1" t="s">
        <v>30</v>
      </c>
      <c r="K230" s="3">
        <v>2</v>
      </c>
      <c r="L230" s="2">
        <v>9182</v>
      </c>
      <c r="M230" s="3">
        <v>10</v>
      </c>
      <c r="N230" s="1" t="s">
        <v>166</v>
      </c>
      <c r="O230" s="1" t="s">
        <v>46</v>
      </c>
      <c r="P230" s="1" t="s">
        <v>33</v>
      </c>
      <c r="Q230" s="1" t="s">
        <v>1048</v>
      </c>
      <c r="R230" s="1" t="s">
        <v>1049</v>
      </c>
      <c r="S230" s="3">
        <v>4</v>
      </c>
      <c r="T230" s="1" t="s">
        <v>61</v>
      </c>
      <c r="U230" s="3">
        <v>76</v>
      </c>
      <c r="V230" s="1" t="s">
        <v>37</v>
      </c>
      <c r="W230" s="5">
        <f>Table1[[#This Row],[Quantity]]*Table1[[#This Row],[Price]]*(1-Table1[[#This Row],[Discount %]]/100)</f>
        <v>16527.600000000002</v>
      </c>
      <c r="X230">
        <f>Table1[[#This Row],[DeliveryDate]]-Table1[[#This Row],[OrderDate]]</f>
        <v>3</v>
      </c>
      <c r="Y230" t="str">
        <f>TEXT(Table1[[#This Row],[OrderDate]],"MMMM")</f>
        <v>October</v>
      </c>
      <c r="Z230" s="5">
        <f>YEAR(Table1[[#This Row],[OrderDate]])</f>
        <v>2024</v>
      </c>
    </row>
    <row r="231" spans="1:26" x14ac:dyDescent="0.3">
      <c r="A231" s="1" t="s">
        <v>1050</v>
      </c>
      <c r="B231" t="s">
        <v>150</v>
      </c>
      <c r="C231" s="3">
        <v>24</v>
      </c>
      <c r="D231" s="1" t="s">
        <v>51</v>
      </c>
      <c r="E231" s="1" t="s">
        <v>25</v>
      </c>
      <c r="F231" s="1" t="s">
        <v>26</v>
      </c>
      <c r="G231" s="4">
        <v>45494</v>
      </c>
      <c r="H231" s="4">
        <v>45501</v>
      </c>
      <c r="I231" s="1" t="s">
        <v>85</v>
      </c>
      <c r="J231" s="1" t="s">
        <v>30</v>
      </c>
      <c r="K231" s="3">
        <v>5</v>
      </c>
      <c r="L231" s="2">
        <v>42096</v>
      </c>
      <c r="M231" s="3">
        <v>0</v>
      </c>
      <c r="N231" s="1" t="s">
        <v>45</v>
      </c>
      <c r="O231" s="1" t="s">
        <v>109</v>
      </c>
      <c r="P231" s="1" t="s">
        <v>174</v>
      </c>
      <c r="Q231" s="1" t="s">
        <v>153</v>
      </c>
      <c r="R231" s="1" t="s">
        <v>1051</v>
      </c>
      <c r="S231" s="3">
        <v>1</v>
      </c>
      <c r="T231" s="1" t="s">
        <v>36</v>
      </c>
      <c r="U231" s="3">
        <v>393</v>
      </c>
      <c r="V231" s="1" t="s">
        <v>37</v>
      </c>
      <c r="W231" s="5">
        <f>Table1[[#This Row],[Quantity]]*Table1[[#This Row],[Price]]*(1-Table1[[#This Row],[Discount %]]/100)</f>
        <v>210480</v>
      </c>
      <c r="X231">
        <f>Table1[[#This Row],[DeliveryDate]]-Table1[[#This Row],[OrderDate]]</f>
        <v>7</v>
      </c>
      <c r="Y231" t="str">
        <f>TEXT(Table1[[#This Row],[OrderDate]],"MMMM")</f>
        <v>July</v>
      </c>
      <c r="Z231" s="5">
        <f>YEAR(Table1[[#This Row],[OrderDate]])</f>
        <v>2024</v>
      </c>
    </row>
    <row r="232" spans="1:26" x14ac:dyDescent="0.3">
      <c r="A232" s="1" t="s">
        <v>1052</v>
      </c>
      <c r="B232" t="s">
        <v>547</v>
      </c>
      <c r="C232" s="3">
        <v>41</v>
      </c>
      <c r="D232" s="1" t="s">
        <v>24</v>
      </c>
      <c r="E232" s="1" t="s">
        <v>52</v>
      </c>
      <c r="F232" s="1" t="s">
        <v>26</v>
      </c>
      <c r="G232" s="4">
        <v>45504</v>
      </c>
      <c r="H232" s="4">
        <v>45507</v>
      </c>
      <c r="I232" s="1" t="s">
        <v>93</v>
      </c>
      <c r="J232" s="1" t="s">
        <v>44</v>
      </c>
      <c r="K232" s="3">
        <v>3</v>
      </c>
      <c r="L232" s="2">
        <v>16813</v>
      </c>
      <c r="M232" s="3">
        <v>5</v>
      </c>
      <c r="N232" s="1" t="s">
        <v>31</v>
      </c>
      <c r="O232" s="1" t="s">
        <v>173</v>
      </c>
      <c r="P232" s="1" t="s">
        <v>33</v>
      </c>
      <c r="Q232" s="1" t="s">
        <v>549</v>
      </c>
      <c r="R232" s="1" t="s">
        <v>1055</v>
      </c>
      <c r="S232" s="3">
        <v>2</v>
      </c>
      <c r="T232" s="1" t="s">
        <v>96</v>
      </c>
      <c r="U232" s="3">
        <v>430</v>
      </c>
      <c r="V232" s="1" t="s">
        <v>37</v>
      </c>
      <c r="W232" s="5">
        <f>Table1[[#This Row],[Quantity]]*Table1[[#This Row],[Price]]*(1-Table1[[#This Row],[Discount %]]/100)</f>
        <v>47917.049999999996</v>
      </c>
      <c r="X232">
        <f>Table1[[#This Row],[DeliveryDate]]-Table1[[#This Row],[OrderDate]]</f>
        <v>3</v>
      </c>
      <c r="Y232" t="str">
        <f>TEXT(Table1[[#This Row],[OrderDate]],"MMMM")</f>
        <v>July</v>
      </c>
      <c r="Z232" s="5">
        <f>YEAR(Table1[[#This Row],[OrderDate]])</f>
        <v>2024</v>
      </c>
    </row>
    <row r="233" spans="1:26" x14ac:dyDescent="0.3">
      <c r="A233" s="1" t="s">
        <v>1056</v>
      </c>
      <c r="B233" t="s">
        <v>819</v>
      </c>
      <c r="C233" s="3">
        <v>24</v>
      </c>
      <c r="D233" s="1" t="s">
        <v>24</v>
      </c>
      <c r="E233" s="1" t="s">
        <v>142</v>
      </c>
      <c r="F233" s="1" t="s">
        <v>91</v>
      </c>
      <c r="G233" s="4">
        <v>45309</v>
      </c>
      <c r="H233" s="4">
        <v>45316</v>
      </c>
      <c r="I233" s="1" t="s">
        <v>93</v>
      </c>
      <c r="J233" s="1" t="s">
        <v>30</v>
      </c>
      <c r="K233" s="3">
        <v>2</v>
      </c>
      <c r="L233" s="2">
        <v>25000</v>
      </c>
      <c r="M233" s="3">
        <v>0</v>
      </c>
      <c r="N233" s="1" t="s">
        <v>56</v>
      </c>
      <c r="O233" s="1" t="s">
        <v>133</v>
      </c>
      <c r="P233" s="1" t="s">
        <v>58</v>
      </c>
      <c r="Q233" s="1" t="s">
        <v>821</v>
      </c>
      <c r="R233" s="1" t="s">
        <v>1059</v>
      </c>
      <c r="S233" s="3">
        <v>1</v>
      </c>
      <c r="T233" s="1" t="s">
        <v>72</v>
      </c>
      <c r="U233" s="3">
        <v>179</v>
      </c>
      <c r="V233" s="1" t="s">
        <v>62</v>
      </c>
      <c r="W233" s="5">
        <f>Table1[[#This Row],[Quantity]]*Table1[[#This Row],[Price]]*(1-Table1[[#This Row],[Discount %]]/100)</f>
        <v>50000</v>
      </c>
      <c r="X233">
        <f>Table1[[#This Row],[DeliveryDate]]-Table1[[#This Row],[OrderDate]]</f>
        <v>7</v>
      </c>
      <c r="Y233" t="str">
        <f>TEXT(Table1[[#This Row],[OrderDate]],"MMMM")</f>
        <v>January</v>
      </c>
      <c r="Z233" s="5">
        <f>YEAR(Table1[[#This Row],[OrderDate]])</f>
        <v>2024</v>
      </c>
    </row>
    <row r="234" spans="1:26" x14ac:dyDescent="0.3">
      <c r="A234" s="1" t="s">
        <v>1060</v>
      </c>
      <c r="B234" t="s">
        <v>555</v>
      </c>
      <c r="C234" s="3">
        <v>27</v>
      </c>
      <c r="D234" s="1" t="s">
        <v>51</v>
      </c>
      <c r="E234" s="1" t="s">
        <v>99</v>
      </c>
      <c r="F234" s="1" t="s">
        <v>26</v>
      </c>
      <c r="G234" s="4">
        <v>45505</v>
      </c>
      <c r="H234" s="4">
        <v>45515</v>
      </c>
      <c r="I234" s="1" t="s">
        <v>43</v>
      </c>
      <c r="J234" s="1" t="s">
        <v>30</v>
      </c>
      <c r="K234" s="3">
        <v>1</v>
      </c>
      <c r="L234" s="2">
        <v>46471</v>
      </c>
      <c r="M234" s="3">
        <v>10</v>
      </c>
      <c r="N234" s="1" t="s">
        <v>166</v>
      </c>
      <c r="O234" s="1" t="s">
        <v>86</v>
      </c>
      <c r="P234" s="1" t="s">
        <v>58</v>
      </c>
      <c r="Q234" s="1" t="s">
        <v>558</v>
      </c>
      <c r="R234" s="1" t="s">
        <v>1063</v>
      </c>
      <c r="S234" s="3">
        <v>5</v>
      </c>
      <c r="T234" s="1" t="s">
        <v>36</v>
      </c>
      <c r="U234" s="3">
        <v>99</v>
      </c>
      <c r="V234" s="1" t="s">
        <v>79</v>
      </c>
      <c r="W234" s="5">
        <f>Table1[[#This Row],[Quantity]]*Table1[[#This Row],[Price]]*(1-Table1[[#This Row],[Discount %]]/100)</f>
        <v>41823.9</v>
      </c>
      <c r="X234">
        <f>Table1[[#This Row],[DeliveryDate]]-Table1[[#This Row],[OrderDate]]</f>
        <v>10</v>
      </c>
      <c r="Y234" t="str">
        <f>TEXT(Table1[[#This Row],[OrderDate]],"MMMM")</f>
        <v>August</v>
      </c>
      <c r="Z234" s="5">
        <f>YEAR(Table1[[#This Row],[OrderDate]])</f>
        <v>2024</v>
      </c>
    </row>
    <row r="235" spans="1:26" x14ac:dyDescent="0.3">
      <c r="A235" s="1" t="s">
        <v>1064</v>
      </c>
      <c r="B235" t="s">
        <v>125</v>
      </c>
      <c r="C235" s="3">
        <v>23</v>
      </c>
      <c r="D235" s="1" t="s">
        <v>24</v>
      </c>
      <c r="E235" s="1" t="s">
        <v>52</v>
      </c>
      <c r="F235" s="1" t="s">
        <v>26</v>
      </c>
      <c r="G235" s="4">
        <v>45267</v>
      </c>
      <c r="H235" s="4">
        <v>45276</v>
      </c>
      <c r="I235" s="1" t="s">
        <v>85</v>
      </c>
      <c r="J235" s="1" t="s">
        <v>30</v>
      </c>
      <c r="K235" s="3">
        <v>4</v>
      </c>
      <c r="L235" s="2">
        <v>8639</v>
      </c>
      <c r="M235" s="3">
        <v>10</v>
      </c>
      <c r="N235" s="1" t="s">
        <v>166</v>
      </c>
      <c r="O235" s="1" t="s">
        <v>46</v>
      </c>
      <c r="P235" s="1" t="s">
        <v>58</v>
      </c>
      <c r="Q235" s="1" t="s">
        <v>756</v>
      </c>
      <c r="R235" s="1" t="s">
        <v>1067</v>
      </c>
      <c r="S235" s="3">
        <v>2</v>
      </c>
      <c r="T235" s="1" t="s">
        <v>36</v>
      </c>
      <c r="U235" s="3">
        <v>68</v>
      </c>
      <c r="V235" s="1" t="s">
        <v>37</v>
      </c>
      <c r="W235" s="5">
        <f>Table1[[#This Row],[Quantity]]*Table1[[#This Row],[Price]]*(1-Table1[[#This Row],[Discount %]]/100)</f>
        <v>31100.400000000001</v>
      </c>
      <c r="X235">
        <f>Table1[[#This Row],[DeliveryDate]]-Table1[[#This Row],[OrderDate]]</f>
        <v>9</v>
      </c>
      <c r="Y235" t="str">
        <f>TEXT(Table1[[#This Row],[OrderDate]],"MMMM")</f>
        <v>December</v>
      </c>
      <c r="Z235" s="5">
        <f>YEAR(Table1[[#This Row],[OrderDate]])</f>
        <v>2023</v>
      </c>
    </row>
    <row r="236" spans="1:26" x14ac:dyDescent="0.3">
      <c r="A236" s="1" t="s">
        <v>1068</v>
      </c>
      <c r="B236" t="s">
        <v>808</v>
      </c>
      <c r="C236" s="3">
        <v>32</v>
      </c>
      <c r="D236" s="1" t="s">
        <v>51</v>
      </c>
      <c r="E236" s="1" t="s">
        <v>40</v>
      </c>
      <c r="F236" s="1" t="s">
        <v>53</v>
      </c>
      <c r="G236" s="4">
        <v>45017</v>
      </c>
      <c r="H236" s="4">
        <v>45026</v>
      </c>
      <c r="I236" s="1" t="s">
        <v>77</v>
      </c>
      <c r="J236" s="1" t="s">
        <v>44</v>
      </c>
      <c r="K236" s="3">
        <v>5</v>
      </c>
      <c r="L236" s="2">
        <v>56558</v>
      </c>
      <c r="M236" s="3">
        <v>5</v>
      </c>
      <c r="N236" s="1" t="s">
        <v>45</v>
      </c>
      <c r="O236" s="1" t="s">
        <v>281</v>
      </c>
      <c r="P236" s="1" t="s">
        <v>58</v>
      </c>
      <c r="Q236" s="1" t="s">
        <v>191</v>
      </c>
      <c r="R236" s="1" t="s">
        <v>1070</v>
      </c>
      <c r="S236" s="3">
        <v>5</v>
      </c>
      <c r="T236" s="1" t="s">
        <v>36</v>
      </c>
      <c r="U236" s="3">
        <v>212</v>
      </c>
      <c r="V236" s="1" t="s">
        <v>79</v>
      </c>
      <c r="W236" s="5">
        <f>Table1[[#This Row],[Quantity]]*Table1[[#This Row],[Price]]*(1-Table1[[#This Row],[Discount %]]/100)</f>
        <v>268650.5</v>
      </c>
      <c r="X236">
        <f>Table1[[#This Row],[DeliveryDate]]-Table1[[#This Row],[OrderDate]]</f>
        <v>9</v>
      </c>
      <c r="Y236" t="str">
        <f>TEXT(Table1[[#This Row],[OrderDate]],"MMMM")</f>
        <v>April</v>
      </c>
      <c r="Z236" s="5">
        <f>YEAR(Table1[[#This Row],[OrderDate]])</f>
        <v>2023</v>
      </c>
    </row>
    <row r="237" spans="1:26" x14ac:dyDescent="0.3">
      <c r="A237" s="1" t="s">
        <v>1071</v>
      </c>
      <c r="B237" t="s">
        <v>645</v>
      </c>
      <c r="C237" s="3">
        <v>36</v>
      </c>
      <c r="D237" s="1" t="s">
        <v>51</v>
      </c>
      <c r="E237" s="1" t="s">
        <v>131</v>
      </c>
      <c r="F237" s="1" t="s">
        <v>91</v>
      </c>
      <c r="G237" s="4">
        <v>44954</v>
      </c>
      <c r="H237" s="4">
        <v>44958</v>
      </c>
      <c r="I237" s="1" t="s">
        <v>93</v>
      </c>
      <c r="J237" s="1" t="s">
        <v>44</v>
      </c>
      <c r="K237" s="3">
        <v>3</v>
      </c>
      <c r="L237" s="2">
        <v>18757</v>
      </c>
      <c r="M237" s="3">
        <v>0</v>
      </c>
      <c r="N237" s="1" t="s">
        <v>166</v>
      </c>
      <c r="O237" s="1" t="s">
        <v>32</v>
      </c>
      <c r="P237" s="1" t="s">
        <v>58</v>
      </c>
      <c r="Q237" s="1" t="s">
        <v>647</v>
      </c>
      <c r="R237" s="1" t="s">
        <v>1074</v>
      </c>
      <c r="S237" s="3">
        <v>2</v>
      </c>
      <c r="T237" s="1" t="s">
        <v>72</v>
      </c>
      <c r="U237" s="3">
        <v>339</v>
      </c>
      <c r="V237" s="1" t="s">
        <v>62</v>
      </c>
      <c r="W237" s="5">
        <f>Table1[[#This Row],[Quantity]]*Table1[[#This Row],[Price]]*(1-Table1[[#This Row],[Discount %]]/100)</f>
        <v>56271</v>
      </c>
      <c r="X237">
        <f>Table1[[#This Row],[DeliveryDate]]-Table1[[#This Row],[OrderDate]]</f>
        <v>4</v>
      </c>
      <c r="Y237" t="str">
        <f>TEXT(Table1[[#This Row],[OrderDate]],"MMMM")</f>
        <v>January</v>
      </c>
      <c r="Z237" s="5">
        <f>YEAR(Table1[[#This Row],[OrderDate]])</f>
        <v>2023</v>
      </c>
    </row>
    <row r="238" spans="1:26" x14ac:dyDescent="0.3">
      <c r="A238" s="1" t="s">
        <v>1075</v>
      </c>
      <c r="B238" t="s">
        <v>125</v>
      </c>
      <c r="C238" s="3">
        <v>22</v>
      </c>
      <c r="D238" s="1" t="s">
        <v>24</v>
      </c>
      <c r="E238" s="1" t="s">
        <v>99</v>
      </c>
      <c r="F238" s="1" t="s">
        <v>65</v>
      </c>
      <c r="G238" s="4">
        <v>45308</v>
      </c>
      <c r="H238" s="4">
        <v>45313</v>
      </c>
      <c r="I238" s="1" t="s">
        <v>77</v>
      </c>
      <c r="J238" s="1" t="s">
        <v>44</v>
      </c>
      <c r="K238" s="3">
        <v>3</v>
      </c>
      <c r="L238" s="2">
        <v>28930</v>
      </c>
      <c r="M238" s="3">
        <v>0</v>
      </c>
      <c r="N238" s="1" t="s">
        <v>166</v>
      </c>
      <c r="O238" s="1" t="s">
        <v>46</v>
      </c>
      <c r="P238" s="1" t="s">
        <v>58</v>
      </c>
      <c r="Q238" s="1" t="s">
        <v>756</v>
      </c>
      <c r="R238" s="1" t="s">
        <v>1078</v>
      </c>
      <c r="S238" s="3">
        <v>4</v>
      </c>
      <c r="T238" s="1" t="s">
        <v>72</v>
      </c>
      <c r="U238" s="3">
        <v>58</v>
      </c>
      <c r="V238" s="1" t="s">
        <v>37</v>
      </c>
      <c r="W238" s="5">
        <f>Table1[[#This Row],[Quantity]]*Table1[[#This Row],[Price]]*(1-Table1[[#This Row],[Discount %]]/100)</f>
        <v>86790</v>
      </c>
      <c r="X238">
        <f>Table1[[#This Row],[DeliveryDate]]-Table1[[#This Row],[OrderDate]]</f>
        <v>5</v>
      </c>
      <c r="Y238" t="str">
        <f>TEXT(Table1[[#This Row],[OrderDate]],"MMMM")</f>
        <v>January</v>
      </c>
      <c r="Z238" s="5">
        <f>YEAR(Table1[[#This Row],[OrderDate]])</f>
        <v>2024</v>
      </c>
    </row>
    <row r="239" spans="1:26" x14ac:dyDescent="0.3">
      <c r="A239" s="1" t="s">
        <v>1079</v>
      </c>
      <c r="B239" t="s">
        <v>1080</v>
      </c>
      <c r="C239" s="3">
        <v>28</v>
      </c>
      <c r="D239" s="1" t="s">
        <v>24</v>
      </c>
      <c r="E239" s="1" t="s">
        <v>229</v>
      </c>
      <c r="F239" s="1" t="s">
        <v>53</v>
      </c>
      <c r="G239" s="4">
        <v>45438</v>
      </c>
      <c r="H239" s="4">
        <v>45441</v>
      </c>
      <c r="I239" s="1" t="s">
        <v>85</v>
      </c>
      <c r="J239" s="1" t="s">
        <v>30</v>
      </c>
      <c r="K239" s="3">
        <v>3</v>
      </c>
      <c r="L239" s="2">
        <v>77893</v>
      </c>
      <c r="M239" s="3">
        <v>15</v>
      </c>
      <c r="N239" s="1" t="s">
        <v>56</v>
      </c>
      <c r="O239" s="1" t="s">
        <v>173</v>
      </c>
      <c r="P239" s="1" t="s">
        <v>174</v>
      </c>
      <c r="Q239" s="1" t="s">
        <v>1082</v>
      </c>
      <c r="R239" s="1" t="s">
        <v>1083</v>
      </c>
      <c r="S239" s="3">
        <v>3</v>
      </c>
      <c r="T239" s="1" t="s">
        <v>72</v>
      </c>
      <c r="U239" s="3">
        <v>296</v>
      </c>
      <c r="V239" s="1" t="s">
        <v>37</v>
      </c>
      <c r="W239" s="5">
        <f>Table1[[#This Row],[Quantity]]*Table1[[#This Row],[Price]]*(1-Table1[[#This Row],[Discount %]]/100)</f>
        <v>198627.15</v>
      </c>
      <c r="X239">
        <f>Table1[[#This Row],[DeliveryDate]]-Table1[[#This Row],[OrderDate]]</f>
        <v>3</v>
      </c>
      <c r="Y239" t="str">
        <f>TEXT(Table1[[#This Row],[OrderDate]],"MMMM")</f>
        <v>May</v>
      </c>
      <c r="Z239" s="5">
        <f>YEAR(Table1[[#This Row],[OrderDate]])</f>
        <v>2024</v>
      </c>
    </row>
    <row r="240" spans="1:26" x14ac:dyDescent="0.3">
      <c r="A240" s="1" t="s">
        <v>1084</v>
      </c>
      <c r="B240" t="s">
        <v>933</v>
      </c>
      <c r="C240" s="3">
        <v>50</v>
      </c>
      <c r="D240" s="1" t="s">
        <v>51</v>
      </c>
      <c r="E240" s="1" t="s">
        <v>142</v>
      </c>
      <c r="F240" s="1" t="s">
        <v>65</v>
      </c>
      <c r="G240" s="4">
        <v>44985</v>
      </c>
      <c r="H240" s="4">
        <v>44992</v>
      </c>
      <c r="I240" s="1" t="s">
        <v>43</v>
      </c>
      <c r="J240" s="1" t="s">
        <v>30</v>
      </c>
      <c r="K240" s="3">
        <v>2</v>
      </c>
      <c r="L240" s="2">
        <v>79503</v>
      </c>
      <c r="M240" s="3">
        <v>5</v>
      </c>
      <c r="N240" s="1" t="s">
        <v>166</v>
      </c>
      <c r="O240" s="1" t="s">
        <v>46</v>
      </c>
      <c r="P240" s="1" t="s">
        <v>69</v>
      </c>
      <c r="Q240" s="1" t="s">
        <v>935</v>
      </c>
      <c r="R240" s="1" t="s">
        <v>3415</v>
      </c>
      <c r="S240" s="3">
        <v>1</v>
      </c>
      <c r="T240" s="1" t="s">
        <v>36</v>
      </c>
      <c r="U240" s="3">
        <v>153</v>
      </c>
      <c r="V240" s="1" t="s">
        <v>62</v>
      </c>
      <c r="W240" s="5">
        <f>Table1[[#This Row],[Quantity]]*Table1[[#This Row],[Price]]*(1-Table1[[#This Row],[Discount %]]/100)</f>
        <v>151055.69999999998</v>
      </c>
      <c r="X240">
        <f>Table1[[#This Row],[DeliveryDate]]-Table1[[#This Row],[OrderDate]]</f>
        <v>7</v>
      </c>
      <c r="Y240" t="str">
        <f>TEXT(Table1[[#This Row],[OrderDate]],"MMMM")</f>
        <v>February</v>
      </c>
      <c r="Z240" s="5">
        <f>YEAR(Table1[[#This Row],[OrderDate]])</f>
        <v>2023</v>
      </c>
    </row>
    <row r="241" spans="1:26" x14ac:dyDescent="0.3">
      <c r="A241" s="1" t="s">
        <v>1086</v>
      </c>
      <c r="B241" t="s">
        <v>39</v>
      </c>
      <c r="C241" s="3">
        <v>30</v>
      </c>
      <c r="D241" s="1" t="s">
        <v>51</v>
      </c>
      <c r="E241" s="1" t="s">
        <v>99</v>
      </c>
      <c r="F241" s="1" t="s">
        <v>53</v>
      </c>
      <c r="G241" s="4">
        <v>45198</v>
      </c>
      <c r="H241" s="4">
        <v>45205</v>
      </c>
      <c r="I241" s="1" t="s">
        <v>43</v>
      </c>
      <c r="J241" s="1" t="s">
        <v>30</v>
      </c>
      <c r="K241" s="3">
        <v>5</v>
      </c>
      <c r="L241" s="2">
        <v>21205</v>
      </c>
      <c r="M241" s="3">
        <v>0</v>
      </c>
      <c r="N241" s="1" t="s">
        <v>166</v>
      </c>
      <c r="O241" s="1" t="s">
        <v>133</v>
      </c>
      <c r="P241" s="1" t="s">
        <v>174</v>
      </c>
      <c r="Q241" s="1" t="s">
        <v>47</v>
      </c>
      <c r="R241" s="1" t="s">
        <v>3415</v>
      </c>
      <c r="S241" s="3">
        <v>2</v>
      </c>
      <c r="T241" s="1" t="s">
        <v>72</v>
      </c>
      <c r="U241" s="3">
        <v>81</v>
      </c>
      <c r="V241" s="1" t="s">
        <v>62</v>
      </c>
      <c r="W241" s="5">
        <f>Table1[[#This Row],[Quantity]]*Table1[[#This Row],[Price]]*(1-Table1[[#This Row],[Discount %]]/100)</f>
        <v>106025</v>
      </c>
      <c r="X241">
        <f>Table1[[#This Row],[DeliveryDate]]-Table1[[#This Row],[OrderDate]]</f>
        <v>7</v>
      </c>
      <c r="Y241" t="str">
        <f>TEXT(Table1[[#This Row],[OrderDate]],"MMMM")</f>
        <v>September</v>
      </c>
      <c r="Z241" s="5">
        <f>YEAR(Table1[[#This Row],[OrderDate]])</f>
        <v>2023</v>
      </c>
    </row>
    <row r="242" spans="1:26" x14ac:dyDescent="0.3">
      <c r="A242" s="1" t="s">
        <v>1088</v>
      </c>
      <c r="B242" t="s">
        <v>617</v>
      </c>
      <c r="C242" s="3">
        <v>44</v>
      </c>
      <c r="D242" s="1" t="s">
        <v>24</v>
      </c>
      <c r="E242" s="1" t="s">
        <v>131</v>
      </c>
      <c r="F242" s="1" t="s">
        <v>82</v>
      </c>
      <c r="G242" s="4">
        <v>45328</v>
      </c>
      <c r="H242" s="4">
        <v>45329</v>
      </c>
      <c r="I242" s="1" t="s">
        <v>77</v>
      </c>
      <c r="J242" s="1" t="s">
        <v>44</v>
      </c>
      <c r="K242" s="3">
        <v>3</v>
      </c>
      <c r="L242" s="2">
        <v>12675</v>
      </c>
      <c r="M242" s="3">
        <v>0</v>
      </c>
      <c r="N242" s="1" t="s">
        <v>31</v>
      </c>
      <c r="O242" s="1" t="s">
        <v>173</v>
      </c>
      <c r="P242" s="1" t="s">
        <v>69</v>
      </c>
      <c r="Q242" s="1" t="s">
        <v>620</v>
      </c>
      <c r="R242" s="1" t="s">
        <v>1091</v>
      </c>
      <c r="S242" s="3">
        <v>2</v>
      </c>
      <c r="T242" s="1" t="s">
        <v>36</v>
      </c>
      <c r="U242" s="3">
        <v>354</v>
      </c>
      <c r="V242" s="1" t="s">
        <v>79</v>
      </c>
      <c r="W242" s="5">
        <f>Table1[[#This Row],[Quantity]]*Table1[[#This Row],[Price]]*(1-Table1[[#This Row],[Discount %]]/100)</f>
        <v>38025</v>
      </c>
      <c r="X242">
        <f>Table1[[#This Row],[DeliveryDate]]-Table1[[#This Row],[OrderDate]]</f>
        <v>1</v>
      </c>
      <c r="Y242" t="str">
        <f>TEXT(Table1[[#This Row],[OrderDate]],"MMMM")</f>
        <v>February</v>
      </c>
      <c r="Z242" s="5">
        <f>YEAR(Table1[[#This Row],[OrderDate]])</f>
        <v>2024</v>
      </c>
    </row>
    <row r="243" spans="1:26" x14ac:dyDescent="0.3">
      <c r="A243" s="1" t="s">
        <v>1092</v>
      </c>
      <c r="B243" t="s">
        <v>1080</v>
      </c>
      <c r="C243" s="3">
        <v>33</v>
      </c>
      <c r="D243" s="1" t="s">
        <v>51</v>
      </c>
      <c r="E243" s="1" t="s">
        <v>229</v>
      </c>
      <c r="F243" s="1" t="s">
        <v>26</v>
      </c>
      <c r="G243" s="4">
        <v>45271</v>
      </c>
      <c r="H243" s="4">
        <v>45275</v>
      </c>
      <c r="I243" s="1" t="s">
        <v>93</v>
      </c>
      <c r="J243" s="1" t="s">
        <v>44</v>
      </c>
      <c r="K243" s="3">
        <v>2</v>
      </c>
      <c r="L243" s="2">
        <v>9134</v>
      </c>
      <c r="M243" s="3">
        <v>0</v>
      </c>
      <c r="N243" s="1" t="s">
        <v>45</v>
      </c>
      <c r="O243" s="1" t="s">
        <v>46</v>
      </c>
      <c r="P243" s="1" t="s">
        <v>69</v>
      </c>
      <c r="Q243" s="1" t="s">
        <v>1082</v>
      </c>
      <c r="R243" s="1" t="s">
        <v>3415</v>
      </c>
      <c r="S243" s="3">
        <v>3</v>
      </c>
      <c r="T243" s="1" t="s">
        <v>72</v>
      </c>
      <c r="U243" s="3">
        <v>85</v>
      </c>
      <c r="V243" s="1" t="s">
        <v>37</v>
      </c>
      <c r="W243" s="5">
        <f>Table1[[#This Row],[Quantity]]*Table1[[#This Row],[Price]]*(1-Table1[[#This Row],[Discount %]]/100)</f>
        <v>18268</v>
      </c>
      <c r="X243">
        <f>Table1[[#This Row],[DeliveryDate]]-Table1[[#This Row],[OrderDate]]</f>
        <v>4</v>
      </c>
      <c r="Y243" t="str">
        <f>TEXT(Table1[[#This Row],[OrderDate]],"MMMM")</f>
        <v>December</v>
      </c>
      <c r="Z243" s="5">
        <f>YEAR(Table1[[#This Row],[OrderDate]])</f>
        <v>2023</v>
      </c>
    </row>
    <row r="244" spans="1:26" x14ac:dyDescent="0.3">
      <c r="A244" s="1" t="s">
        <v>1093</v>
      </c>
      <c r="B244" t="s">
        <v>803</v>
      </c>
      <c r="C244" s="3">
        <v>46</v>
      </c>
      <c r="D244" s="1" t="s">
        <v>24</v>
      </c>
      <c r="E244" s="1" t="s">
        <v>99</v>
      </c>
      <c r="F244" s="1" t="s">
        <v>26</v>
      </c>
      <c r="G244" s="4">
        <v>44935</v>
      </c>
      <c r="H244" s="4">
        <v>44942</v>
      </c>
      <c r="I244" s="1" t="s">
        <v>29</v>
      </c>
      <c r="J244" s="1" t="s">
        <v>30</v>
      </c>
      <c r="K244" s="3">
        <v>1</v>
      </c>
      <c r="L244" s="2">
        <v>20157</v>
      </c>
      <c r="M244" s="3">
        <v>15</v>
      </c>
      <c r="N244" s="1" t="s">
        <v>45</v>
      </c>
      <c r="O244" s="1" t="s">
        <v>86</v>
      </c>
      <c r="P244" s="1" t="s">
        <v>58</v>
      </c>
      <c r="Q244" s="1" t="s">
        <v>805</v>
      </c>
      <c r="R244" s="1" t="s">
        <v>1095</v>
      </c>
      <c r="S244" s="3">
        <v>3</v>
      </c>
      <c r="T244" s="1" t="s">
        <v>96</v>
      </c>
      <c r="U244" s="3">
        <v>495</v>
      </c>
      <c r="V244" s="1" t="s">
        <v>79</v>
      </c>
      <c r="W244" s="5">
        <f>Table1[[#This Row],[Quantity]]*Table1[[#This Row],[Price]]*(1-Table1[[#This Row],[Discount %]]/100)</f>
        <v>17133.45</v>
      </c>
      <c r="X244">
        <f>Table1[[#This Row],[DeliveryDate]]-Table1[[#This Row],[OrderDate]]</f>
        <v>7</v>
      </c>
      <c r="Y244" t="str">
        <f>TEXT(Table1[[#This Row],[OrderDate]],"MMMM")</f>
        <v>January</v>
      </c>
      <c r="Z244" s="5">
        <f>YEAR(Table1[[#This Row],[OrderDate]])</f>
        <v>2023</v>
      </c>
    </row>
    <row r="245" spans="1:26" x14ac:dyDescent="0.3">
      <c r="A245" s="1" t="s">
        <v>1096</v>
      </c>
      <c r="B245" t="s">
        <v>136</v>
      </c>
      <c r="C245" s="3">
        <v>37</v>
      </c>
      <c r="D245" s="1" t="s">
        <v>51</v>
      </c>
      <c r="E245" s="1" t="s">
        <v>99</v>
      </c>
      <c r="F245" s="1" t="s">
        <v>65</v>
      </c>
      <c r="G245" s="4">
        <v>45432</v>
      </c>
      <c r="H245" s="4">
        <v>45434</v>
      </c>
      <c r="I245" s="1" t="s">
        <v>29</v>
      </c>
      <c r="J245" s="1" t="s">
        <v>30</v>
      </c>
      <c r="K245" s="3">
        <v>1</v>
      </c>
      <c r="L245" s="2">
        <v>42109.716287215415</v>
      </c>
      <c r="M245" s="3">
        <v>5</v>
      </c>
      <c r="N245" s="1" t="s">
        <v>31</v>
      </c>
      <c r="O245" s="1" t="s">
        <v>102</v>
      </c>
      <c r="P245" s="1" t="s">
        <v>174</v>
      </c>
      <c r="Q245" s="1" t="s">
        <v>3415</v>
      </c>
      <c r="R245" s="1" t="s">
        <v>1098</v>
      </c>
      <c r="S245" s="3">
        <v>2</v>
      </c>
      <c r="T245" s="1" t="s">
        <v>36</v>
      </c>
      <c r="U245" s="3">
        <v>462</v>
      </c>
      <c r="V245" s="1" t="s">
        <v>62</v>
      </c>
      <c r="W245" s="5">
        <f>Table1[[#This Row],[Quantity]]*Table1[[#This Row],[Price]]*(1-Table1[[#This Row],[Discount %]]/100)</f>
        <v>40004.230472854644</v>
      </c>
      <c r="X245">
        <f>Table1[[#This Row],[DeliveryDate]]-Table1[[#This Row],[OrderDate]]</f>
        <v>2</v>
      </c>
      <c r="Y245" t="str">
        <f>TEXT(Table1[[#This Row],[OrderDate]],"MMMM")</f>
        <v>May</v>
      </c>
      <c r="Z245" s="5">
        <f>YEAR(Table1[[#This Row],[OrderDate]])</f>
        <v>2024</v>
      </c>
    </row>
    <row r="246" spans="1:26" x14ac:dyDescent="0.3">
      <c r="A246" s="1" t="s">
        <v>1099</v>
      </c>
      <c r="B246" t="s">
        <v>361</v>
      </c>
      <c r="C246" s="3">
        <v>41</v>
      </c>
      <c r="D246" s="1" t="s">
        <v>51</v>
      </c>
      <c r="E246" s="1" t="s">
        <v>25</v>
      </c>
      <c r="F246" s="1" t="s">
        <v>53</v>
      </c>
      <c r="G246" s="4">
        <v>45336</v>
      </c>
      <c r="H246" s="4">
        <v>45337</v>
      </c>
      <c r="I246" s="1" t="s">
        <v>77</v>
      </c>
      <c r="J246" s="1" t="s">
        <v>44</v>
      </c>
      <c r="K246" s="3">
        <v>5</v>
      </c>
      <c r="L246" s="2">
        <v>17988</v>
      </c>
      <c r="M246" s="3">
        <v>15</v>
      </c>
      <c r="N246" s="1" t="s">
        <v>166</v>
      </c>
      <c r="O246" s="1" t="s">
        <v>57</v>
      </c>
      <c r="P246" s="1" t="s">
        <v>33</v>
      </c>
      <c r="Q246" s="1" t="s">
        <v>364</v>
      </c>
      <c r="R246" s="1" t="s">
        <v>1101</v>
      </c>
      <c r="S246" s="3">
        <v>3</v>
      </c>
      <c r="T246" s="1" t="s">
        <v>96</v>
      </c>
      <c r="U246" s="3">
        <v>98</v>
      </c>
      <c r="V246" s="1" t="s">
        <v>62</v>
      </c>
      <c r="W246" s="5">
        <f>Table1[[#This Row],[Quantity]]*Table1[[#This Row],[Price]]*(1-Table1[[#This Row],[Discount %]]/100)</f>
        <v>76449</v>
      </c>
      <c r="X246">
        <f>Table1[[#This Row],[DeliveryDate]]-Table1[[#This Row],[OrderDate]]</f>
        <v>1</v>
      </c>
      <c r="Y246" t="str">
        <f>TEXT(Table1[[#This Row],[OrderDate]],"MMMM")</f>
        <v>February</v>
      </c>
      <c r="Z246" s="5">
        <f>YEAR(Table1[[#This Row],[OrderDate]])</f>
        <v>2024</v>
      </c>
    </row>
    <row r="247" spans="1:26" x14ac:dyDescent="0.3">
      <c r="A247" s="1" t="s">
        <v>1102</v>
      </c>
      <c r="B247" t="s">
        <v>689</v>
      </c>
      <c r="C247" s="3">
        <v>27</v>
      </c>
      <c r="D247" s="1" t="s">
        <v>24</v>
      </c>
      <c r="E247" s="1" t="s">
        <v>26</v>
      </c>
      <c r="F247" s="1" t="s">
        <v>82</v>
      </c>
      <c r="G247" s="4">
        <v>45150</v>
      </c>
      <c r="H247" s="4">
        <v>45153</v>
      </c>
      <c r="I247" s="1" t="s">
        <v>93</v>
      </c>
      <c r="J247" s="1" t="s">
        <v>44</v>
      </c>
      <c r="K247" s="3">
        <v>3</v>
      </c>
      <c r="L247" s="2">
        <v>42646</v>
      </c>
      <c r="M247" s="3">
        <v>5</v>
      </c>
      <c r="N247" s="1" t="s">
        <v>45</v>
      </c>
      <c r="O247" s="1" t="s">
        <v>133</v>
      </c>
      <c r="P247" s="1" t="s">
        <v>174</v>
      </c>
      <c r="Q247" s="1" t="s">
        <v>1105</v>
      </c>
      <c r="R247" s="1" t="s">
        <v>1106</v>
      </c>
      <c r="S247" s="3">
        <v>2</v>
      </c>
      <c r="T247" s="1" t="s">
        <v>61</v>
      </c>
      <c r="U247" s="3">
        <v>432</v>
      </c>
      <c r="V247" s="1" t="s">
        <v>37</v>
      </c>
      <c r="W247" s="5">
        <f>Table1[[#This Row],[Quantity]]*Table1[[#This Row],[Price]]*(1-Table1[[#This Row],[Discount %]]/100)</f>
        <v>121541.09999999999</v>
      </c>
      <c r="X247">
        <f>Table1[[#This Row],[DeliveryDate]]-Table1[[#This Row],[OrderDate]]</f>
        <v>3</v>
      </c>
      <c r="Y247" t="str">
        <f>TEXT(Table1[[#This Row],[OrderDate]],"MMMM")</f>
        <v>August</v>
      </c>
      <c r="Z247" s="5">
        <f>YEAR(Table1[[#This Row],[OrderDate]])</f>
        <v>2023</v>
      </c>
    </row>
    <row r="248" spans="1:26" x14ac:dyDescent="0.3">
      <c r="A248" s="1" t="s">
        <v>1107</v>
      </c>
      <c r="B248" t="s">
        <v>617</v>
      </c>
      <c r="C248" s="3">
        <v>23</v>
      </c>
      <c r="D248" s="1" t="s">
        <v>51</v>
      </c>
      <c r="E248" s="1" t="s">
        <v>52</v>
      </c>
      <c r="F248" s="1" t="s">
        <v>26</v>
      </c>
      <c r="G248" s="4">
        <v>45155</v>
      </c>
      <c r="H248" s="4">
        <v>45157</v>
      </c>
      <c r="I248" s="1" t="s">
        <v>85</v>
      </c>
      <c r="J248" s="1" t="s">
        <v>44</v>
      </c>
      <c r="K248" s="3">
        <v>5</v>
      </c>
      <c r="L248" s="2">
        <v>22982</v>
      </c>
      <c r="M248" s="3">
        <v>5</v>
      </c>
      <c r="N248" s="1" t="s">
        <v>56</v>
      </c>
      <c r="O248" s="1" t="s">
        <v>133</v>
      </c>
      <c r="P248" s="1" t="s">
        <v>69</v>
      </c>
      <c r="Q248" s="1" t="s">
        <v>620</v>
      </c>
      <c r="R248" s="1" t="s">
        <v>1108</v>
      </c>
      <c r="S248" s="3">
        <v>2</v>
      </c>
      <c r="T248" s="1" t="s">
        <v>61</v>
      </c>
      <c r="U248" s="3">
        <v>260</v>
      </c>
      <c r="V248" s="1" t="s">
        <v>79</v>
      </c>
      <c r="W248" s="5">
        <f>Table1[[#This Row],[Quantity]]*Table1[[#This Row],[Price]]*(1-Table1[[#This Row],[Discount %]]/100)</f>
        <v>109164.5</v>
      </c>
      <c r="X248">
        <f>Table1[[#This Row],[DeliveryDate]]-Table1[[#This Row],[OrderDate]]</f>
        <v>2</v>
      </c>
      <c r="Y248" t="str">
        <f>TEXT(Table1[[#This Row],[OrderDate]],"MMMM")</f>
        <v>August</v>
      </c>
      <c r="Z248" s="5">
        <f>YEAR(Table1[[#This Row],[OrderDate]])</f>
        <v>2023</v>
      </c>
    </row>
    <row r="249" spans="1:26" x14ac:dyDescent="0.3">
      <c r="A249" s="1" t="s">
        <v>1109</v>
      </c>
      <c r="B249" t="s">
        <v>527</v>
      </c>
      <c r="C249" s="3">
        <v>47</v>
      </c>
      <c r="D249" s="1" t="s">
        <v>24</v>
      </c>
      <c r="E249" s="1" t="s">
        <v>52</v>
      </c>
      <c r="F249" s="1" t="s">
        <v>91</v>
      </c>
      <c r="G249" s="4">
        <v>45123</v>
      </c>
      <c r="H249" s="4">
        <v>45125</v>
      </c>
      <c r="I249" s="1" t="s">
        <v>108</v>
      </c>
      <c r="J249" s="1" t="s">
        <v>44</v>
      </c>
      <c r="K249" s="3">
        <v>2.9447852760736195</v>
      </c>
      <c r="L249" s="2">
        <v>22987</v>
      </c>
      <c r="M249" s="3">
        <v>10</v>
      </c>
      <c r="N249" s="1" t="s">
        <v>45</v>
      </c>
      <c r="O249" s="1" t="s">
        <v>32</v>
      </c>
      <c r="P249" s="1" t="s">
        <v>58</v>
      </c>
      <c r="Q249" s="1" t="s">
        <v>530</v>
      </c>
      <c r="R249" s="1" t="s">
        <v>1111</v>
      </c>
      <c r="S249" s="3">
        <v>5</v>
      </c>
      <c r="T249" s="1" t="s">
        <v>61</v>
      </c>
      <c r="U249" s="3">
        <v>111</v>
      </c>
      <c r="V249" s="1" t="s">
        <v>62</v>
      </c>
      <c r="W249" s="5">
        <f>Table1[[#This Row],[Quantity]]*Table1[[#This Row],[Price]]*(1-Table1[[#This Row],[Discount %]]/100)</f>
        <v>60922.601226993858</v>
      </c>
      <c r="X249">
        <f>Table1[[#This Row],[DeliveryDate]]-Table1[[#This Row],[OrderDate]]</f>
        <v>2</v>
      </c>
      <c r="Y249" t="str">
        <f>TEXT(Table1[[#This Row],[OrderDate]],"MMMM")</f>
        <v>July</v>
      </c>
      <c r="Z249" s="5">
        <f>YEAR(Table1[[#This Row],[OrderDate]])</f>
        <v>2023</v>
      </c>
    </row>
    <row r="250" spans="1:26" x14ac:dyDescent="0.3">
      <c r="A250" s="1" t="s">
        <v>1112</v>
      </c>
      <c r="B250" t="s">
        <v>1008</v>
      </c>
      <c r="C250" s="3">
        <v>27</v>
      </c>
      <c r="D250" s="1" t="s">
        <v>24</v>
      </c>
      <c r="E250" s="1" t="s">
        <v>99</v>
      </c>
      <c r="F250" s="1" t="s">
        <v>53</v>
      </c>
      <c r="G250" s="4">
        <v>45470</v>
      </c>
      <c r="H250" s="4">
        <v>45478</v>
      </c>
      <c r="I250" s="1" t="s">
        <v>85</v>
      </c>
      <c r="J250" s="1" t="s">
        <v>44</v>
      </c>
      <c r="K250" s="3">
        <v>4</v>
      </c>
      <c r="L250" s="2">
        <v>77987</v>
      </c>
      <c r="M250" s="3">
        <v>10</v>
      </c>
      <c r="N250" s="1" t="s">
        <v>166</v>
      </c>
      <c r="O250" s="1" t="s">
        <v>32</v>
      </c>
      <c r="P250" s="1" t="s">
        <v>174</v>
      </c>
      <c r="Q250" s="1" t="s">
        <v>3415</v>
      </c>
      <c r="R250" s="1" t="s">
        <v>3415</v>
      </c>
      <c r="S250" s="3">
        <v>5</v>
      </c>
      <c r="T250" s="1" t="s">
        <v>96</v>
      </c>
      <c r="U250" s="3">
        <v>204</v>
      </c>
      <c r="V250" s="1" t="s">
        <v>37</v>
      </c>
      <c r="W250" s="5">
        <f>Table1[[#This Row],[Quantity]]*Table1[[#This Row],[Price]]*(1-Table1[[#This Row],[Discount %]]/100)</f>
        <v>280753.2</v>
      </c>
      <c r="X250">
        <f>Table1[[#This Row],[DeliveryDate]]-Table1[[#This Row],[OrderDate]]</f>
        <v>8</v>
      </c>
      <c r="Y250" t="str">
        <f>TEXT(Table1[[#This Row],[OrderDate]],"MMMM")</f>
        <v>June</v>
      </c>
      <c r="Z250" s="5">
        <f>YEAR(Table1[[#This Row],[OrderDate]])</f>
        <v>2024</v>
      </c>
    </row>
    <row r="251" spans="1:26" x14ac:dyDescent="0.3">
      <c r="A251" s="1" t="s">
        <v>1115</v>
      </c>
      <c r="B251" t="s">
        <v>272</v>
      </c>
      <c r="C251" s="3">
        <v>25</v>
      </c>
      <c r="D251" s="1" t="s">
        <v>51</v>
      </c>
      <c r="E251" s="1" t="s">
        <v>131</v>
      </c>
      <c r="F251" s="1" t="s">
        <v>53</v>
      </c>
      <c r="G251" s="4">
        <v>45080</v>
      </c>
      <c r="H251" s="4">
        <v>45089</v>
      </c>
      <c r="I251" s="1" t="s">
        <v>77</v>
      </c>
      <c r="J251" s="1" t="s">
        <v>30</v>
      </c>
      <c r="K251" s="3">
        <v>2</v>
      </c>
      <c r="L251" s="2">
        <v>63642</v>
      </c>
      <c r="M251" s="3">
        <v>5</v>
      </c>
      <c r="N251" s="1" t="s">
        <v>31</v>
      </c>
      <c r="O251" s="1" t="s">
        <v>32</v>
      </c>
      <c r="P251" s="1" t="s">
        <v>174</v>
      </c>
      <c r="Q251" s="1" t="s">
        <v>275</v>
      </c>
      <c r="R251" s="1" t="s">
        <v>1116</v>
      </c>
      <c r="S251" s="3">
        <v>5</v>
      </c>
      <c r="T251" s="1" t="s">
        <v>72</v>
      </c>
      <c r="U251" s="3">
        <v>184</v>
      </c>
      <c r="V251" s="1" t="s">
        <v>62</v>
      </c>
      <c r="W251" s="5">
        <f>Table1[[#This Row],[Quantity]]*Table1[[#This Row],[Price]]*(1-Table1[[#This Row],[Discount %]]/100)</f>
        <v>120919.79999999999</v>
      </c>
      <c r="X251">
        <f>Table1[[#This Row],[DeliveryDate]]-Table1[[#This Row],[OrderDate]]</f>
        <v>9</v>
      </c>
      <c r="Y251" t="str">
        <f>TEXT(Table1[[#This Row],[OrderDate]],"MMMM")</f>
        <v>June</v>
      </c>
      <c r="Z251" s="5">
        <f>YEAR(Table1[[#This Row],[OrderDate]])</f>
        <v>2023</v>
      </c>
    </row>
    <row r="252" spans="1:26" x14ac:dyDescent="0.3">
      <c r="A252" s="1" t="s">
        <v>1117</v>
      </c>
      <c r="B252" t="s">
        <v>1118</v>
      </c>
      <c r="C252" s="3">
        <v>60</v>
      </c>
      <c r="D252" s="1" t="s">
        <v>51</v>
      </c>
      <c r="E252" s="1" t="s">
        <v>52</v>
      </c>
      <c r="F252" s="1" t="s">
        <v>53</v>
      </c>
      <c r="G252" s="4">
        <v>45011</v>
      </c>
      <c r="H252" s="4">
        <v>45021</v>
      </c>
      <c r="I252" s="1" t="s">
        <v>43</v>
      </c>
      <c r="J252" s="1" t="s">
        <v>30</v>
      </c>
      <c r="K252" s="3">
        <v>1</v>
      </c>
      <c r="L252" s="2">
        <v>5765</v>
      </c>
      <c r="M252" s="3">
        <v>5</v>
      </c>
      <c r="N252" s="1" t="s">
        <v>56</v>
      </c>
      <c r="O252" s="1" t="s">
        <v>46</v>
      </c>
      <c r="P252" s="1" t="s">
        <v>33</v>
      </c>
      <c r="Q252" s="1" t="s">
        <v>1120</v>
      </c>
      <c r="R252" s="1" t="s">
        <v>1121</v>
      </c>
      <c r="S252" s="3">
        <v>3</v>
      </c>
      <c r="T252" s="1" t="s">
        <v>61</v>
      </c>
      <c r="U252" s="3">
        <v>62</v>
      </c>
      <c r="V252" s="1" t="s">
        <v>37</v>
      </c>
      <c r="W252" s="5">
        <f>Table1[[#This Row],[Quantity]]*Table1[[#This Row],[Price]]*(1-Table1[[#This Row],[Discount %]]/100)</f>
        <v>5476.75</v>
      </c>
      <c r="X252">
        <f>Table1[[#This Row],[DeliveryDate]]-Table1[[#This Row],[OrderDate]]</f>
        <v>10</v>
      </c>
      <c r="Y252" t="str">
        <f>TEXT(Table1[[#This Row],[OrderDate]],"MMMM")</f>
        <v>March</v>
      </c>
      <c r="Z252" s="5">
        <f>YEAR(Table1[[#This Row],[OrderDate]])</f>
        <v>2023</v>
      </c>
    </row>
    <row r="253" spans="1:26" x14ac:dyDescent="0.3">
      <c r="A253" s="1" t="s">
        <v>1122</v>
      </c>
      <c r="B253" t="s">
        <v>338</v>
      </c>
      <c r="C253" s="3">
        <v>19</v>
      </c>
      <c r="D253" s="1" t="s">
        <v>24</v>
      </c>
      <c r="E253" s="1" t="s">
        <v>99</v>
      </c>
      <c r="F253" s="1" t="s">
        <v>26</v>
      </c>
      <c r="G253" s="4">
        <v>45197</v>
      </c>
      <c r="H253" s="4">
        <v>45201</v>
      </c>
      <c r="I253" s="1" t="s">
        <v>93</v>
      </c>
      <c r="J253" s="1" t="s">
        <v>30</v>
      </c>
      <c r="K253" s="3">
        <v>2</v>
      </c>
      <c r="L253" s="2">
        <v>70551</v>
      </c>
      <c r="M253" s="3">
        <v>0</v>
      </c>
      <c r="N253" s="1" t="s">
        <v>31</v>
      </c>
      <c r="O253" s="1" t="s">
        <v>86</v>
      </c>
      <c r="P253" s="1" t="s">
        <v>58</v>
      </c>
      <c r="Q253" s="1" t="s">
        <v>3415</v>
      </c>
      <c r="R253" s="1" t="s">
        <v>1124</v>
      </c>
      <c r="S253" s="3">
        <v>1</v>
      </c>
      <c r="T253" s="1" t="s">
        <v>96</v>
      </c>
      <c r="U253" s="3">
        <v>68</v>
      </c>
      <c r="V253" s="1" t="s">
        <v>37</v>
      </c>
      <c r="W253" s="5">
        <f>Table1[[#This Row],[Quantity]]*Table1[[#This Row],[Price]]*(1-Table1[[#This Row],[Discount %]]/100)</f>
        <v>141102</v>
      </c>
      <c r="X253">
        <f>Table1[[#This Row],[DeliveryDate]]-Table1[[#This Row],[OrderDate]]</f>
        <v>4</v>
      </c>
      <c r="Y253" t="str">
        <f>TEXT(Table1[[#This Row],[OrderDate]],"MMMM")</f>
        <v>September</v>
      </c>
      <c r="Z253" s="5">
        <f>YEAR(Table1[[#This Row],[OrderDate]])</f>
        <v>2023</v>
      </c>
    </row>
    <row r="254" spans="1:26" x14ac:dyDescent="0.3">
      <c r="A254" s="1" t="s">
        <v>1125</v>
      </c>
      <c r="B254" t="s">
        <v>333</v>
      </c>
      <c r="C254" s="3">
        <v>57</v>
      </c>
      <c r="D254" s="1" t="s">
        <v>24</v>
      </c>
      <c r="E254" s="1" t="s">
        <v>131</v>
      </c>
      <c r="F254" s="1" t="s">
        <v>82</v>
      </c>
      <c r="G254" s="4">
        <v>45493</v>
      </c>
      <c r="H254" s="4">
        <v>45500</v>
      </c>
      <c r="I254" s="1" t="s">
        <v>29</v>
      </c>
      <c r="J254" s="1" t="s">
        <v>44</v>
      </c>
      <c r="K254" s="3">
        <v>3</v>
      </c>
      <c r="L254" s="2">
        <v>53547</v>
      </c>
      <c r="M254" s="3">
        <v>0</v>
      </c>
      <c r="N254" s="1" t="s">
        <v>45</v>
      </c>
      <c r="O254" s="1" t="s">
        <v>46</v>
      </c>
      <c r="P254" s="1" t="s">
        <v>58</v>
      </c>
      <c r="Q254" s="1" t="s">
        <v>336</v>
      </c>
      <c r="R254" s="1" t="s">
        <v>1128</v>
      </c>
      <c r="S254" s="3">
        <v>2</v>
      </c>
      <c r="T254" s="1" t="s">
        <v>36</v>
      </c>
      <c r="U254" s="3">
        <v>330</v>
      </c>
      <c r="V254" s="1" t="s">
        <v>79</v>
      </c>
      <c r="W254" s="5">
        <f>Table1[[#This Row],[Quantity]]*Table1[[#This Row],[Price]]*(1-Table1[[#This Row],[Discount %]]/100)</f>
        <v>160641</v>
      </c>
      <c r="X254">
        <f>Table1[[#This Row],[DeliveryDate]]-Table1[[#This Row],[OrderDate]]</f>
        <v>7</v>
      </c>
      <c r="Y254" t="str">
        <f>TEXT(Table1[[#This Row],[OrderDate]],"MMMM")</f>
        <v>July</v>
      </c>
      <c r="Z254" s="5">
        <f>YEAR(Table1[[#This Row],[OrderDate]])</f>
        <v>2024</v>
      </c>
    </row>
    <row r="255" spans="1:26" x14ac:dyDescent="0.3">
      <c r="A255" s="1" t="s">
        <v>1129</v>
      </c>
      <c r="B255" t="s">
        <v>222</v>
      </c>
      <c r="C255" s="3">
        <v>47</v>
      </c>
      <c r="D255" s="1" t="s">
        <v>51</v>
      </c>
      <c r="E255" s="1" t="s">
        <v>40</v>
      </c>
      <c r="F255" s="1" t="s">
        <v>82</v>
      </c>
      <c r="G255" s="4">
        <v>45119</v>
      </c>
      <c r="H255" s="4">
        <v>45124</v>
      </c>
      <c r="I255" s="1" t="s">
        <v>108</v>
      </c>
      <c r="J255" s="1" t="s">
        <v>30</v>
      </c>
      <c r="K255" s="3">
        <v>5</v>
      </c>
      <c r="L255" s="2">
        <v>8455</v>
      </c>
      <c r="M255" s="3">
        <v>10</v>
      </c>
      <c r="N255" s="1" t="s">
        <v>56</v>
      </c>
      <c r="O255" s="1" t="s">
        <v>173</v>
      </c>
      <c r="P255" s="1" t="s">
        <v>174</v>
      </c>
      <c r="Q255" s="1" t="s">
        <v>225</v>
      </c>
      <c r="R255" s="1" t="s">
        <v>1130</v>
      </c>
      <c r="S255" s="3">
        <v>2</v>
      </c>
      <c r="T255" s="1" t="s">
        <v>96</v>
      </c>
      <c r="U255" s="3">
        <v>83</v>
      </c>
      <c r="V255" s="1" t="s">
        <v>79</v>
      </c>
      <c r="W255" s="5">
        <f>Table1[[#This Row],[Quantity]]*Table1[[#This Row],[Price]]*(1-Table1[[#This Row],[Discount %]]/100)</f>
        <v>38047.5</v>
      </c>
      <c r="X255">
        <f>Table1[[#This Row],[DeliveryDate]]-Table1[[#This Row],[OrderDate]]</f>
        <v>5</v>
      </c>
      <c r="Y255" t="str">
        <f>TEXT(Table1[[#This Row],[OrderDate]],"MMMM")</f>
        <v>July</v>
      </c>
      <c r="Z255" s="5">
        <f>YEAR(Table1[[#This Row],[OrderDate]])</f>
        <v>2023</v>
      </c>
    </row>
    <row r="256" spans="1:26" x14ac:dyDescent="0.3">
      <c r="A256" s="1" t="s">
        <v>1131</v>
      </c>
      <c r="B256" t="s">
        <v>684</v>
      </c>
      <c r="C256" s="3">
        <v>54</v>
      </c>
      <c r="D256" s="1" t="s">
        <v>24</v>
      </c>
      <c r="E256" s="1" t="s">
        <v>131</v>
      </c>
      <c r="F256" s="1" t="s">
        <v>65</v>
      </c>
      <c r="G256" s="4">
        <v>45398</v>
      </c>
      <c r="H256" s="4">
        <v>45402</v>
      </c>
      <c r="I256" s="1" t="s">
        <v>77</v>
      </c>
      <c r="J256" s="1" t="s">
        <v>44</v>
      </c>
      <c r="K256" s="3">
        <v>4</v>
      </c>
      <c r="L256" s="2">
        <v>61172</v>
      </c>
      <c r="M256" s="3">
        <v>5</v>
      </c>
      <c r="N256" s="1" t="s">
        <v>45</v>
      </c>
      <c r="O256" s="1" t="s">
        <v>133</v>
      </c>
      <c r="P256" s="1" t="s">
        <v>69</v>
      </c>
      <c r="Q256" s="1" t="s">
        <v>785</v>
      </c>
      <c r="R256" s="1" t="s">
        <v>1132</v>
      </c>
      <c r="S256" s="3">
        <v>1</v>
      </c>
      <c r="T256" s="1" t="s">
        <v>72</v>
      </c>
      <c r="U256" s="3">
        <v>235</v>
      </c>
      <c r="V256" s="1" t="s">
        <v>62</v>
      </c>
      <c r="W256" s="5">
        <f>Table1[[#This Row],[Quantity]]*Table1[[#This Row],[Price]]*(1-Table1[[#This Row],[Discount %]]/100)</f>
        <v>232453.59999999998</v>
      </c>
      <c r="X256">
        <f>Table1[[#This Row],[DeliveryDate]]-Table1[[#This Row],[OrderDate]]</f>
        <v>4</v>
      </c>
      <c r="Y256" t="str">
        <f>TEXT(Table1[[#This Row],[OrderDate]],"MMMM")</f>
        <v>April</v>
      </c>
      <c r="Z256" s="5">
        <f>YEAR(Table1[[#This Row],[OrderDate]])</f>
        <v>2024</v>
      </c>
    </row>
    <row r="257" spans="1:26" x14ac:dyDescent="0.3">
      <c r="A257" s="1" t="s">
        <v>1133</v>
      </c>
      <c r="B257" t="s">
        <v>707</v>
      </c>
      <c r="C257" s="3">
        <v>55</v>
      </c>
      <c r="D257" s="1" t="s">
        <v>24</v>
      </c>
      <c r="E257" s="1" t="s">
        <v>131</v>
      </c>
      <c r="F257" s="1" t="s">
        <v>91</v>
      </c>
      <c r="G257" s="4">
        <v>45477</v>
      </c>
      <c r="H257" s="4">
        <v>45482</v>
      </c>
      <c r="I257" s="1" t="s">
        <v>29</v>
      </c>
      <c r="J257" s="1" t="s">
        <v>30</v>
      </c>
      <c r="K257" s="3">
        <v>5</v>
      </c>
      <c r="L257" s="2">
        <v>65035</v>
      </c>
      <c r="M257" s="3">
        <v>10</v>
      </c>
      <c r="N257" s="1" t="s">
        <v>56</v>
      </c>
      <c r="O257" s="1" t="s">
        <v>281</v>
      </c>
      <c r="P257" s="1" t="s">
        <v>33</v>
      </c>
      <c r="Q257" s="1" t="s">
        <v>709</v>
      </c>
      <c r="R257" s="1" t="s">
        <v>1136</v>
      </c>
      <c r="S257" s="3">
        <v>5</v>
      </c>
      <c r="T257" s="1" t="s">
        <v>61</v>
      </c>
      <c r="U257" s="3">
        <v>368</v>
      </c>
      <c r="V257" s="1" t="s">
        <v>37</v>
      </c>
      <c r="W257" s="5">
        <f>Table1[[#This Row],[Quantity]]*Table1[[#This Row],[Price]]*(1-Table1[[#This Row],[Discount %]]/100)</f>
        <v>292657.5</v>
      </c>
      <c r="X257">
        <f>Table1[[#This Row],[DeliveryDate]]-Table1[[#This Row],[OrderDate]]</f>
        <v>5</v>
      </c>
      <c r="Y257" t="str">
        <f>TEXT(Table1[[#This Row],[OrderDate]],"MMMM")</f>
        <v>July</v>
      </c>
      <c r="Z257" s="5">
        <f>YEAR(Table1[[#This Row],[OrderDate]])</f>
        <v>2024</v>
      </c>
    </row>
    <row r="258" spans="1:26" x14ac:dyDescent="0.3">
      <c r="A258" s="1" t="s">
        <v>1137</v>
      </c>
      <c r="B258" t="s">
        <v>589</v>
      </c>
      <c r="C258" s="3">
        <v>54</v>
      </c>
      <c r="D258" s="1" t="s">
        <v>51</v>
      </c>
      <c r="E258" s="1" t="s">
        <v>26</v>
      </c>
      <c r="F258" s="1" t="s">
        <v>91</v>
      </c>
      <c r="G258" s="4">
        <v>45041</v>
      </c>
      <c r="H258" s="4">
        <v>45048</v>
      </c>
      <c r="I258" s="1" t="s">
        <v>29</v>
      </c>
      <c r="J258" s="1" t="s">
        <v>44</v>
      </c>
      <c r="K258" s="3">
        <v>3</v>
      </c>
      <c r="L258" s="2">
        <v>71993</v>
      </c>
      <c r="M258" s="3">
        <v>10</v>
      </c>
      <c r="N258" s="1" t="s">
        <v>56</v>
      </c>
      <c r="O258" s="1" t="s">
        <v>173</v>
      </c>
      <c r="P258" s="1" t="s">
        <v>174</v>
      </c>
      <c r="Q258" s="1" t="s">
        <v>591</v>
      </c>
      <c r="R258" s="1" t="s">
        <v>1140</v>
      </c>
      <c r="S258" s="3">
        <v>1</v>
      </c>
      <c r="T258" s="1" t="s">
        <v>72</v>
      </c>
      <c r="U258" s="3">
        <v>453</v>
      </c>
      <c r="V258" s="1" t="s">
        <v>37</v>
      </c>
      <c r="W258" s="5">
        <f>Table1[[#This Row],[Quantity]]*Table1[[#This Row],[Price]]*(1-Table1[[#This Row],[Discount %]]/100)</f>
        <v>194381.1</v>
      </c>
      <c r="X258">
        <f>Table1[[#This Row],[DeliveryDate]]-Table1[[#This Row],[OrderDate]]</f>
        <v>7</v>
      </c>
      <c r="Y258" t="str">
        <f>TEXT(Table1[[#This Row],[OrderDate]],"MMMM")</f>
        <v>April</v>
      </c>
      <c r="Z258" s="5">
        <f>YEAR(Table1[[#This Row],[OrderDate]])</f>
        <v>2023</v>
      </c>
    </row>
    <row r="259" spans="1:26" x14ac:dyDescent="0.3">
      <c r="A259" s="1" t="s">
        <v>1141</v>
      </c>
      <c r="B259" t="s">
        <v>182</v>
      </c>
      <c r="C259" s="3">
        <v>52</v>
      </c>
      <c r="D259" s="1" t="s">
        <v>24</v>
      </c>
      <c r="E259" s="1" t="s">
        <v>142</v>
      </c>
      <c r="F259" s="1" t="s">
        <v>65</v>
      </c>
      <c r="G259" s="4">
        <v>45603</v>
      </c>
      <c r="H259" s="4">
        <v>45607</v>
      </c>
      <c r="I259" s="1" t="s">
        <v>85</v>
      </c>
      <c r="J259" s="1" t="s">
        <v>30</v>
      </c>
      <c r="K259" s="3">
        <v>2</v>
      </c>
      <c r="L259" s="2">
        <v>66877</v>
      </c>
      <c r="M259" s="3">
        <v>10</v>
      </c>
      <c r="N259" s="1" t="s">
        <v>31</v>
      </c>
      <c r="O259" s="1" t="s">
        <v>102</v>
      </c>
      <c r="P259" s="1" t="s">
        <v>33</v>
      </c>
      <c r="Q259" s="1" t="s">
        <v>186</v>
      </c>
      <c r="R259" s="1" t="s">
        <v>1144</v>
      </c>
      <c r="S259" s="3">
        <v>3</v>
      </c>
      <c r="T259" s="1" t="s">
        <v>61</v>
      </c>
      <c r="U259" s="3">
        <v>269</v>
      </c>
      <c r="V259" s="1" t="s">
        <v>79</v>
      </c>
      <c r="W259" s="5">
        <f>Table1[[#This Row],[Quantity]]*Table1[[#This Row],[Price]]*(1-Table1[[#This Row],[Discount %]]/100)</f>
        <v>120378.6</v>
      </c>
      <c r="X259">
        <f>Table1[[#This Row],[DeliveryDate]]-Table1[[#This Row],[OrderDate]]</f>
        <v>4</v>
      </c>
      <c r="Y259" t="str">
        <f>TEXT(Table1[[#This Row],[OrderDate]],"MMMM")</f>
        <v>November</v>
      </c>
      <c r="Z259" s="5">
        <f>YEAR(Table1[[#This Row],[OrderDate]])</f>
        <v>2024</v>
      </c>
    </row>
    <row r="260" spans="1:26" x14ac:dyDescent="0.3">
      <c r="A260" s="1" t="s">
        <v>1145</v>
      </c>
      <c r="B260" t="s">
        <v>840</v>
      </c>
      <c r="C260" s="3">
        <v>44</v>
      </c>
      <c r="D260" s="1" t="s">
        <v>24</v>
      </c>
      <c r="E260" s="1" t="s">
        <v>26</v>
      </c>
      <c r="F260" s="1" t="s">
        <v>26</v>
      </c>
      <c r="G260" s="4">
        <v>45174</v>
      </c>
      <c r="H260" s="4">
        <v>45177</v>
      </c>
      <c r="I260" s="1" t="s">
        <v>43</v>
      </c>
      <c r="J260" s="1" t="s">
        <v>44</v>
      </c>
      <c r="K260" s="3">
        <v>4</v>
      </c>
      <c r="L260" s="2">
        <v>25034</v>
      </c>
      <c r="M260" s="3">
        <v>5</v>
      </c>
      <c r="N260" s="1" t="s">
        <v>31</v>
      </c>
      <c r="O260" s="1" t="s">
        <v>173</v>
      </c>
      <c r="P260" s="1" t="s">
        <v>69</v>
      </c>
      <c r="Q260" s="1" t="s">
        <v>1147</v>
      </c>
      <c r="R260" s="1" t="s">
        <v>1148</v>
      </c>
      <c r="S260" s="3">
        <v>2</v>
      </c>
      <c r="T260" s="1" t="s">
        <v>36</v>
      </c>
      <c r="U260" s="3">
        <v>322</v>
      </c>
      <c r="V260" s="1" t="s">
        <v>62</v>
      </c>
      <c r="W260" s="5">
        <f>Table1[[#This Row],[Quantity]]*Table1[[#This Row],[Price]]*(1-Table1[[#This Row],[Discount %]]/100)</f>
        <v>95129.2</v>
      </c>
      <c r="X260">
        <f>Table1[[#This Row],[DeliveryDate]]-Table1[[#This Row],[OrderDate]]</f>
        <v>3</v>
      </c>
      <c r="Y260" t="str">
        <f>TEXT(Table1[[#This Row],[OrderDate]],"MMMM")</f>
        <v>September</v>
      </c>
      <c r="Z260" s="5">
        <f>YEAR(Table1[[#This Row],[OrderDate]])</f>
        <v>2023</v>
      </c>
    </row>
    <row r="261" spans="1:26" x14ac:dyDescent="0.3">
      <c r="A261" s="1" t="s">
        <v>1149</v>
      </c>
      <c r="B261" t="s">
        <v>193</v>
      </c>
      <c r="C261" s="3">
        <v>43</v>
      </c>
      <c r="D261" s="1" t="s">
        <v>51</v>
      </c>
      <c r="E261" s="1" t="s">
        <v>52</v>
      </c>
      <c r="F261" s="1" t="s">
        <v>26</v>
      </c>
      <c r="G261" s="4">
        <v>45531</v>
      </c>
      <c r="H261" s="4">
        <v>45533</v>
      </c>
      <c r="I261" s="1" t="s">
        <v>93</v>
      </c>
      <c r="J261" s="1" t="s">
        <v>30</v>
      </c>
      <c r="K261" s="3">
        <v>1</v>
      </c>
      <c r="L261" s="2">
        <v>59706</v>
      </c>
      <c r="M261" s="3">
        <v>15</v>
      </c>
      <c r="N261" s="1" t="s">
        <v>166</v>
      </c>
      <c r="O261" s="1" t="s">
        <v>281</v>
      </c>
      <c r="P261" s="1" t="s">
        <v>58</v>
      </c>
      <c r="Q261" s="1" t="s">
        <v>195</v>
      </c>
      <c r="R261" s="1" t="s">
        <v>1152</v>
      </c>
      <c r="S261" s="3">
        <v>4</v>
      </c>
      <c r="T261" s="1" t="s">
        <v>61</v>
      </c>
      <c r="U261" s="3">
        <v>156</v>
      </c>
      <c r="V261" s="1" t="s">
        <v>62</v>
      </c>
      <c r="W261" s="5">
        <f>Table1[[#This Row],[Quantity]]*Table1[[#This Row],[Price]]*(1-Table1[[#This Row],[Discount %]]/100)</f>
        <v>50750.1</v>
      </c>
      <c r="X261">
        <f>Table1[[#This Row],[DeliveryDate]]-Table1[[#This Row],[OrderDate]]</f>
        <v>2</v>
      </c>
      <c r="Y261" t="str">
        <f>TEXT(Table1[[#This Row],[OrderDate]],"MMMM")</f>
        <v>August</v>
      </c>
      <c r="Z261" s="5">
        <f>YEAR(Table1[[#This Row],[OrderDate]])</f>
        <v>2024</v>
      </c>
    </row>
    <row r="262" spans="1:26" x14ac:dyDescent="0.3">
      <c r="A262" s="1" t="s">
        <v>1153</v>
      </c>
      <c r="B262" t="s">
        <v>606</v>
      </c>
      <c r="C262" s="3">
        <v>18</v>
      </c>
      <c r="D262" s="1" t="s">
        <v>24</v>
      </c>
      <c r="E262" s="1" t="s">
        <v>26</v>
      </c>
      <c r="F262" s="1" t="s">
        <v>91</v>
      </c>
      <c r="G262" s="4">
        <v>45112</v>
      </c>
      <c r="H262" s="4">
        <v>45116</v>
      </c>
      <c r="I262" s="1" t="s">
        <v>77</v>
      </c>
      <c r="J262" s="1" t="s">
        <v>44</v>
      </c>
      <c r="K262" s="3">
        <v>2</v>
      </c>
      <c r="L262" s="2">
        <v>51921</v>
      </c>
      <c r="M262" s="3">
        <v>15</v>
      </c>
      <c r="N262" s="1" t="s">
        <v>31</v>
      </c>
      <c r="O262" s="1" t="s">
        <v>102</v>
      </c>
      <c r="P262" s="1" t="s">
        <v>69</v>
      </c>
      <c r="Q262" s="1" t="s">
        <v>608</v>
      </c>
      <c r="R262" s="1" t="s">
        <v>1154</v>
      </c>
      <c r="S262" s="3">
        <v>5</v>
      </c>
      <c r="T262" s="1" t="s">
        <v>96</v>
      </c>
      <c r="U262" s="3">
        <v>67</v>
      </c>
      <c r="V262" s="1" t="s">
        <v>62</v>
      </c>
      <c r="W262" s="5">
        <f>Table1[[#This Row],[Quantity]]*Table1[[#This Row],[Price]]*(1-Table1[[#This Row],[Discount %]]/100)</f>
        <v>88265.7</v>
      </c>
      <c r="X262">
        <f>Table1[[#This Row],[DeliveryDate]]-Table1[[#This Row],[OrderDate]]</f>
        <v>4</v>
      </c>
      <c r="Y262" t="str">
        <f>TEXT(Table1[[#This Row],[OrderDate]],"MMMM")</f>
        <v>July</v>
      </c>
      <c r="Z262" s="5">
        <f>YEAR(Table1[[#This Row],[OrderDate]])</f>
        <v>2023</v>
      </c>
    </row>
    <row r="263" spans="1:26" x14ac:dyDescent="0.3">
      <c r="A263" s="1" t="s">
        <v>1155</v>
      </c>
      <c r="B263" t="s">
        <v>689</v>
      </c>
      <c r="C263" s="3">
        <v>25</v>
      </c>
      <c r="D263" s="1" t="s">
        <v>24</v>
      </c>
      <c r="E263" s="1" t="s">
        <v>142</v>
      </c>
      <c r="F263" s="1" t="s">
        <v>26</v>
      </c>
      <c r="G263" s="4">
        <v>45132</v>
      </c>
      <c r="H263" s="4">
        <v>45134</v>
      </c>
      <c r="I263" s="1" t="s">
        <v>93</v>
      </c>
      <c r="J263" s="1" t="s">
        <v>44</v>
      </c>
      <c r="K263" s="3">
        <v>1</v>
      </c>
      <c r="L263" s="2">
        <v>37533</v>
      </c>
      <c r="M263" s="3">
        <v>10</v>
      </c>
      <c r="N263" s="1" t="s">
        <v>56</v>
      </c>
      <c r="O263" s="1" t="s">
        <v>86</v>
      </c>
      <c r="P263" s="1" t="s">
        <v>58</v>
      </c>
      <c r="Q263" s="1" t="s">
        <v>1105</v>
      </c>
      <c r="R263" s="1" t="s">
        <v>1157</v>
      </c>
      <c r="S263" s="3">
        <v>1</v>
      </c>
      <c r="T263" s="1" t="s">
        <v>61</v>
      </c>
      <c r="U263" s="3">
        <v>280</v>
      </c>
      <c r="V263" s="1" t="s">
        <v>37</v>
      </c>
      <c r="W263" s="5">
        <f>Table1[[#This Row],[Quantity]]*Table1[[#This Row],[Price]]*(1-Table1[[#This Row],[Discount %]]/100)</f>
        <v>33779.700000000004</v>
      </c>
      <c r="X263">
        <f>Table1[[#This Row],[DeliveryDate]]-Table1[[#This Row],[OrderDate]]</f>
        <v>2</v>
      </c>
      <c r="Y263" t="str">
        <f>TEXT(Table1[[#This Row],[OrderDate]],"MMMM")</f>
        <v>July</v>
      </c>
      <c r="Z263" s="5">
        <f>YEAR(Table1[[#This Row],[OrderDate]])</f>
        <v>2023</v>
      </c>
    </row>
    <row r="264" spans="1:26" x14ac:dyDescent="0.3">
      <c r="A264" s="1" t="s">
        <v>1158</v>
      </c>
      <c r="B264" t="s">
        <v>1118</v>
      </c>
      <c r="C264" s="3">
        <v>37</v>
      </c>
      <c r="D264" s="1" t="s">
        <v>24</v>
      </c>
      <c r="E264" s="1" t="s">
        <v>131</v>
      </c>
      <c r="F264" s="1" t="s">
        <v>91</v>
      </c>
      <c r="G264" s="4">
        <v>45002</v>
      </c>
      <c r="H264" s="4">
        <v>45003</v>
      </c>
      <c r="I264" s="1" t="s">
        <v>85</v>
      </c>
      <c r="J264" s="1" t="s">
        <v>44</v>
      </c>
      <c r="K264" s="3">
        <v>4</v>
      </c>
      <c r="L264" s="2">
        <v>56163</v>
      </c>
      <c r="M264" s="3">
        <v>10</v>
      </c>
      <c r="N264" s="1" t="s">
        <v>31</v>
      </c>
      <c r="O264" s="1" t="s">
        <v>102</v>
      </c>
      <c r="P264" s="1" t="s">
        <v>58</v>
      </c>
      <c r="Q264" s="1" t="s">
        <v>1120</v>
      </c>
      <c r="R264" s="1" t="s">
        <v>3415</v>
      </c>
      <c r="S264" s="3">
        <v>5</v>
      </c>
      <c r="T264" s="1" t="s">
        <v>72</v>
      </c>
      <c r="U264" s="3">
        <v>417</v>
      </c>
      <c r="V264" s="1" t="s">
        <v>37</v>
      </c>
      <c r="W264" s="5">
        <f>Table1[[#This Row],[Quantity]]*Table1[[#This Row],[Price]]*(1-Table1[[#This Row],[Discount %]]/100)</f>
        <v>202186.80000000002</v>
      </c>
      <c r="X264">
        <f>Table1[[#This Row],[DeliveryDate]]-Table1[[#This Row],[OrderDate]]</f>
        <v>1</v>
      </c>
      <c r="Y264" t="str">
        <f>TEXT(Table1[[#This Row],[OrderDate]],"MMMM")</f>
        <v>March</v>
      </c>
      <c r="Z264" s="5">
        <f>YEAR(Table1[[#This Row],[OrderDate]])</f>
        <v>2023</v>
      </c>
    </row>
    <row r="265" spans="1:26" x14ac:dyDescent="0.3">
      <c r="A265" s="1" t="s">
        <v>1160</v>
      </c>
      <c r="B265" t="s">
        <v>946</v>
      </c>
      <c r="C265" s="3">
        <v>30</v>
      </c>
      <c r="D265" s="1" t="s">
        <v>24</v>
      </c>
      <c r="E265" s="1" t="s">
        <v>131</v>
      </c>
      <c r="F265" s="1" t="s">
        <v>65</v>
      </c>
      <c r="G265" s="4">
        <v>45494</v>
      </c>
      <c r="H265" s="4">
        <v>45504</v>
      </c>
      <c r="I265" s="1" t="s">
        <v>85</v>
      </c>
      <c r="J265" s="1" t="s">
        <v>30</v>
      </c>
      <c r="K265" s="3">
        <v>2</v>
      </c>
      <c r="L265" s="2">
        <v>42109.716287215415</v>
      </c>
      <c r="M265" s="3">
        <v>5</v>
      </c>
      <c r="N265" s="1" t="s">
        <v>166</v>
      </c>
      <c r="O265" s="1" t="s">
        <v>109</v>
      </c>
      <c r="P265" s="1" t="s">
        <v>33</v>
      </c>
      <c r="Q265" s="1" t="s">
        <v>983</v>
      </c>
      <c r="R265" s="1" t="s">
        <v>1161</v>
      </c>
      <c r="S265" s="3">
        <v>5</v>
      </c>
      <c r="T265" s="1" t="s">
        <v>36</v>
      </c>
      <c r="U265" s="3">
        <v>337</v>
      </c>
      <c r="V265" s="1" t="s">
        <v>37</v>
      </c>
      <c r="W265" s="5">
        <f>Table1[[#This Row],[Quantity]]*Table1[[#This Row],[Price]]*(1-Table1[[#This Row],[Discount %]]/100)</f>
        <v>80008.460945709288</v>
      </c>
      <c r="X265">
        <f>Table1[[#This Row],[DeliveryDate]]-Table1[[#This Row],[OrderDate]]</f>
        <v>10</v>
      </c>
      <c r="Y265" t="str">
        <f>TEXT(Table1[[#This Row],[OrderDate]],"MMMM")</f>
        <v>July</v>
      </c>
      <c r="Z265" s="5">
        <f>YEAR(Table1[[#This Row],[OrderDate]])</f>
        <v>2024</v>
      </c>
    </row>
    <row r="266" spans="1:26" x14ac:dyDescent="0.3">
      <c r="A266" s="1" t="s">
        <v>1162</v>
      </c>
      <c r="B266" t="s">
        <v>344</v>
      </c>
      <c r="C266" s="3">
        <v>41</v>
      </c>
      <c r="D266" s="1" t="s">
        <v>51</v>
      </c>
      <c r="E266" s="1" t="s">
        <v>229</v>
      </c>
      <c r="F266" s="1" t="s">
        <v>53</v>
      </c>
      <c r="G266" s="4">
        <v>45415</v>
      </c>
      <c r="H266" s="4">
        <v>45420</v>
      </c>
      <c r="I266" s="1" t="s">
        <v>85</v>
      </c>
      <c r="J266" s="1" t="s">
        <v>30</v>
      </c>
      <c r="K266" s="3">
        <v>5</v>
      </c>
      <c r="L266" s="2">
        <v>32000</v>
      </c>
      <c r="M266" s="3">
        <v>15</v>
      </c>
      <c r="N266" s="1" t="s">
        <v>45</v>
      </c>
      <c r="O266" s="1" t="s">
        <v>68</v>
      </c>
      <c r="P266" s="1" t="s">
        <v>33</v>
      </c>
      <c r="Q266" s="1" t="s">
        <v>347</v>
      </c>
      <c r="R266" s="1" t="s">
        <v>1164</v>
      </c>
      <c r="S266" s="3">
        <v>2</v>
      </c>
      <c r="T266" s="1" t="s">
        <v>61</v>
      </c>
      <c r="U266" s="3">
        <v>498</v>
      </c>
      <c r="V266" s="1" t="s">
        <v>79</v>
      </c>
      <c r="W266" s="5">
        <f>Table1[[#This Row],[Quantity]]*Table1[[#This Row],[Price]]*(1-Table1[[#This Row],[Discount %]]/100)</f>
        <v>136000</v>
      </c>
      <c r="X266">
        <f>Table1[[#This Row],[DeliveryDate]]-Table1[[#This Row],[OrderDate]]</f>
        <v>5</v>
      </c>
      <c r="Y266" t="str">
        <f>TEXT(Table1[[#This Row],[OrderDate]],"MMMM")</f>
        <v>May</v>
      </c>
      <c r="Z266" s="5">
        <f>YEAR(Table1[[#This Row],[OrderDate]])</f>
        <v>2024</v>
      </c>
    </row>
    <row r="267" spans="1:26" x14ac:dyDescent="0.3">
      <c r="A267" s="1" t="s">
        <v>1165</v>
      </c>
      <c r="B267" t="s">
        <v>105</v>
      </c>
      <c r="C267" s="3">
        <v>44</v>
      </c>
      <c r="D267" s="1" t="s">
        <v>51</v>
      </c>
      <c r="E267" s="1" t="s">
        <v>40</v>
      </c>
      <c r="F267" s="1" t="s">
        <v>91</v>
      </c>
      <c r="G267" s="4">
        <v>45540</v>
      </c>
      <c r="H267" s="4">
        <v>45549</v>
      </c>
      <c r="I267" s="1" t="s">
        <v>77</v>
      </c>
      <c r="J267" s="1" t="s">
        <v>30</v>
      </c>
      <c r="K267" s="3">
        <v>1</v>
      </c>
      <c r="L267" s="2">
        <v>23263</v>
      </c>
      <c r="M267" s="3">
        <v>0</v>
      </c>
      <c r="N267" s="1" t="s">
        <v>31</v>
      </c>
      <c r="O267" s="1" t="s">
        <v>173</v>
      </c>
      <c r="P267" s="1" t="s">
        <v>174</v>
      </c>
      <c r="Q267" s="1" t="s">
        <v>110</v>
      </c>
      <c r="R267" s="1" t="s">
        <v>1168</v>
      </c>
      <c r="S267" s="3">
        <v>5</v>
      </c>
      <c r="T267" s="1" t="s">
        <v>96</v>
      </c>
      <c r="U267" s="3">
        <v>108</v>
      </c>
      <c r="V267" s="1" t="s">
        <v>62</v>
      </c>
      <c r="W267" s="5">
        <f>Table1[[#This Row],[Quantity]]*Table1[[#This Row],[Price]]*(1-Table1[[#This Row],[Discount %]]/100)</f>
        <v>23263</v>
      </c>
      <c r="X267">
        <f>Table1[[#This Row],[DeliveryDate]]-Table1[[#This Row],[OrderDate]]</f>
        <v>9</v>
      </c>
      <c r="Y267" t="str">
        <f>TEXT(Table1[[#This Row],[OrderDate]],"MMMM")</f>
        <v>September</v>
      </c>
      <c r="Z267" s="5">
        <f>YEAR(Table1[[#This Row],[OrderDate]])</f>
        <v>2024</v>
      </c>
    </row>
    <row r="268" spans="1:26" x14ac:dyDescent="0.3">
      <c r="A268" s="1" t="s">
        <v>1169</v>
      </c>
      <c r="B268" t="s">
        <v>689</v>
      </c>
      <c r="C268" s="3">
        <v>35</v>
      </c>
      <c r="D268" s="1" t="s">
        <v>51</v>
      </c>
      <c r="E268" s="1" t="s">
        <v>99</v>
      </c>
      <c r="F268" s="1" t="s">
        <v>82</v>
      </c>
      <c r="G268" s="4">
        <v>45073</v>
      </c>
      <c r="H268" s="4">
        <v>45080</v>
      </c>
      <c r="I268" s="1" t="s">
        <v>85</v>
      </c>
      <c r="J268" s="1" t="s">
        <v>44</v>
      </c>
      <c r="K268" s="3">
        <v>3</v>
      </c>
      <c r="L268" s="2">
        <v>55972</v>
      </c>
      <c r="M268" s="3">
        <v>15</v>
      </c>
      <c r="N268" s="1" t="s">
        <v>31</v>
      </c>
      <c r="O268" s="1" t="s">
        <v>109</v>
      </c>
      <c r="P268" s="1" t="s">
        <v>174</v>
      </c>
      <c r="Q268" s="1" t="s">
        <v>1105</v>
      </c>
      <c r="R268" s="1" t="s">
        <v>1170</v>
      </c>
      <c r="S268" s="3">
        <v>3</v>
      </c>
      <c r="T268" s="1" t="s">
        <v>96</v>
      </c>
      <c r="U268" s="3">
        <v>95</v>
      </c>
      <c r="V268" s="1" t="s">
        <v>37</v>
      </c>
      <c r="W268" s="5">
        <f>Table1[[#This Row],[Quantity]]*Table1[[#This Row],[Price]]*(1-Table1[[#This Row],[Discount %]]/100)</f>
        <v>142728.6</v>
      </c>
      <c r="X268">
        <f>Table1[[#This Row],[DeliveryDate]]-Table1[[#This Row],[OrderDate]]</f>
        <v>7</v>
      </c>
      <c r="Y268" t="str">
        <f>TEXT(Table1[[#This Row],[OrderDate]],"MMMM")</f>
        <v>May</v>
      </c>
      <c r="Z268" s="5">
        <f>YEAR(Table1[[#This Row],[OrderDate]])</f>
        <v>2023</v>
      </c>
    </row>
    <row r="269" spans="1:26" x14ac:dyDescent="0.3">
      <c r="A269" s="1" t="s">
        <v>1171</v>
      </c>
      <c r="B269" t="s">
        <v>228</v>
      </c>
      <c r="C269" s="3">
        <v>54</v>
      </c>
      <c r="D269" s="1" t="s">
        <v>24</v>
      </c>
      <c r="E269" s="1" t="s">
        <v>229</v>
      </c>
      <c r="F269" s="1" t="s">
        <v>26</v>
      </c>
      <c r="G269" s="4">
        <v>45267</v>
      </c>
      <c r="H269" s="4">
        <v>45271</v>
      </c>
      <c r="I269" s="1" t="s">
        <v>108</v>
      </c>
      <c r="J269" s="1" t="s">
        <v>44</v>
      </c>
      <c r="K269" s="3">
        <v>3</v>
      </c>
      <c r="L269" s="2">
        <v>34914</v>
      </c>
      <c r="M269" s="3">
        <v>10</v>
      </c>
      <c r="N269" s="1" t="s">
        <v>166</v>
      </c>
      <c r="O269" s="1" t="s">
        <v>109</v>
      </c>
      <c r="P269" s="1" t="s">
        <v>33</v>
      </c>
      <c r="Q269" s="1" t="s">
        <v>232</v>
      </c>
      <c r="R269" s="1" t="s">
        <v>1172</v>
      </c>
      <c r="S269" s="3">
        <v>3</v>
      </c>
      <c r="T269" s="1" t="s">
        <v>36</v>
      </c>
      <c r="U269" s="3">
        <v>353</v>
      </c>
      <c r="V269" s="1" t="s">
        <v>79</v>
      </c>
      <c r="W269" s="5">
        <f>Table1[[#This Row],[Quantity]]*Table1[[#This Row],[Price]]*(1-Table1[[#This Row],[Discount %]]/100)</f>
        <v>94267.8</v>
      </c>
      <c r="X269">
        <f>Table1[[#This Row],[DeliveryDate]]-Table1[[#This Row],[OrderDate]]</f>
        <v>4</v>
      </c>
      <c r="Y269" t="str">
        <f>TEXT(Table1[[#This Row],[OrderDate]],"MMMM")</f>
        <v>December</v>
      </c>
      <c r="Z269" s="5">
        <f>YEAR(Table1[[#This Row],[OrderDate]])</f>
        <v>2023</v>
      </c>
    </row>
    <row r="270" spans="1:26" x14ac:dyDescent="0.3">
      <c r="A270" s="1" t="s">
        <v>1173</v>
      </c>
      <c r="B270" t="s">
        <v>170</v>
      </c>
      <c r="C270" s="3">
        <v>21</v>
      </c>
      <c r="D270" s="1" t="s">
        <v>24</v>
      </c>
      <c r="E270" s="1" t="s">
        <v>142</v>
      </c>
      <c r="F270" s="1" t="s">
        <v>53</v>
      </c>
      <c r="G270" s="4">
        <v>45274</v>
      </c>
      <c r="H270" s="4">
        <v>45276</v>
      </c>
      <c r="I270" s="1" t="s">
        <v>93</v>
      </c>
      <c r="J270" s="1" t="s">
        <v>30</v>
      </c>
      <c r="K270" s="3">
        <v>5</v>
      </c>
      <c r="L270" s="2">
        <v>30081</v>
      </c>
      <c r="M270" s="3">
        <v>5</v>
      </c>
      <c r="N270" s="1" t="s">
        <v>56</v>
      </c>
      <c r="O270" s="1" t="s">
        <v>133</v>
      </c>
      <c r="P270" s="1" t="s">
        <v>174</v>
      </c>
      <c r="Q270" s="1" t="s">
        <v>175</v>
      </c>
      <c r="R270" s="1" t="s">
        <v>1174</v>
      </c>
      <c r="S270" s="3">
        <v>3</v>
      </c>
      <c r="T270" s="1" t="s">
        <v>61</v>
      </c>
      <c r="U270" s="3">
        <v>484</v>
      </c>
      <c r="V270" s="1" t="s">
        <v>62</v>
      </c>
      <c r="W270" s="5">
        <f>Table1[[#This Row],[Quantity]]*Table1[[#This Row],[Price]]*(1-Table1[[#This Row],[Discount %]]/100)</f>
        <v>142884.75</v>
      </c>
      <c r="X270">
        <f>Table1[[#This Row],[DeliveryDate]]-Table1[[#This Row],[OrderDate]]</f>
        <v>2</v>
      </c>
      <c r="Y270" t="str">
        <f>TEXT(Table1[[#This Row],[OrderDate]],"MMMM")</f>
        <v>December</v>
      </c>
      <c r="Z270" s="5">
        <f>YEAR(Table1[[#This Row],[OrderDate]])</f>
        <v>2023</v>
      </c>
    </row>
    <row r="271" spans="1:26" x14ac:dyDescent="0.3">
      <c r="A271" s="1" t="s">
        <v>1175</v>
      </c>
      <c r="B271" t="s">
        <v>204</v>
      </c>
      <c r="C271" s="3">
        <v>42</v>
      </c>
      <c r="D271" s="1" t="s">
        <v>51</v>
      </c>
      <c r="E271" s="1" t="s">
        <v>25</v>
      </c>
      <c r="F271" s="1" t="s">
        <v>91</v>
      </c>
      <c r="G271" s="4">
        <v>45531</v>
      </c>
      <c r="H271" s="4">
        <v>45538</v>
      </c>
      <c r="I271" s="1" t="s">
        <v>77</v>
      </c>
      <c r="J271" s="1" t="s">
        <v>30</v>
      </c>
      <c r="K271" s="3">
        <v>2</v>
      </c>
      <c r="L271" s="2">
        <v>64406</v>
      </c>
      <c r="M271" s="3">
        <v>10</v>
      </c>
      <c r="N271" s="1" t="s">
        <v>56</v>
      </c>
      <c r="O271" s="1" t="s">
        <v>68</v>
      </c>
      <c r="P271" s="1" t="s">
        <v>69</v>
      </c>
      <c r="Q271" s="1" t="s">
        <v>207</v>
      </c>
      <c r="R271" s="1" t="s">
        <v>1177</v>
      </c>
      <c r="S271" s="3">
        <v>2</v>
      </c>
      <c r="T271" s="1" t="s">
        <v>61</v>
      </c>
      <c r="U271" s="3">
        <v>250</v>
      </c>
      <c r="V271" s="1" t="s">
        <v>37</v>
      </c>
      <c r="W271" s="5">
        <f>Table1[[#This Row],[Quantity]]*Table1[[#This Row],[Price]]*(1-Table1[[#This Row],[Discount %]]/100)</f>
        <v>115930.8</v>
      </c>
      <c r="X271">
        <f>Table1[[#This Row],[DeliveryDate]]-Table1[[#This Row],[OrderDate]]</f>
        <v>7</v>
      </c>
      <c r="Y271" t="str">
        <f>TEXT(Table1[[#This Row],[OrderDate]],"MMMM")</f>
        <v>August</v>
      </c>
      <c r="Z271" s="5">
        <f>YEAR(Table1[[#This Row],[OrderDate]])</f>
        <v>2024</v>
      </c>
    </row>
    <row r="272" spans="1:26" x14ac:dyDescent="0.3">
      <c r="A272" s="1" t="s">
        <v>1178</v>
      </c>
      <c r="B272" t="s">
        <v>198</v>
      </c>
      <c r="C272" s="3">
        <v>19</v>
      </c>
      <c r="D272" s="1" t="s">
        <v>24</v>
      </c>
      <c r="E272" s="1" t="s">
        <v>229</v>
      </c>
      <c r="F272" s="1" t="s">
        <v>82</v>
      </c>
      <c r="G272" s="4">
        <v>45246</v>
      </c>
      <c r="H272" s="4">
        <v>45249</v>
      </c>
      <c r="I272" s="1" t="s">
        <v>77</v>
      </c>
      <c r="J272" s="1" t="s">
        <v>44</v>
      </c>
      <c r="K272" s="3">
        <v>2</v>
      </c>
      <c r="L272" s="2">
        <v>69468</v>
      </c>
      <c r="M272" s="3">
        <v>5</v>
      </c>
      <c r="N272" s="1" t="s">
        <v>45</v>
      </c>
      <c r="O272" s="1" t="s">
        <v>102</v>
      </c>
      <c r="P272" s="1" t="s">
        <v>69</v>
      </c>
      <c r="Q272" s="1" t="s">
        <v>201</v>
      </c>
      <c r="R272" s="1" t="s">
        <v>3415</v>
      </c>
      <c r="S272" s="3">
        <v>2</v>
      </c>
      <c r="T272" s="1" t="s">
        <v>36</v>
      </c>
      <c r="U272" s="3">
        <v>375</v>
      </c>
      <c r="V272" s="1" t="s">
        <v>62</v>
      </c>
      <c r="W272" s="5">
        <f>Table1[[#This Row],[Quantity]]*Table1[[#This Row],[Price]]*(1-Table1[[#This Row],[Discount %]]/100)</f>
        <v>131989.19999999998</v>
      </c>
      <c r="X272">
        <f>Table1[[#This Row],[DeliveryDate]]-Table1[[#This Row],[OrderDate]]</f>
        <v>3</v>
      </c>
      <c r="Y272" t="str">
        <f>TEXT(Table1[[#This Row],[OrderDate]],"MMMM")</f>
        <v>November</v>
      </c>
      <c r="Z272" s="5">
        <f>YEAR(Table1[[#This Row],[OrderDate]])</f>
        <v>2023</v>
      </c>
    </row>
    <row r="273" spans="1:26" x14ac:dyDescent="0.3">
      <c r="A273" s="1" t="s">
        <v>1180</v>
      </c>
      <c r="B273" t="s">
        <v>424</v>
      </c>
      <c r="C273" s="3">
        <v>33</v>
      </c>
      <c r="D273" s="1" t="s">
        <v>24</v>
      </c>
      <c r="E273" s="1" t="s">
        <v>26</v>
      </c>
      <c r="F273" s="1" t="s">
        <v>53</v>
      </c>
      <c r="G273" s="4">
        <v>45009</v>
      </c>
      <c r="H273" s="4">
        <v>45016</v>
      </c>
      <c r="I273" s="1" t="s">
        <v>77</v>
      </c>
      <c r="J273" s="1" t="s">
        <v>44</v>
      </c>
      <c r="K273" s="3">
        <v>5</v>
      </c>
      <c r="L273" s="2">
        <v>61311</v>
      </c>
      <c r="M273" s="3">
        <v>0</v>
      </c>
      <c r="N273" s="1" t="s">
        <v>45</v>
      </c>
      <c r="O273" s="1" t="s">
        <v>57</v>
      </c>
      <c r="P273" s="1" t="s">
        <v>33</v>
      </c>
      <c r="Q273" s="1" t="s">
        <v>427</v>
      </c>
      <c r="R273" s="1" t="s">
        <v>1183</v>
      </c>
      <c r="S273" s="3">
        <v>4</v>
      </c>
      <c r="T273" s="1" t="s">
        <v>96</v>
      </c>
      <c r="U273" s="3">
        <v>392</v>
      </c>
      <c r="V273" s="1" t="s">
        <v>62</v>
      </c>
      <c r="W273" s="5">
        <f>Table1[[#This Row],[Quantity]]*Table1[[#This Row],[Price]]*(1-Table1[[#This Row],[Discount %]]/100)</f>
        <v>306555</v>
      </c>
      <c r="X273">
        <f>Table1[[#This Row],[DeliveryDate]]-Table1[[#This Row],[OrderDate]]</f>
        <v>7</v>
      </c>
      <c r="Y273" t="str">
        <f>TEXT(Table1[[#This Row],[OrderDate]],"MMMM")</f>
        <v>March</v>
      </c>
      <c r="Z273" s="5">
        <f>YEAR(Table1[[#This Row],[OrderDate]])</f>
        <v>2023</v>
      </c>
    </row>
    <row r="274" spans="1:26" x14ac:dyDescent="0.3">
      <c r="A274" s="1" t="s">
        <v>1184</v>
      </c>
      <c r="B274" t="s">
        <v>860</v>
      </c>
      <c r="C274" s="3">
        <v>25</v>
      </c>
      <c r="D274" s="1" t="s">
        <v>24</v>
      </c>
      <c r="E274" s="1" t="s">
        <v>229</v>
      </c>
      <c r="F274" s="1" t="s">
        <v>53</v>
      </c>
      <c r="G274" s="4">
        <v>45141</v>
      </c>
      <c r="H274" s="4">
        <v>45142</v>
      </c>
      <c r="I274" s="1" t="s">
        <v>43</v>
      </c>
      <c r="J274" s="1" t="s">
        <v>30</v>
      </c>
      <c r="K274" s="3">
        <v>2</v>
      </c>
      <c r="L274" s="2">
        <v>67626</v>
      </c>
      <c r="M274" s="3">
        <v>5</v>
      </c>
      <c r="N274" s="1" t="s">
        <v>166</v>
      </c>
      <c r="O274" s="1" t="s">
        <v>109</v>
      </c>
      <c r="P274" s="1" t="s">
        <v>174</v>
      </c>
      <c r="Q274" s="1" t="s">
        <v>3415</v>
      </c>
      <c r="R274" s="1" t="s">
        <v>1185</v>
      </c>
      <c r="S274" s="3">
        <v>1</v>
      </c>
      <c r="T274" s="1" t="s">
        <v>72</v>
      </c>
      <c r="U274" s="3">
        <v>384</v>
      </c>
      <c r="V274" s="1" t="s">
        <v>37</v>
      </c>
      <c r="W274" s="5">
        <f>Table1[[#This Row],[Quantity]]*Table1[[#This Row],[Price]]*(1-Table1[[#This Row],[Discount %]]/100)</f>
        <v>128489.4</v>
      </c>
      <c r="X274">
        <f>Table1[[#This Row],[DeliveryDate]]-Table1[[#This Row],[OrderDate]]</f>
        <v>1</v>
      </c>
      <c r="Y274" t="str">
        <f>TEXT(Table1[[#This Row],[OrderDate]],"MMMM")</f>
        <v>August</v>
      </c>
      <c r="Z274" s="5">
        <f>YEAR(Table1[[#This Row],[OrderDate]])</f>
        <v>2023</v>
      </c>
    </row>
    <row r="275" spans="1:26" x14ac:dyDescent="0.3">
      <c r="A275" s="1" t="s">
        <v>1186</v>
      </c>
      <c r="B275" t="s">
        <v>39</v>
      </c>
      <c r="C275" s="3">
        <v>28</v>
      </c>
      <c r="D275" s="1" t="s">
        <v>51</v>
      </c>
      <c r="E275" s="1" t="s">
        <v>99</v>
      </c>
      <c r="F275" s="1" t="s">
        <v>26</v>
      </c>
      <c r="G275" s="4">
        <v>45135</v>
      </c>
      <c r="H275" s="4">
        <v>45142</v>
      </c>
      <c r="I275" s="1" t="s">
        <v>43</v>
      </c>
      <c r="J275" s="1" t="s">
        <v>30</v>
      </c>
      <c r="K275" s="3">
        <v>5</v>
      </c>
      <c r="L275" s="2">
        <v>32986</v>
      </c>
      <c r="M275" s="3">
        <v>5</v>
      </c>
      <c r="N275" s="1" t="s">
        <v>166</v>
      </c>
      <c r="O275" s="1" t="s">
        <v>133</v>
      </c>
      <c r="P275" s="1" t="s">
        <v>174</v>
      </c>
      <c r="Q275" s="1" t="s">
        <v>47</v>
      </c>
      <c r="R275" s="1" t="s">
        <v>1188</v>
      </c>
      <c r="S275" s="3">
        <v>4</v>
      </c>
      <c r="T275" s="1" t="s">
        <v>36</v>
      </c>
      <c r="U275" s="3">
        <v>400</v>
      </c>
      <c r="V275" s="1" t="s">
        <v>62</v>
      </c>
      <c r="W275" s="5">
        <f>Table1[[#This Row],[Quantity]]*Table1[[#This Row],[Price]]*(1-Table1[[#This Row],[Discount %]]/100)</f>
        <v>156683.5</v>
      </c>
      <c r="X275">
        <f>Table1[[#This Row],[DeliveryDate]]-Table1[[#This Row],[OrderDate]]</f>
        <v>7</v>
      </c>
      <c r="Y275" t="str">
        <f>TEXT(Table1[[#This Row],[OrderDate]],"MMMM")</f>
        <v>July</v>
      </c>
      <c r="Z275" s="5">
        <f>YEAR(Table1[[#This Row],[OrderDate]])</f>
        <v>2023</v>
      </c>
    </row>
    <row r="276" spans="1:26" x14ac:dyDescent="0.3">
      <c r="A276" s="1" t="s">
        <v>1189</v>
      </c>
      <c r="B276" t="s">
        <v>74</v>
      </c>
      <c r="C276" s="3">
        <v>24</v>
      </c>
      <c r="D276" s="1" t="s">
        <v>24</v>
      </c>
      <c r="E276" s="1" t="s">
        <v>229</v>
      </c>
      <c r="F276" s="1" t="s">
        <v>53</v>
      </c>
      <c r="G276" s="4">
        <v>44944</v>
      </c>
      <c r="H276" s="4">
        <v>44954</v>
      </c>
      <c r="I276" s="1" t="s">
        <v>43</v>
      </c>
      <c r="J276" s="1" t="s">
        <v>44</v>
      </c>
      <c r="K276" s="3">
        <v>3</v>
      </c>
      <c r="L276" s="2">
        <v>40052</v>
      </c>
      <c r="M276" s="3">
        <v>10</v>
      </c>
      <c r="N276" s="1" t="s">
        <v>45</v>
      </c>
      <c r="O276" s="1" t="s">
        <v>173</v>
      </c>
      <c r="P276" s="1" t="s">
        <v>69</v>
      </c>
      <c r="Q276" s="1" t="s">
        <v>78</v>
      </c>
      <c r="R276" s="1" t="s">
        <v>1191</v>
      </c>
      <c r="S276" s="3">
        <v>3</v>
      </c>
      <c r="T276" s="1" t="s">
        <v>96</v>
      </c>
      <c r="U276" s="3">
        <v>199</v>
      </c>
      <c r="V276" s="1" t="s">
        <v>79</v>
      </c>
      <c r="W276" s="5">
        <f>Table1[[#This Row],[Quantity]]*Table1[[#This Row],[Price]]*(1-Table1[[#This Row],[Discount %]]/100)</f>
        <v>108140.40000000001</v>
      </c>
      <c r="X276">
        <f>Table1[[#This Row],[DeliveryDate]]-Table1[[#This Row],[OrderDate]]</f>
        <v>10</v>
      </c>
      <c r="Y276" t="str">
        <f>TEXT(Table1[[#This Row],[OrderDate]],"MMMM")</f>
        <v>January</v>
      </c>
      <c r="Z276" s="5">
        <f>YEAR(Table1[[#This Row],[OrderDate]])</f>
        <v>2023</v>
      </c>
    </row>
    <row r="277" spans="1:26" x14ac:dyDescent="0.3">
      <c r="A277" s="1" t="s">
        <v>1192</v>
      </c>
      <c r="B277" t="s">
        <v>589</v>
      </c>
      <c r="C277" s="3">
        <v>41</v>
      </c>
      <c r="D277" s="1" t="s">
        <v>51</v>
      </c>
      <c r="E277" s="1" t="s">
        <v>52</v>
      </c>
      <c r="F277" s="1" t="s">
        <v>26</v>
      </c>
      <c r="G277" s="4">
        <v>44946</v>
      </c>
      <c r="H277" s="4">
        <v>44948</v>
      </c>
      <c r="I277" s="1" t="s">
        <v>77</v>
      </c>
      <c r="J277" s="1" t="s">
        <v>44</v>
      </c>
      <c r="K277" s="3">
        <v>3</v>
      </c>
      <c r="L277" s="2">
        <v>8791</v>
      </c>
      <c r="M277" s="3">
        <v>5</v>
      </c>
      <c r="N277" s="1" t="s">
        <v>166</v>
      </c>
      <c r="O277" s="1" t="s">
        <v>173</v>
      </c>
      <c r="P277" s="1" t="s">
        <v>58</v>
      </c>
      <c r="Q277" s="1" t="s">
        <v>591</v>
      </c>
      <c r="R277" s="1" t="s">
        <v>1195</v>
      </c>
      <c r="S277" s="3">
        <v>4</v>
      </c>
      <c r="T277" s="1" t="s">
        <v>61</v>
      </c>
      <c r="U277" s="3">
        <v>120</v>
      </c>
      <c r="V277" s="1" t="s">
        <v>79</v>
      </c>
      <c r="W277" s="5">
        <f>Table1[[#This Row],[Quantity]]*Table1[[#This Row],[Price]]*(1-Table1[[#This Row],[Discount %]]/100)</f>
        <v>25054.35</v>
      </c>
      <c r="X277">
        <f>Table1[[#This Row],[DeliveryDate]]-Table1[[#This Row],[OrderDate]]</f>
        <v>2</v>
      </c>
      <c r="Y277" t="str">
        <f>TEXT(Table1[[#This Row],[OrderDate]],"MMMM")</f>
        <v>January</v>
      </c>
      <c r="Z277" s="5">
        <f>YEAR(Table1[[#This Row],[OrderDate]])</f>
        <v>2023</v>
      </c>
    </row>
    <row r="278" spans="1:26" x14ac:dyDescent="0.3">
      <c r="A278" s="1" t="s">
        <v>1196</v>
      </c>
      <c r="B278" t="s">
        <v>1118</v>
      </c>
      <c r="C278" s="3">
        <v>29</v>
      </c>
      <c r="D278" s="1" t="s">
        <v>24</v>
      </c>
      <c r="E278" s="1" t="s">
        <v>40</v>
      </c>
      <c r="F278" s="1" t="s">
        <v>82</v>
      </c>
      <c r="G278" s="4">
        <v>45090</v>
      </c>
      <c r="H278" s="4">
        <v>45092</v>
      </c>
      <c r="I278" s="1" t="s">
        <v>108</v>
      </c>
      <c r="J278" s="1" t="s">
        <v>44</v>
      </c>
      <c r="K278" s="3">
        <v>4</v>
      </c>
      <c r="L278" s="2">
        <v>24123</v>
      </c>
      <c r="M278" s="3">
        <v>0</v>
      </c>
      <c r="N278" s="1" t="s">
        <v>56</v>
      </c>
      <c r="O278" s="1" t="s">
        <v>133</v>
      </c>
      <c r="P278" s="1" t="s">
        <v>33</v>
      </c>
      <c r="Q278" s="1" t="s">
        <v>1120</v>
      </c>
      <c r="R278" s="1" t="s">
        <v>1199</v>
      </c>
      <c r="S278" s="3">
        <v>2</v>
      </c>
      <c r="T278" s="1" t="s">
        <v>36</v>
      </c>
      <c r="U278" s="3">
        <v>108</v>
      </c>
      <c r="V278" s="1" t="s">
        <v>79</v>
      </c>
      <c r="W278" s="5">
        <f>Table1[[#This Row],[Quantity]]*Table1[[#This Row],[Price]]*(1-Table1[[#This Row],[Discount %]]/100)</f>
        <v>96492</v>
      </c>
      <c r="X278">
        <f>Table1[[#This Row],[DeliveryDate]]-Table1[[#This Row],[OrderDate]]</f>
        <v>2</v>
      </c>
      <c r="Y278" t="str">
        <f>TEXT(Table1[[#This Row],[OrderDate]],"MMMM")</f>
        <v>June</v>
      </c>
      <c r="Z278" s="5">
        <f>YEAR(Table1[[#This Row],[OrderDate]])</f>
        <v>2023</v>
      </c>
    </row>
    <row r="279" spans="1:26" x14ac:dyDescent="0.3">
      <c r="A279" s="1" t="s">
        <v>1200</v>
      </c>
      <c r="B279" t="s">
        <v>382</v>
      </c>
      <c r="C279" s="3">
        <v>42</v>
      </c>
      <c r="D279" s="1" t="s">
        <v>24</v>
      </c>
      <c r="E279" s="1" t="s">
        <v>40</v>
      </c>
      <c r="F279" s="1" t="s">
        <v>65</v>
      </c>
      <c r="G279" s="4">
        <v>45160</v>
      </c>
      <c r="H279" s="4">
        <v>45162</v>
      </c>
      <c r="I279" s="1" t="s">
        <v>85</v>
      </c>
      <c r="J279" s="1" t="s">
        <v>30</v>
      </c>
      <c r="K279" s="3">
        <v>3</v>
      </c>
      <c r="L279" s="2">
        <v>42109.716287215415</v>
      </c>
      <c r="M279" s="3">
        <v>5</v>
      </c>
      <c r="N279" s="1" t="s">
        <v>56</v>
      </c>
      <c r="O279" s="1" t="s">
        <v>46</v>
      </c>
      <c r="P279" s="1" t="s">
        <v>33</v>
      </c>
      <c r="Q279" s="1" t="s">
        <v>385</v>
      </c>
      <c r="R279" s="1" t="s">
        <v>1203</v>
      </c>
      <c r="S279" s="3">
        <v>2</v>
      </c>
      <c r="T279" s="1" t="s">
        <v>96</v>
      </c>
      <c r="U279" s="3">
        <v>277</v>
      </c>
      <c r="V279" s="1" t="s">
        <v>37</v>
      </c>
      <c r="W279" s="5">
        <f>Table1[[#This Row],[Quantity]]*Table1[[#This Row],[Price]]*(1-Table1[[#This Row],[Discount %]]/100)</f>
        <v>120012.69141856393</v>
      </c>
      <c r="X279">
        <f>Table1[[#This Row],[DeliveryDate]]-Table1[[#This Row],[OrderDate]]</f>
        <v>2</v>
      </c>
      <c r="Y279" t="str">
        <f>TEXT(Table1[[#This Row],[OrderDate]],"MMMM")</f>
        <v>August</v>
      </c>
      <c r="Z279" s="5">
        <f>YEAR(Table1[[#This Row],[OrderDate]])</f>
        <v>2023</v>
      </c>
    </row>
    <row r="280" spans="1:26" x14ac:dyDescent="0.3">
      <c r="A280" s="1" t="s">
        <v>1204</v>
      </c>
      <c r="B280" t="s">
        <v>344</v>
      </c>
      <c r="C280" s="3">
        <v>22</v>
      </c>
      <c r="D280" s="1" t="s">
        <v>24</v>
      </c>
      <c r="E280" s="1" t="s">
        <v>40</v>
      </c>
      <c r="F280" s="1" t="s">
        <v>26</v>
      </c>
      <c r="G280" s="4">
        <v>45520</v>
      </c>
      <c r="H280" s="4">
        <v>45524</v>
      </c>
      <c r="I280" s="1" t="s">
        <v>77</v>
      </c>
      <c r="J280" s="1" t="s">
        <v>30</v>
      </c>
      <c r="K280" s="3">
        <v>2</v>
      </c>
      <c r="L280" s="2">
        <v>32499</v>
      </c>
      <c r="M280" s="3">
        <v>0</v>
      </c>
      <c r="N280" s="1" t="s">
        <v>166</v>
      </c>
      <c r="O280" s="1" t="s">
        <v>109</v>
      </c>
      <c r="P280" s="1" t="s">
        <v>33</v>
      </c>
      <c r="Q280" s="1" t="s">
        <v>347</v>
      </c>
      <c r="R280" s="1" t="s">
        <v>1206</v>
      </c>
      <c r="S280" s="3">
        <v>1</v>
      </c>
      <c r="T280" s="1" t="s">
        <v>96</v>
      </c>
      <c r="U280" s="3">
        <v>320</v>
      </c>
      <c r="V280" s="1" t="s">
        <v>62</v>
      </c>
      <c r="W280" s="5">
        <f>Table1[[#This Row],[Quantity]]*Table1[[#This Row],[Price]]*(1-Table1[[#This Row],[Discount %]]/100)</f>
        <v>64998</v>
      </c>
      <c r="X280">
        <f>Table1[[#This Row],[DeliveryDate]]-Table1[[#This Row],[OrderDate]]</f>
        <v>4</v>
      </c>
      <c r="Y280" t="str">
        <f>TEXT(Table1[[#This Row],[OrderDate]],"MMMM")</f>
        <v>August</v>
      </c>
      <c r="Z280" s="5">
        <f>YEAR(Table1[[#This Row],[OrderDate]])</f>
        <v>2024</v>
      </c>
    </row>
    <row r="281" spans="1:26" x14ac:dyDescent="0.3">
      <c r="A281" s="1" t="s">
        <v>1207</v>
      </c>
      <c r="B281" t="s">
        <v>466</v>
      </c>
      <c r="C281" s="3">
        <v>55</v>
      </c>
      <c r="D281" s="1" t="s">
        <v>24</v>
      </c>
      <c r="E281" s="1" t="s">
        <v>26</v>
      </c>
      <c r="F281" s="1" t="s">
        <v>53</v>
      </c>
      <c r="G281" s="4">
        <v>45243</v>
      </c>
      <c r="H281" s="4">
        <v>45244</v>
      </c>
      <c r="I281" s="1" t="s">
        <v>43</v>
      </c>
      <c r="J281" s="1" t="s">
        <v>30</v>
      </c>
      <c r="K281" s="3">
        <v>1</v>
      </c>
      <c r="L281" s="2">
        <v>46399</v>
      </c>
      <c r="M281" s="3">
        <v>10</v>
      </c>
      <c r="N281" s="1" t="s">
        <v>31</v>
      </c>
      <c r="O281" s="1" t="s">
        <v>86</v>
      </c>
      <c r="P281" s="1" t="s">
        <v>33</v>
      </c>
      <c r="Q281" s="1" t="s">
        <v>468</v>
      </c>
      <c r="R281" s="1" t="s">
        <v>1209</v>
      </c>
      <c r="S281" s="3">
        <v>1</v>
      </c>
      <c r="T281" s="1" t="s">
        <v>36</v>
      </c>
      <c r="U281" s="3">
        <v>183</v>
      </c>
      <c r="V281" s="1" t="s">
        <v>79</v>
      </c>
      <c r="W281" s="5">
        <f>Table1[[#This Row],[Quantity]]*Table1[[#This Row],[Price]]*(1-Table1[[#This Row],[Discount %]]/100)</f>
        <v>41759.1</v>
      </c>
      <c r="X281">
        <f>Table1[[#This Row],[DeliveryDate]]-Table1[[#This Row],[OrderDate]]</f>
        <v>1</v>
      </c>
      <c r="Y281" t="str">
        <f>TEXT(Table1[[#This Row],[OrderDate]],"MMMM")</f>
        <v>November</v>
      </c>
      <c r="Z281" s="5">
        <f>YEAR(Table1[[#This Row],[OrderDate]])</f>
        <v>2023</v>
      </c>
    </row>
    <row r="282" spans="1:26" x14ac:dyDescent="0.3">
      <c r="A282" s="1" t="s">
        <v>1210</v>
      </c>
      <c r="B282" t="s">
        <v>946</v>
      </c>
      <c r="C282" s="3">
        <v>41</v>
      </c>
      <c r="D282" s="1" t="s">
        <v>24</v>
      </c>
      <c r="E282" s="1" t="s">
        <v>142</v>
      </c>
      <c r="F282" s="1" t="s">
        <v>53</v>
      </c>
      <c r="G282" s="4">
        <v>45409</v>
      </c>
      <c r="H282" s="4">
        <v>45412</v>
      </c>
      <c r="I282" s="1" t="s">
        <v>29</v>
      </c>
      <c r="J282" s="1" t="s">
        <v>30</v>
      </c>
      <c r="K282" s="3">
        <v>5</v>
      </c>
      <c r="L282" s="2">
        <v>38753</v>
      </c>
      <c r="M282" s="3">
        <v>15</v>
      </c>
      <c r="N282" s="1" t="s">
        <v>45</v>
      </c>
      <c r="O282" s="1" t="s">
        <v>109</v>
      </c>
      <c r="P282" s="1" t="s">
        <v>69</v>
      </c>
      <c r="Q282" s="1" t="s">
        <v>983</v>
      </c>
      <c r="R282" s="1" t="s">
        <v>1213</v>
      </c>
      <c r="S282" s="3">
        <v>2</v>
      </c>
      <c r="T282" s="1" t="s">
        <v>61</v>
      </c>
      <c r="U282" s="3">
        <v>420</v>
      </c>
      <c r="V282" s="1" t="s">
        <v>37</v>
      </c>
      <c r="W282" s="5">
        <f>Table1[[#This Row],[Quantity]]*Table1[[#This Row],[Price]]*(1-Table1[[#This Row],[Discount %]]/100)</f>
        <v>164700.25</v>
      </c>
      <c r="X282">
        <f>Table1[[#This Row],[DeliveryDate]]-Table1[[#This Row],[OrderDate]]</f>
        <v>3</v>
      </c>
      <c r="Y282" t="str">
        <f>TEXT(Table1[[#This Row],[OrderDate]],"MMMM")</f>
        <v>April</v>
      </c>
      <c r="Z282" s="5">
        <f>YEAR(Table1[[#This Row],[OrderDate]])</f>
        <v>2024</v>
      </c>
    </row>
    <row r="283" spans="1:26" x14ac:dyDescent="0.3">
      <c r="A283" s="1" t="s">
        <v>1214</v>
      </c>
      <c r="B283" t="s">
        <v>278</v>
      </c>
      <c r="C283" s="3">
        <v>25</v>
      </c>
      <c r="D283" s="1" t="s">
        <v>24</v>
      </c>
      <c r="E283" s="1" t="s">
        <v>99</v>
      </c>
      <c r="F283" s="1" t="s">
        <v>26</v>
      </c>
      <c r="G283" s="4">
        <v>45580</v>
      </c>
      <c r="H283" s="4">
        <v>45583</v>
      </c>
      <c r="I283" s="1" t="s">
        <v>43</v>
      </c>
      <c r="J283" s="1" t="s">
        <v>30</v>
      </c>
      <c r="K283" s="3">
        <v>4</v>
      </c>
      <c r="L283" s="2">
        <v>5814</v>
      </c>
      <c r="M283" s="3">
        <v>10</v>
      </c>
      <c r="N283" s="1" t="s">
        <v>45</v>
      </c>
      <c r="O283" s="1" t="s">
        <v>173</v>
      </c>
      <c r="P283" s="1" t="s">
        <v>33</v>
      </c>
      <c r="Q283" s="1" t="s">
        <v>282</v>
      </c>
      <c r="R283" s="1" t="s">
        <v>1215</v>
      </c>
      <c r="S283" s="3">
        <v>4</v>
      </c>
      <c r="T283" s="1" t="s">
        <v>61</v>
      </c>
      <c r="U283" s="3">
        <v>334</v>
      </c>
      <c r="V283" s="1" t="s">
        <v>37</v>
      </c>
      <c r="W283" s="5">
        <f>Table1[[#This Row],[Quantity]]*Table1[[#This Row],[Price]]*(1-Table1[[#This Row],[Discount %]]/100)</f>
        <v>20930.400000000001</v>
      </c>
      <c r="X283">
        <f>Table1[[#This Row],[DeliveryDate]]-Table1[[#This Row],[OrderDate]]</f>
        <v>3</v>
      </c>
      <c r="Y283" t="str">
        <f>TEXT(Table1[[#This Row],[OrderDate]],"MMMM")</f>
        <v>October</v>
      </c>
      <c r="Z283" s="5">
        <f>YEAR(Table1[[#This Row],[OrderDate]])</f>
        <v>2024</v>
      </c>
    </row>
    <row r="284" spans="1:26" x14ac:dyDescent="0.3">
      <c r="A284" s="1" t="s">
        <v>1216</v>
      </c>
      <c r="B284" t="s">
        <v>509</v>
      </c>
      <c r="C284" s="3">
        <v>44</v>
      </c>
      <c r="D284" s="1" t="s">
        <v>51</v>
      </c>
      <c r="E284" s="1" t="s">
        <v>25</v>
      </c>
      <c r="F284" s="1" t="s">
        <v>65</v>
      </c>
      <c r="G284" s="4">
        <v>45490</v>
      </c>
      <c r="H284" s="4">
        <v>45493</v>
      </c>
      <c r="I284" s="1" t="s">
        <v>29</v>
      </c>
      <c r="J284" s="1" t="s">
        <v>30</v>
      </c>
      <c r="K284" s="3">
        <v>2.9447852760736195</v>
      </c>
      <c r="L284" s="2">
        <v>16267</v>
      </c>
      <c r="M284" s="3">
        <v>15</v>
      </c>
      <c r="N284" s="1" t="s">
        <v>56</v>
      </c>
      <c r="O284" s="1" t="s">
        <v>133</v>
      </c>
      <c r="P284" s="1" t="s">
        <v>174</v>
      </c>
      <c r="Q284" s="1" t="s">
        <v>512</v>
      </c>
      <c r="R284" s="1" t="s">
        <v>1218</v>
      </c>
      <c r="S284" s="3">
        <v>5</v>
      </c>
      <c r="T284" s="1" t="s">
        <v>61</v>
      </c>
      <c r="U284" s="3">
        <v>194</v>
      </c>
      <c r="V284" s="1" t="s">
        <v>62</v>
      </c>
      <c r="W284" s="5">
        <f>Table1[[#This Row],[Quantity]]*Table1[[#This Row],[Price]]*(1-Table1[[#This Row],[Discount %]]/100)</f>
        <v>40717.398773006127</v>
      </c>
      <c r="X284">
        <f>Table1[[#This Row],[DeliveryDate]]-Table1[[#This Row],[OrderDate]]</f>
        <v>3</v>
      </c>
      <c r="Y284" t="str">
        <f>TEXT(Table1[[#This Row],[OrderDate]],"MMMM")</f>
        <v>July</v>
      </c>
      <c r="Z284" s="5">
        <f>YEAR(Table1[[#This Row],[OrderDate]])</f>
        <v>2024</v>
      </c>
    </row>
    <row r="285" spans="1:26" x14ac:dyDescent="0.3">
      <c r="A285" s="1" t="s">
        <v>1219</v>
      </c>
      <c r="B285" t="s">
        <v>555</v>
      </c>
      <c r="C285" s="3">
        <v>48</v>
      </c>
      <c r="D285" s="1" t="s">
        <v>51</v>
      </c>
      <c r="E285" s="1" t="s">
        <v>25</v>
      </c>
      <c r="F285" s="1" t="s">
        <v>82</v>
      </c>
      <c r="G285" s="4">
        <v>45076</v>
      </c>
      <c r="H285" s="4">
        <v>45082</v>
      </c>
      <c r="I285" s="1" t="s">
        <v>93</v>
      </c>
      <c r="J285" s="1" t="s">
        <v>44</v>
      </c>
      <c r="K285" s="3">
        <v>4</v>
      </c>
      <c r="L285" s="2">
        <v>61731</v>
      </c>
      <c r="M285" s="3">
        <v>15</v>
      </c>
      <c r="N285" s="1" t="s">
        <v>56</v>
      </c>
      <c r="O285" s="1" t="s">
        <v>86</v>
      </c>
      <c r="P285" s="1" t="s">
        <v>58</v>
      </c>
      <c r="Q285" s="1" t="s">
        <v>558</v>
      </c>
      <c r="R285" s="1" t="s">
        <v>3415</v>
      </c>
      <c r="S285" s="3">
        <v>2</v>
      </c>
      <c r="T285" s="1" t="s">
        <v>96</v>
      </c>
      <c r="U285" s="3">
        <v>195</v>
      </c>
      <c r="V285" s="1" t="s">
        <v>37</v>
      </c>
      <c r="W285" s="5">
        <f>Table1[[#This Row],[Quantity]]*Table1[[#This Row],[Price]]*(1-Table1[[#This Row],[Discount %]]/100)</f>
        <v>209885.4</v>
      </c>
      <c r="X285">
        <f>Table1[[#This Row],[DeliveryDate]]-Table1[[#This Row],[OrderDate]]</f>
        <v>6</v>
      </c>
      <c r="Y285" t="str">
        <f>TEXT(Table1[[#This Row],[OrderDate]],"MMMM")</f>
        <v>May</v>
      </c>
      <c r="Z285" s="5">
        <f>YEAR(Table1[[#This Row],[OrderDate]])</f>
        <v>2023</v>
      </c>
    </row>
    <row r="286" spans="1:26" x14ac:dyDescent="0.3">
      <c r="A286" s="1" t="s">
        <v>1220</v>
      </c>
      <c r="B286" t="s">
        <v>617</v>
      </c>
      <c r="C286" s="3">
        <v>32</v>
      </c>
      <c r="D286" s="1" t="s">
        <v>24</v>
      </c>
      <c r="E286" s="1" t="s">
        <v>229</v>
      </c>
      <c r="F286" s="1" t="s">
        <v>26</v>
      </c>
      <c r="G286" s="4">
        <v>45502</v>
      </c>
      <c r="H286" s="4">
        <v>45511</v>
      </c>
      <c r="I286" s="1" t="s">
        <v>108</v>
      </c>
      <c r="J286" s="1" t="s">
        <v>30</v>
      </c>
      <c r="K286" s="3">
        <v>2</v>
      </c>
      <c r="L286" s="2">
        <v>45479</v>
      </c>
      <c r="M286" s="3">
        <v>15</v>
      </c>
      <c r="N286" s="1" t="s">
        <v>56</v>
      </c>
      <c r="O286" s="1" t="s">
        <v>46</v>
      </c>
      <c r="P286" s="1" t="s">
        <v>69</v>
      </c>
      <c r="Q286" s="1" t="s">
        <v>620</v>
      </c>
      <c r="R286" s="1" t="s">
        <v>1223</v>
      </c>
      <c r="S286" s="3">
        <v>3</v>
      </c>
      <c r="T286" s="1" t="s">
        <v>61</v>
      </c>
      <c r="U286" s="3">
        <v>141</v>
      </c>
      <c r="V286" s="1" t="s">
        <v>79</v>
      </c>
      <c r="W286" s="5">
        <f>Table1[[#This Row],[Quantity]]*Table1[[#This Row],[Price]]*(1-Table1[[#This Row],[Discount %]]/100)</f>
        <v>77314.3</v>
      </c>
      <c r="X286">
        <f>Table1[[#This Row],[DeliveryDate]]-Table1[[#This Row],[OrderDate]]</f>
        <v>9</v>
      </c>
      <c r="Y286" t="str">
        <f>TEXT(Table1[[#This Row],[OrderDate]],"MMMM")</f>
        <v>July</v>
      </c>
      <c r="Z286" s="5">
        <f>YEAR(Table1[[#This Row],[OrderDate]])</f>
        <v>2024</v>
      </c>
    </row>
    <row r="287" spans="1:26" x14ac:dyDescent="0.3">
      <c r="A287" s="1" t="s">
        <v>1224</v>
      </c>
      <c r="B287" t="s">
        <v>98</v>
      </c>
      <c r="C287" s="3">
        <v>35</v>
      </c>
      <c r="D287" s="1" t="s">
        <v>24</v>
      </c>
      <c r="E287" s="1" t="s">
        <v>229</v>
      </c>
      <c r="F287" s="1" t="s">
        <v>82</v>
      </c>
      <c r="G287" s="4">
        <v>45340</v>
      </c>
      <c r="H287" s="4">
        <v>45341</v>
      </c>
      <c r="I287" s="1" t="s">
        <v>29</v>
      </c>
      <c r="J287" s="1" t="s">
        <v>44</v>
      </c>
      <c r="K287" s="3">
        <v>4</v>
      </c>
      <c r="L287" s="2">
        <v>56229</v>
      </c>
      <c r="M287" s="3">
        <v>10</v>
      </c>
      <c r="N287" s="1" t="s">
        <v>31</v>
      </c>
      <c r="O287" s="1" t="s">
        <v>68</v>
      </c>
      <c r="P287" s="1" t="s">
        <v>58</v>
      </c>
      <c r="Q287" s="1" t="s">
        <v>103</v>
      </c>
      <c r="R287" s="1" t="s">
        <v>1226</v>
      </c>
      <c r="S287" s="3">
        <v>5</v>
      </c>
      <c r="T287" s="1" t="s">
        <v>72</v>
      </c>
      <c r="U287" s="3">
        <v>465</v>
      </c>
      <c r="V287" s="1" t="s">
        <v>79</v>
      </c>
      <c r="W287" s="5">
        <f>Table1[[#This Row],[Quantity]]*Table1[[#This Row],[Price]]*(1-Table1[[#This Row],[Discount %]]/100)</f>
        <v>202424.4</v>
      </c>
      <c r="X287">
        <f>Table1[[#This Row],[DeliveryDate]]-Table1[[#This Row],[OrderDate]]</f>
        <v>1</v>
      </c>
      <c r="Y287" t="str">
        <f>TEXT(Table1[[#This Row],[OrderDate]],"MMMM")</f>
        <v>February</v>
      </c>
      <c r="Z287" s="5">
        <f>YEAR(Table1[[#This Row],[OrderDate]])</f>
        <v>2024</v>
      </c>
    </row>
    <row r="288" spans="1:26" x14ac:dyDescent="0.3">
      <c r="A288" s="1" t="s">
        <v>1227</v>
      </c>
      <c r="B288" t="s">
        <v>338</v>
      </c>
      <c r="C288" s="3">
        <v>25</v>
      </c>
      <c r="D288" s="1" t="s">
        <v>24</v>
      </c>
      <c r="E288" s="1" t="s">
        <v>40</v>
      </c>
      <c r="F288" s="1" t="s">
        <v>53</v>
      </c>
      <c r="G288" s="4">
        <v>45514</v>
      </c>
      <c r="H288" s="4">
        <v>45519</v>
      </c>
      <c r="I288" s="1" t="s">
        <v>108</v>
      </c>
      <c r="J288" s="1" t="s">
        <v>44</v>
      </c>
      <c r="K288" s="3">
        <v>4</v>
      </c>
      <c r="L288" s="2">
        <v>42439</v>
      </c>
      <c r="M288" s="3">
        <v>10</v>
      </c>
      <c r="N288" s="1" t="s">
        <v>166</v>
      </c>
      <c r="O288" s="1" t="s">
        <v>86</v>
      </c>
      <c r="P288" s="1" t="s">
        <v>174</v>
      </c>
      <c r="Q288" s="1" t="s">
        <v>341</v>
      </c>
      <c r="R288" s="1" t="s">
        <v>1228</v>
      </c>
      <c r="S288" s="3">
        <v>5</v>
      </c>
      <c r="T288" s="1" t="s">
        <v>36</v>
      </c>
      <c r="U288" s="3">
        <v>345</v>
      </c>
      <c r="V288" s="1" t="s">
        <v>37</v>
      </c>
      <c r="W288" s="5">
        <f>Table1[[#This Row],[Quantity]]*Table1[[#This Row],[Price]]*(1-Table1[[#This Row],[Discount %]]/100)</f>
        <v>152780.4</v>
      </c>
      <c r="X288">
        <f>Table1[[#This Row],[DeliveryDate]]-Table1[[#This Row],[OrderDate]]</f>
        <v>5</v>
      </c>
      <c r="Y288" t="str">
        <f>TEXT(Table1[[#This Row],[OrderDate]],"MMMM")</f>
        <v>August</v>
      </c>
      <c r="Z288" s="5">
        <f>YEAR(Table1[[#This Row],[OrderDate]])</f>
        <v>2024</v>
      </c>
    </row>
    <row r="289" spans="1:26" x14ac:dyDescent="0.3">
      <c r="A289" s="1" t="s">
        <v>1229</v>
      </c>
      <c r="B289" t="s">
        <v>293</v>
      </c>
      <c r="C289" s="3">
        <v>24</v>
      </c>
      <c r="D289" s="1" t="s">
        <v>24</v>
      </c>
      <c r="E289" s="1" t="s">
        <v>229</v>
      </c>
      <c r="F289" s="1" t="s">
        <v>65</v>
      </c>
      <c r="G289" s="4">
        <v>45307</v>
      </c>
      <c r="H289" s="4">
        <v>45308</v>
      </c>
      <c r="I289" s="1" t="s">
        <v>85</v>
      </c>
      <c r="J289" s="1" t="s">
        <v>30</v>
      </c>
      <c r="K289" s="3">
        <v>4</v>
      </c>
      <c r="L289" s="2">
        <v>32636</v>
      </c>
      <c r="M289" s="3">
        <v>15</v>
      </c>
      <c r="N289" s="1" t="s">
        <v>166</v>
      </c>
      <c r="O289" s="1" t="s">
        <v>32</v>
      </c>
      <c r="P289" s="1" t="s">
        <v>33</v>
      </c>
      <c r="Q289" s="1" t="s">
        <v>1231</v>
      </c>
      <c r="R289" s="1" t="s">
        <v>1232</v>
      </c>
      <c r="S289" s="3">
        <v>3</v>
      </c>
      <c r="T289" s="1" t="s">
        <v>96</v>
      </c>
      <c r="U289" s="3">
        <v>498</v>
      </c>
      <c r="V289" s="1" t="s">
        <v>79</v>
      </c>
      <c r="W289" s="5">
        <f>Table1[[#This Row],[Quantity]]*Table1[[#This Row],[Price]]*(1-Table1[[#This Row],[Discount %]]/100)</f>
        <v>110962.4</v>
      </c>
      <c r="X289">
        <f>Table1[[#This Row],[DeliveryDate]]-Table1[[#This Row],[OrderDate]]</f>
        <v>1</v>
      </c>
      <c r="Y289" t="str">
        <f>TEXT(Table1[[#This Row],[OrderDate]],"MMMM")</f>
        <v>January</v>
      </c>
      <c r="Z289" s="5">
        <f>YEAR(Table1[[#This Row],[OrderDate]])</f>
        <v>2024</v>
      </c>
    </row>
    <row r="290" spans="1:26" x14ac:dyDescent="0.3">
      <c r="A290" s="1" t="s">
        <v>1233</v>
      </c>
      <c r="B290" t="s">
        <v>650</v>
      </c>
      <c r="C290" s="3">
        <v>32</v>
      </c>
      <c r="D290" s="1" t="s">
        <v>24</v>
      </c>
      <c r="E290" s="1" t="s">
        <v>25</v>
      </c>
      <c r="F290" s="1" t="s">
        <v>65</v>
      </c>
      <c r="G290" s="4">
        <v>44958</v>
      </c>
      <c r="H290" s="4">
        <v>44960</v>
      </c>
      <c r="I290" s="1" t="s">
        <v>108</v>
      </c>
      <c r="J290" s="1" t="s">
        <v>30</v>
      </c>
      <c r="K290" s="3">
        <v>5</v>
      </c>
      <c r="L290" s="2">
        <v>35051</v>
      </c>
      <c r="M290" s="3">
        <v>10</v>
      </c>
      <c r="N290" s="1" t="s">
        <v>166</v>
      </c>
      <c r="O290" s="1" t="s">
        <v>46</v>
      </c>
      <c r="P290" s="1" t="s">
        <v>33</v>
      </c>
      <c r="Q290" s="1" t="s">
        <v>653</v>
      </c>
      <c r="R290" s="1" t="s">
        <v>1234</v>
      </c>
      <c r="S290" s="3">
        <v>1</v>
      </c>
      <c r="T290" s="1" t="s">
        <v>36</v>
      </c>
      <c r="U290" s="3">
        <v>197</v>
      </c>
      <c r="V290" s="1" t="s">
        <v>79</v>
      </c>
      <c r="W290" s="5">
        <f>Table1[[#This Row],[Quantity]]*Table1[[#This Row],[Price]]*(1-Table1[[#This Row],[Discount %]]/100)</f>
        <v>157729.5</v>
      </c>
      <c r="X290">
        <f>Table1[[#This Row],[DeliveryDate]]-Table1[[#This Row],[OrderDate]]</f>
        <v>2</v>
      </c>
      <c r="Y290" t="str">
        <f>TEXT(Table1[[#This Row],[OrderDate]],"MMMM")</f>
        <v>February</v>
      </c>
      <c r="Z290" s="5">
        <f>YEAR(Table1[[#This Row],[OrderDate]])</f>
        <v>2023</v>
      </c>
    </row>
    <row r="291" spans="1:26" x14ac:dyDescent="0.3">
      <c r="A291" s="1" t="s">
        <v>1235</v>
      </c>
      <c r="B291" t="s">
        <v>589</v>
      </c>
      <c r="C291" s="3">
        <v>28</v>
      </c>
      <c r="D291" s="1" t="s">
        <v>51</v>
      </c>
      <c r="E291" s="1" t="s">
        <v>25</v>
      </c>
      <c r="F291" s="1" t="s">
        <v>53</v>
      </c>
      <c r="G291" s="4">
        <v>45610</v>
      </c>
      <c r="H291" s="4">
        <v>45618</v>
      </c>
      <c r="I291" s="1" t="s">
        <v>43</v>
      </c>
      <c r="J291" s="1" t="s">
        <v>30</v>
      </c>
      <c r="K291" s="3">
        <v>2</v>
      </c>
      <c r="L291" s="2">
        <v>76624</v>
      </c>
      <c r="M291" s="3">
        <v>10</v>
      </c>
      <c r="N291" s="1" t="s">
        <v>56</v>
      </c>
      <c r="O291" s="1" t="s">
        <v>133</v>
      </c>
      <c r="P291" s="1" t="s">
        <v>58</v>
      </c>
      <c r="Q291" s="1" t="s">
        <v>591</v>
      </c>
      <c r="R291" s="1" t="s">
        <v>1236</v>
      </c>
      <c r="S291" s="3">
        <v>5</v>
      </c>
      <c r="T291" s="1" t="s">
        <v>61</v>
      </c>
      <c r="U291" s="3">
        <v>205</v>
      </c>
      <c r="V291" s="1" t="s">
        <v>62</v>
      </c>
      <c r="W291" s="5">
        <f>Table1[[#This Row],[Quantity]]*Table1[[#This Row],[Price]]*(1-Table1[[#This Row],[Discount %]]/100)</f>
        <v>137923.20000000001</v>
      </c>
      <c r="X291">
        <f>Table1[[#This Row],[DeliveryDate]]-Table1[[#This Row],[OrderDate]]</f>
        <v>8</v>
      </c>
      <c r="Y291" t="str">
        <f>TEXT(Table1[[#This Row],[OrderDate]],"MMMM")</f>
        <v>November</v>
      </c>
      <c r="Z291" s="5">
        <f>YEAR(Table1[[#This Row],[OrderDate]])</f>
        <v>2024</v>
      </c>
    </row>
    <row r="292" spans="1:26" x14ac:dyDescent="0.3">
      <c r="A292" s="1" t="s">
        <v>1237</v>
      </c>
      <c r="B292" t="s">
        <v>333</v>
      </c>
      <c r="C292" s="3">
        <v>37</v>
      </c>
      <c r="D292" s="1" t="s">
        <v>24</v>
      </c>
      <c r="E292" s="1" t="s">
        <v>131</v>
      </c>
      <c r="F292" s="1" t="s">
        <v>82</v>
      </c>
      <c r="G292" s="4">
        <v>45017</v>
      </c>
      <c r="H292" s="4">
        <v>45023</v>
      </c>
      <c r="I292" s="1" t="s">
        <v>85</v>
      </c>
      <c r="J292" s="1" t="s">
        <v>44</v>
      </c>
      <c r="K292" s="3">
        <v>1</v>
      </c>
      <c r="L292" s="2">
        <v>19324</v>
      </c>
      <c r="M292" s="3">
        <v>5</v>
      </c>
      <c r="N292" s="1" t="s">
        <v>56</v>
      </c>
      <c r="O292" s="1" t="s">
        <v>32</v>
      </c>
      <c r="P292" s="1" t="s">
        <v>58</v>
      </c>
      <c r="Q292" s="1" t="s">
        <v>336</v>
      </c>
      <c r="R292" s="1" t="s">
        <v>1238</v>
      </c>
      <c r="S292" s="3">
        <v>3</v>
      </c>
      <c r="T292" s="1" t="s">
        <v>61</v>
      </c>
      <c r="U292" s="3">
        <v>85</v>
      </c>
      <c r="V292" s="1" t="s">
        <v>79</v>
      </c>
      <c r="W292" s="5">
        <f>Table1[[#This Row],[Quantity]]*Table1[[#This Row],[Price]]*(1-Table1[[#This Row],[Discount %]]/100)</f>
        <v>18357.8</v>
      </c>
      <c r="X292">
        <f>Table1[[#This Row],[DeliveryDate]]-Table1[[#This Row],[OrderDate]]</f>
        <v>6</v>
      </c>
      <c r="Y292" t="str">
        <f>TEXT(Table1[[#This Row],[OrderDate]],"MMMM")</f>
        <v>April</v>
      </c>
      <c r="Z292" s="5">
        <f>YEAR(Table1[[#This Row],[OrderDate]])</f>
        <v>2023</v>
      </c>
    </row>
    <row r="293" spans="1:26" x14ac:dyDescent="0.3">
      <c r="A293" s="1" t="s">
        <v>1239</v>
      </c>
      <c r="B293" t="s">
        <v>198</v>
      </c>
      <c r="C293" s="3">
        <v>26</v>
      </c>
      <c r="D293" s="1" t="s">
        <v>24</v>
      </c>
      <c r="E293" s="1" t="s">
        <v>229</v>
      </c>
      <c r="F293" s="1" t="s">
        <v>53</v>
      </c>
      <c r="G293" s="4">
        <v>45546</v>
      </c>
      <c r="H293" s="4">
        <v>45555</v>
      </c>
      <c r="I293" s="1" t="s">
        <v>43</v>
      </c>
      <c r="J293" s="1" t="s">
        <v>30</v>
      </c>
      <c r="K293" s="3">
        <v>3</v>
      </c>
      <c r="L293" s="2">
        <v>30814</v>
      </c>
      <c r="M293" s="3">
        <v>15</v>
      </c>
      <c r="N293" s="1" t="s">
        <v>45</v>
      </c>
      <c r="O293" s="1" t="s">
        <v>173</v>
      </c>
      <c r="P293" s="1" t="s">
        <v>174</v>
      </c>
      <c r="Q293" s="1" t="s">
        <v>201</v>
      </c>
      <c r="R293" s="1" t="s">
        <v>1242</v>
      </c>
      <c r="S293" s="3">
        <v>3</v>
      </c>
      <c r="T293" s="1" t="s">
        <v>72</v>
      </c>
      <c r="U293" s="3">
        <v>200</v>
      </c>
      <c r="V293" s="1" t="s">
        <v>37</v>
      </c>
      <c r="W293" s="5">
        <f>Table1[[#This Row],[Quantity]]*Table1[[#This Row],[Price]]*(1-Table1[[#This Row],[Discount %]]/100)</f>
        <v>78575.7</v>
      </c>
      <c r="X293">
        <f>Table1[[#This Row],[DeliveryDate]]-Table1[[#This Row],[OrderDate]]</f>
        <v>9</v>
      </c>
      <c r="Y293" t="str">
        <f>TEXT(Table1[[#This Row],[OrderDate]],"MMMM")</f>
        <v>September</v>
      </c>
      <c r="Z293" s="5">
        <f>YEAR(Table1[[#This Row],[OrderDate]])</f>
        <v>2024</v>
      </c>
    </row>
    <row r="294" spans="1:26" x14ac:dyDescent="0.3">
      <c r="A294" s="1" t="s">
        <v>1243</v>
      </c>
      <c r="B294" t="s">
        <v>39</v>
      </c>
      <c r="C294" s="3">
        <v>23</v>
      </c>
      <c r="D294" s="1" t="s">
        <v>51</v>
      </c>
      <c r="E294" s="1" t="s">
        <v>40</v>
      </c>
      <c r="F294" s="1" t="s">
        <v>65</v>
      </c>
      <c r="G294" s="4">
        <v>45383</v>
      </c>
      <c r="H294" s="4">
        <v>45388</v>
      </c>
      <c r="I294" s="1" t="s">
        <v>29</v>
      </c>
      <c r="J294" s="1" t="s">
        <v>30</v>
      </c>
      <c r="K294" s="3">
        <v>5</v>
      </c>
      <c r="L294" s="2">
        <v>33092</v>
      </c>
      <c r="M294" s="3">
        <v>0</v>
      </c>
      <c r="N294" s="1" t="s">
        <v>56</v>
      </c>
      <c r="O294" s="1" t="s">
        <v>68</v>
      </c>
      <c r="P294" s="1" t="s">
        <v>58</v>
      </c>
      <c r="Q294" s="1" t="s">
        <v>47</v>
      </c>
      <c r="R294" s="1" t="s">
        <v>1245</v>
      </c>
      <c r="S294" s="3">
        <v>5</v>
      </c>
      <c r="T294" s="1" t="s">
        <v>61</v>
      </c>
      <c r="U294" s="3">
        <v>497</v>
      </c>
      <c r="V294" s="1" t="s">
        <v>62</v>
      </c>
      <c r="W294" s="5">
        <f>Table1[[#This Row],[Quantity]]*Table1[[#This Row],[Price]]*(1-Table1[[#This Row],[Discount %]]/100)</f>
        <v>165460</v>
      </c>
      <c r="X294">
        <f>Table1[[#This Row],[DeliveryDate]]-Table1[[#This Row],[OrderDate]]</f>
        <v>5</v>
      </c>
      <c r="Y294" t="str">
        <f>TEXT(Table1[[#This Row],[OrderDate]],"MMMM")</f>
        <v>April</v>
      </c>
      <c r="Z294" s="5">
        <f>YEAR(Table1[[#This Row],[OrderDate]])</f>
        <v>2024</v>
      </c>
    </row>
    <row r="295" spans="1:26" x14ac:dyDescent="0.3">
      <c r="A295" s="1" t="s">
        <v>1246</v>
      </c>
      <c r="B295" t="s">
        <v>228</v>
      </c>
      <c r="C295" s="3">
        <v>53</v>
      </c>
      <c r="D295" s="1" t="s">
        <v>51</v>
      </c>
      <c r="E295" s="1" t="s">
        <v>131</v>
      </c>
      <c r="F295" s="1" t="s">
        <v>82</v>
      </c>
      <c r="G295" s="4">
        <v>45184</v>
      </c>
      <c r="H295" s="4">
        <v>45194</v>
      </c>
      <c r="I295" s="1" t="s">
        <v>77</v>
      </c>
      <c r="J295" s="1" t="s">
        <v>30</v>
      </c>
      <c r="K295" s="3">
        <v>1</v>
      </c>
      <c r="L295" s="2">
        <v>75794</v>
      </c>
      <c r="M295" s="3">
        <v>15</v>
      </c>
      <c r="N295" s="1" t="s">
        <v>31</v>
      </c>
      <c r="O295" s="1" t="s">
        <v>173</v>
      </c>
      <c r="P295" s="1" t="s">
        <v>174</v>
      </c>
      <c r="Q295" s="1" t="s">
        <v>3415</v>
      </c>
      <c r="R295" s="1" t="s">
        <v>1248</v>
      </c>
      <c r="S295" s="3">
        <v>2</v>
      </c>
      <c r="T295" s="1" t="s">
        <v>36</v>
      </c>
      <c r="U295" s="3">
        <v>117</v>
      </c>
      <c r="V295" s="1" t="s">
        <v>62</v>
      </c>
      <c r="W295" s="5">
        <f>Table1[[#This Row],[Quantity]]*Table1[[#This Row],[Price]]*(1-Table1[[#This Row],[Discount %]]/100)</f>
        <v>64424.9</v>
      </c>
      <c r="X295">
        <f>Table1[[#This Row],[DeliveryDate]]-Table1[[#This Row],[OrderDate]]</f>
        <v>10</v>
      </c>
      <c r="Y295" t="str">
        <f>TEXT(Table1[[#This Row],[OrderDate]],"MMMM")</f>
        <v>September</v>
      </c>
      <c r="Z295" s="5">
        <f>YEAR(Table1[[#This Row],[OrderDate]])</f>
        <v>2023</v>
      </c>
    </row>
    <row r="296" spans="1:26" x14ac:dyDescent="0.3">
      <c r="A296" s="1" t="s">
        <v>1249</v>
      </c>
      <c r="B296" t="s">
        <v>50</v>
      </c>
      <c r="C296" s="3">
        <v>38</v>
      </c>
      <c r="D296" s="1" t="s">
        <v>51</v>
      </c>
      <c r="E296" s="1" t="s">
        <v>52</v>
      </c>
      <c r="F296" s="1" t="s">
        <v>65</v>
      </c>
      <c r="G296" s="4">
        <v>45428</v>
      </c>
      <c r="H296" s="4">
        <v>45437</v>
      </c>
      <c r="I296" s="1" t="s">
        <v>29</v>
      </c>
      <c r="J296" s="1" t="s">
        <v>30</v>
      </c>
      <c r="K296" s="3">
        <v>3</v>
      </c>
      <c r="L296" s="2">
        <v>22152</v>
      </c>
      <c r="M296" s="3">
        <v>0</v>
      </c>
      <c r="N296" s="1" t="s">
        <v>31</v>
      </c>
      <c r="O296" s="1" t="s">
        <v>281</v>
      </c>
      <c r="P296" s="1" t="s">
        <v>69</v>
      </c>
      <c r="Q296" s="1" t="s">
        <v>3415</v>
      </c>
      <c r="R296" s="1" t="s">
        <v>1251</v>
      </c>
      <c r="S296" s="3">
        <v>3</v>
      </c>
      <c r="T296" s="1" t="s">
        <v>61</v>
      </c>
      <c r="U296" s="3">
        <v>269</v>
      </c>
      <c r="V296" s="1" t="s">
        <v>37</v>
      </c>
      <c r="W296" s="5">
        <f>Table1[[#This Row],[Quantity]]*Table1[[#This Row],[Price]]*(1-Table1[[#This Row],[Discount %]]/100)</f>
        <v>66456</v>
      </c>
      <c r="X296">
        <f>Table1[[#This Row],[DeliveryDate]]-Table1[[#This Row],[OrderDate]]</f>
        <v>9</v>
      </c>
      <c r="Y296" t="str">
        <f>TEXT(Table1[[#This Row],[OrderDate]],"MMMM")</f>
        <v>May</v>
      </c>
      <c r="Z296" s="5">
        <f>YEAR(Table1[[#This Row],[OrderDate]])</f>
        <v>2024</v>
      </c>
    </row>
    <row r="297" spans="1:26" x14ac:dyDescent="0.3">
      <c r="A297" s="1" t="s">
        <v>1252</v>
      </c>
      <c r="B297" t="s">
        <v>50</v>
      </c>
      <c r="C297" s="3">
        <v>18</v>
      </c>
      <c r="D297" s="1" t="s">
        <v>51</v>
      </c>
      <c r="E297" s="1" t="s">
        <v>99</v>
      </c>
      <c r="F297" s="1" t="s">
        <v>91</v>
      </c>
      <c r="G297" s="4">
        <v>45003</v>
      </c>
      <c r="H297" s="4">
        <v>45009</v>
      </c>
      <c r="I297" s="1" t="s">
        <v>85</v>
      </c>
      <c r="J297" s="1" t="s">
        <v>30</v>
      </c>
      <c r="K297" s="3">
        <v>4</v>
      </c>
      <c r="L297" s="2">
        <v>14620</v>
      </c>
      <c r="M297" s="3">
        <v>0</v>
      </c>
      <c r="N297" s="1" t="s">
        <v>166</v>
      </c>
      <c r="O297" s="1" t="s">
        <v>68</v>
      </c>
      <c r="P297" s="1" t="s">
        <v>58</v>
      </c>
      <c r="Q297" s="1" t="s">
        <v>59</v>
      </c>
      <c r="R297" s="1" t="s">
        <v>1254</v>
      </c>
      <c r="S297" s="3">
        <v>2</v>
      </c>
      <c r="T297" s="1" t="s">
        <v>36</v>
      </c>
      <c r="U297" s="3">
        <v>336</v>
      </c>
      <c r="V297" s="1" t="s">
        <v>79</v>
      </c>
      <c r="W297" s="5">
        <f>Table1[[#This Row],[Quantity]]*Table1[[#This Row],[Price]]*(1-Table1[[#This Row],[Discount %]]/100)</f>
        <v>58480</v>
      </c>
      <c r="X297">
        <f>Table1[[#This Row],[DeliveryDate]]-Table1[[#This Row],[OrderDate]]</f>
        <v>6</v>
      </c>
      <c r="Y297" t="str">
        <f>TEXT(Table1[[#This Row],[OrderDate]],"MMMM")</f>
        <v>March</v>
      </c>
      <c r="Z297" s="5">
        <f>YEAR(Table1[[#This Row],[OrderDate]])</f>
        <v>2023</v>
      </c>
    </row>
    <row r="298" spans="1:26" x14ac:dyDescent="0.3">
      <c r="A298" s="1" t="s">
        <v>1255</v>
      </c>
      <c r="B298" t="s">
        <v>954</v>
      </c>
      <c r="C298" s="3">
        <v>23</v>
      </c>
      <c r="D298" s="1" t="s">
        <v>51</v>
      </c>
      <c r="E298" s="1" t="s">
        <v>142</v>
      </c>
      <c r="F298" s="1" t="s">
        <v>26</v>
      </c>
      <c r="G298" s="4">
        <v>45112</v>
      </c>
      <c r="H298" s="4">
        <v>45120</v>
      </c>
      <c r="I298" s="1" t="s">
        <v>43</v>
      </c>
      <c r="J298" s="1" t="s">
        <v>44</v>
      </c>
      <c r="K298" s="3">
        <v>4</v>
      </c>
      <c r="L298" s="2">
        <v>19078</v>
      </c>
      <c r="M298" s="3">
        <v>10</v>
      </c>
      <c r="N298" s="1" t="s">
        <v>166</v>
      </c>
      <c r="O298" s="1" t="s">
        <v>57</v>
      </c>
      <c r="P298" s="1" t="s">
        <v>58</v>
      </c>
      <c r="Q298" s="1" t="s">
        <v>3415</v>
      </c>
      <c r="R298" s="1" t="s">
        <v>1257</v>
      </c>
      <c r="S298" s="3">
        <v>5</v>
      </c>
      <c r="T298" s="1" t="s">
        <v>61</v>
      </c>
      <c r="U298" s="3">
        <v>297</v>
      </c>
      <c r="V298" s="1" t="s">
        <v>79</v>
      </c>
      <c r="W298" s="5">
        <f>Table1[[#This Row],[Quantity]]*Table1[[#This Row],[Price]]*(1-Table1[[#This Row],[Discount %]]/100)</f>
        <v>68680.800000000003</v>
      </c>
      <c r="X298">
        <f>Table1[[#This Row],[DeliveryDate]]-Table1[[#This Row],[OrderDate]]</f>
        <v>8</v>
      </c>
      <c r="Y298" t="str">
        <f>TEXT(Table1[[#This Row],[OrderDate]],"MMMM")</f>
        <v>July</v>
      </c>
      <c r="Z298" s="5">
        <f>YEAR(Table1[[#This Row],[OrderDate]])</f>
        <v>2023</v>
      </c>
    </row>
    <row r="299" spans="1:26" x14ac:dyDescent="0.3">
      <c r="A299" s="1" t="s">
        <v>1258</v>
      </c>
      <c r="B299" t="s">
        <v>125</v>
      </c>
      <c r="C299" s="3">
        <v>52</v>
      </c>
      <c r="D299" s="1" t="s">
        <v>24</v>
      </c>
      <c r="E299" s="1" t="s">
        <v>131</v>
      </c>
      <c r="F299" s="1" t="s">
        <v>26</v>
      </c>
      <c r="G299" s="4">
        <v>45164</v>
      </c>
      <c r="H299" s="4">
        <v>45170</v>
      </c>
      <c r="I299" s="1" t="s">
        <v>43</v>
      </c>
      <c r="J299" s="1" t="s">
        <v>30</v>
      </c>
      <c r="K299" s="3">
        <v>2</v>
      </c>
      <c r="L299" s="2">
        <v>28839</v>
      </c>
      <c r="M299" s="3">
        <v>15</v>
      </c>
      <c r="N299" s="1" t="s">
        <v>56</v>
      </c>
      <c r="O299" s="1" t="s">
        <v>173</v>
      </c>
      <c r="P299" s="1" t="s">
        <v>33</v>
      </c>
      <c r="Q299" s="1" t="s">
        <v>756</v>
      </c>
      <c r="R299" s="1" t="s">
        <v>1261</v>
      </c>
      <c r="S299" s="3">
        <v>4</v>
      </c>
      <c r="T299" s="1" t="s">
        <v>72</v>
      </c>
      <c r="U299" s="3">
        <v>426</v>
      </c>
      <c r="V299" s="1" t="s">
        <v>79</v>
      </c>
      <c r="W299" s="5">
        <f>Table1[[#This Row],[Quantity]]*Table1[[#This Row],[Price]]*(1-Table1[[#This Row],[Discount %]]/100)</f>
        <v>49026.299999999996</v>
      </c>
      <c r="X299">
        <f>Table1[[#This Row],[DeliveryDate]]-Table1[[#This Row],[OrderDate]]</f>
        <v>6</v>
      </c>
      <c r="Y299" t="str">
        <f>TEXT(Table1[[#This Row],[OrderDate]],"MMMM")</f>
        <v>August</v>
      </c>
      <c r="Z299" s="5">
        <f>YEAR(Table1[[#This Row],[OrderDate]])</f>
        <v>2023</v>
      </c>
    </row>
    <row r="300" spans="1:26" x14ac:dyDescent="0.3">
      <c r="A300" s="1" t="s">
        <v>1262</v>
      </c>
      <c r="B300" t="s">
        <v>729</v>
      </c>
      <c r="C300" s="3">
        <v>18</v>
      </c>
      <c r="D300" s="1" t="s">
        <v>51</v>
      </c>
      <c r="E300" s="1" t="s">
        <v>52</v>
      </c>
      <c r="F300" s="1" t="s">
        <v>53</v>
      </c>
      <c r="G300" s="4">
        <v>44943</v>
      </c>
      <c r="H300" s="4">
        <v>44951</v>
      </c>
      <c r="I300" s="1" t="s">
        <v>29</v>
      </c>
      <c r="J300" s="1" t="s">
        <v>44</v>
      </c>
      <c r="K300" s="3">
        <v>1</v>
      </c>
      <c r="L300" s="2">
        <v>24887</v>
      </c>
      <c r="M300" s="3">
        <v>10</v>
      </c>
      <c r="N300" s="1" t="s">
        <v>166</v>
      </c>
      <c r="O300" s="1" t="s">
        <v>173</v>
      </c>
      <c r="P300" s="1" t="s">
        <v>33</v>
      </c>
      <c r="Q300" s="1" t="s">
        <v>732</v>
      </c>
      <c r="R300" s="1" t="s">
        <v>1265</v>
      </c>
      <c r="S300" s="3">
        <v>3</v>
      </c>
      <c r="T300" s="1" t="s">
        <v>36</v>
      </c>
      <c r="U300" s="3">
        <v>152</v>
      </c>
      <c r="V300" s="1" t="s">
        <v>62</v>
      </c>
      <c r="W300" s="5">
        <f>Table1[[#This Row],[Quantity]]*Table1[[#This Row],[Price]]*(1-Table1[[#This Row],[Discount %]]/100)</f>
        <v>22398.3</v>
      </c>
      <c r="X300">
        <f>Table1[[#This Row],[DeliveryDate]]-Table1[[#This Row],[OrderDate]]</f>
        <v>8</v>
      </c>
      <c r="Y300" t="str">
        <f>TEXT(Table1[[#This Row],[OrderDate]],"MMMM")</f>
        <v>January</v>
      </c>
      <c r="Z300" s="5">
        <f>YEAR(Table1[[#This Row],[OrderDate]])</f>
        <v>2023</v>
      </c>
    </row>
    <row r="301" spans="1:26" x14ac:dyDescent="0.3">
      <c r="A301" s="1" t="s">
        <v>1266</v>
      </c>
      <c r="B301" t="s">
        <v>361</v>
      </c>
      <c r="C301" s="3">
        <v>21</v>
      </c>
      <c r="D301" s="1" t="s">
        <v>51</v>
      </c>
      <c r="E301" s="1" t="s">
        <v>131</v>
      </c>
      <c r="F301" s="1" t="s">
        <v>53</v>
      </c>
      <c r="G301" s="4">
        <v>45442</v>
      </c>
      <c r="H301" s="4">
        <v>45447</v>
      </c>
      <c r="I301" s="1" t="s">
        <v>43</v>
      </c>
      <c r="J301" s="1" t="s">
        <v>30</v>
      </c>
      <c r="K301" s="3">
        <v>1</v>
      </c>
      <c r="L301" s="2">
        <v>55254</v>
      </c>
      <c r="M301" s="3">
        <v>5</v>
      </c>
      <c r="N301" s="1" t="s">
        <v>31</v>
      </c>
      <c r="O301" s="1" t="s">
        <v>68</v>
      </c>
      <c r="P301" s="1" t="s">
        <v>69</v>
      </c>
      <c r="Q301" s="1" t="s">
        <v>3415</v>
      </c>
      <c r="R301" s="1" t="s">
        <v>1268</v>
      </c>
      <c r="S301" s="3">
        <v>4</v>
      </c>
      <c r="T301" s="1" t="s">
        <v>72</v>
      </c>
      <c r="U301" s="3">
        <v>83</v>
      </c>
      <c r="V301" s="1" t="s">
        <v>37</v>
      </c>
      <c r="W301" s="5">
        <f>Table1[[#This Row],[Quantity]]*Table1[[#This Row],[Price]]*(1-Table1[[#This Row],[Discount %]]/100)</f>
        <v>52491.299999999996</v>
      </c>
      <c r="X301">
        <f>Table1[[#This Row],[DeliveryDate]]-Table1[[#This Row],[OrderDate]]</f>
        <v>5</v>
      </c>
      <c r="Y301" t="str">
        <f>TEXT(Table1[[#This Row],[OrderDate]],"MMMM")</f>
        <v>May</v>
      </c>
      <c r="Z301" s="5">
        <f>YEAR(Table1[[#This Row],[OrderDate]])</f>
        <v>2024</v>
      </c>
    </row>
    <row r="302" spans="1:26" x14ac:dyDescent="0.3">
      <c r="A302" s="1" t="s">
        <v>1269</v>
      </c>
      <c r="B302" t="s">
        <v>209</v>
      </c>
      <c r="C302" s="3">
        <v>20</v>
      </c>
      <c r="D302" s="1" t="s">
        <v>24</v>
      </c>
      <c r="E302" s="1" t="s">
        <v>40</v>
      </c>
      <c r="F302" s="1" t="s">
        <v>91</v>
      </c>
      <c r="G302" s="4">
        <v>45180</v>
      </c>
      <c r="H302" s="4">
        <v>45187</v>
      </c>
      <c r="I302" s="1" t="s">
        <v>43</v>
      </c>
      <c r="J302" s="1" t="s">
        <v>30</v>
      </c>
      <c r="K302" s="3">
        <v>5</v>
      </c>
      <c r="L302" s="2">
        <v>65494</v>
      </c>
      <c r="M302" s="3">
        <v>5</v>
      </c>
      <c r="N302" s="1" t="s">
        <v>31</v>
      </c>
      <c r="O302" s="1" t="s">
        <v>46</v>
      </c>
      <c r="P302" s="1" t="s">
        <v>58</v>
      </c>
      <c r="Q302" s="1" t="s">
        <v>1001</v>
      </c>
      <c r="R302" s="1" t="s">
        <v>1272</v>
      </c>
      <c r="S302" s="3">
        <v>3</v>
      </c>
      <c r="T302" s="1" t="s">
        <v>36</v>
      </c>
      <c r="U302" s="3">
        <v>104</v>
      </c>
      <c r="V302" s="1" t="s">
        <v>37</v>
      </c>
      <c r="W302" s="5">
        <f>Table1[[#This Row],[Quantity]]*Table1[[#This Row],[Price]]*(1-Table1[[#This Row],[Discount %]]/100)</f>
        <v>311096.5</v>
      </c>
      <c r="X302">
        <f>Table1[[#This Row],[DeliveryDate]]-Table1[[#This Row],[OrderDate]]</f>
        <v>7</v>
      </c>
      <c r="Y302" t="str">
        <f>TEXT(Table1[[#This Row],[OrderDate]],"MMMM")</f>
        <v>September</v>
      </c>
      <c r="Z302" s="5">
        <f>YEAR(Table1[[#This Row],[OrderDate]])</f>
        <v>2023</v>
      </c>
    </row>
    <row r="303" spans="1:26" x14ac:dyDescent="0.3">
      <c r="A303" s="1" t="s">
        <v>1273</v>
      </c>
      <c r="B303" t="s">
        <v>527</v>
      </c>
      <c r="C303" s="3">
        <v>56</v>
      </c>
      <c r="D303" s="1" t="s">
        <v>51</v>
      </c>
      <c r="E303" s="1" t="s">
        <v>229</v>
      </c>
      <c r="F303" s="1" t="s">
        <v>91</v>
      </c>
      <c r="G303" s="4">
        <v>45336</v>
      </c>
      <c r="H303" s="4">
        <v>45339</v>
      </c>
      <c r="I303" s="1" t="s">
        <v>77</v>
      </c>
      <c r="J303" s="1" t="s">
        <v>30</v>
      </c>
      <c r="K303" s="3">
        <v>4</v>
      </c>
      <c r="L303" s="2">
        <v>47703</v>
      </c>
      <c r="M303" s="3">
        <v>10</v>
      </c>
      <c r="N303" s="1" t="s">
        <v>56</v>
      </c>
      <c r="O303" s="1" t="s">
        <v>109</v>
      </c>
      <c r="P303" s="1" t="s">
        <v>69</v>
      </c>
      <c r="Q303" s="1" t="s">
        <v>3415</v>
      </c>
      <c r="R303" s="1" t="s">
        <v>1275</v>
      </c>
      <c r="S303" s="3">
        <v>1</v>
      </c>
      <c r="T303" s="1" t="s">
        <v>61</v>
      </c>
      <c r="U303" s="3">
        <v>469</v>
      </c>
      <c r="V303" s="1" t="s">
        <v>37</v>
      </c>
      <c r="W303" s="5">
        <f>Table1[[#This Row],[Quantity]]*Table1[[#This Row],[Price]]*(1-Table1[[#This Row],[Discount %]]/100)</f>
        <v>171730.80000000002</v>
      </c>
      <c r="X303">
        <f>Table1[[#This Row],[DeliveryDate]]-Table1[[#This Row],[OrderDate]]</f>
        <v>3</v>
      </c>
      <c r="Y303" t="str">
        <f>TEXT(Table1[[#This Row],[OrderDate]],"MMMM")</f>
        <v>February</v>
      </c>
      <c r="Z303" s="5">
        <f>YEAR(Table1[[#This Row],[OrderDate]])</f>
        <v>2024</v>
      </c>
    </row>
    <row r="304" spans="1:26" x14ac:dyDescent="0.3">
      <c r="A304" s="1" t="s">
        <v>1276</v>
      </c>
      <c r="B304" t="s">
        <v>411</v>
      </c>
      <c r="C304" s="3">
        <v>26</v>
      </c>
      <c r="D304" s="1" t="s">
        <v>24</v>
      </c>
      <c r="E304" s="1" t="s">
        <v>131</v>
      </c>
      <c r="F304" s="1" t="s">
        <v>91</v>
      </c>
      <c r="G304" s="4">
        <v>45507</v>
      </c>
      <c r="H304" s="4">
        <v>45517</v>
      </c>
      <c r="I304" s="1" t="s">
        <v>29</v>
      </c>
      <c r="J304" s="1" t="s">
        <v>44</v>
      </c>
      <c r="K304" s="3">
        <v>2</v>
      </c>
      <c r="L304" s="2">
        <v>42109.716287215415</v>
      </c>
      <c r="M304" s="3">
        <v>0</v>
      </c>
      <c r="N304" s="1" t="s">
        <v>45</v>
      </c>
      <c r="O304" s="1" t="s">
        <v>57</v>
      </c>
      <c r="P304" s="1" t="s">
        <v>33</v>
      </c>
      <c r="Q304" s="1" t="s">
        <v>414</v>
      </c>
      <c r="R304" s="1" t="s">
        <v>1277</v>
      </c>
      <c r="S304" s="3">
        <v>3</v>
      </c>
      <c r="T304" s="1" t="s">
        <v>61</v>
      </c>
      <c r="U304" s="3">
        <v>415</v>
      </c>
      <c r="V304" s="1" t="s">
        <v>37</v>
      </c>
      <c r="W304" s="5">
        <f>Table1[[#This Row],[Quantity]]*Table1[[#This Row],[Price]]*(1-Table1[[#This Row],[Discount %]]/100)</f>
        <v>84219.43257443083</v>
      </c>
      <c r="X304">
        <f>Table1[[#This Row],[DeliveryDate]]-Table1[[#This Row],[OrderDate]]</f>
        <v>10</v>
      </c>
      <c r="Y304" t="str">
        <f>TEXT(Table1[[#This Row],[OrderDate]],"MMMM")</f>
        <v>August</v>
      </c>
      <c r="Z304" s="5">
        <f>YEAR(Table1[[#This Row],[OrderDate]])</f>
        <v>2024</v>
      </c>
    </row>
    <row r="305" spans="1:26" x14ac:dyDescent="0.3">
      <c r="A305" s="1" t="s">
        <v>1278</v>
      </c>
      <c r="B305" t="s">
        <v>303</v>
      </c>
      <c r="C305" s="3">
        <v>27</v>
      </c>
      <c r="D305" s="1" t="s">
        <v>24</v>
      </c>
      <c r="E305" s="1" t="s">
        <v>99</v>
      </c>
      <c r="F305" s="1" t="s">
        <v>91</v>
      </c>
      <c r="G305" s="4">
        <v>45491</v>
      </c>
      <c r="H305" s="4">
        <v>45492</v>
      </c>
      <c r="I305" s="1" t="s">
        <v>108</v>
      </c>
      <c r="J305" s="1" t="s">
        <v>30</v>
      </c>
      <c r="K305" s="3">
        <v>5</v>
      </c>
      <c r="L305" s="2">
        <v>70542</v>
      </c>
      <c r="M305" s="3">
        <v>5</v>
      </c>
      <c r="N305" s="1" t="s">
        <v>166</v>
      </c>
      <c r="O305" s="1" t="s">
        <v>86</v>
      </c>
      <c r="P305" s="1" t="s">
        <v>174</v>
      </c>
      <c r="Q305" s="1" t="s">
        <v>3415</v>
      </c>
      <c r="R305" s="1" t="s">
        <v>1279</v>
      </c>
      <c r="S305" s="3">
        <v>3</v>
      </c>
      <c r="T305" s="1" t="s">
        <v>72</v>
      </c>
      <c r="U305" s="3">
        <v>268</v>
      </c>
      <c r="V305" s="1" t="s">
        <v>79</v>
      </c>
      <c r="W305" s="5">
        <f>Table1[[#This Row],[Quantity]]*Table1[[#This Row],[Price]]*(1-Table1[[#This Row],[Discount %]]/100)</f>
        <v>335074.5</v>
      </c>
      <c r="X305">
        <f>Table1[[#This Row],[DeliveryDate]]-Table1[[#This Row],[OrderDate]]</f>
        <v>1</v>
      </c>
      <c r="Y305" t="str">
        <f>TEXT(Table1[[#This Row],[OrderDate]],"MMMM")</f>
        <v>July</v>
      </c>
      <c r="Z305" s="5">
        <f>YEAR(Table1[[#This Row],[OrderDate]])</f>
        <v>2024</v>
      </c>
    </row>
    <row r="306" spans="1:26" x14ac:dyDescent="0.3">
      <c r="A306" s="1" t="s">
        <v>1280</v>
      </c>
      <c r="B306" t="s">
        <v>547</v>
      </c>
      <c r="C306" s="3">
        <v>18</v>
      </c>
      <c r="D306" s="1" t="s">
        <v>51</v>
      </c>
      <c r="E306" s="1" t="s">
        <v>229</v>
      </c>
      <c r="F306" s="1" t="s">
        <v>82</v>
      </c>
      <c r="G306" s="4">
        <v>45502</v>
      </c>
      <c r="H306" s="4">
        <v>45512</v>
      </c>
      <c r="I306" s="1" t="s">
        <v>77</v>
      </c>
      <c r="J306" s="1" t="s">
        <v>30</v>
      </c>
      <c r="K306" s="3">
        <v>1</v>
      </c>
      <c r="L306" s="2">
        <v>17378</v>
      </c>
      <c r="M306" s="3">
        <v>15</v>
      </c>
      <c r="N306" s="1" t="s">
        <v>56</v>
      </c>
      <c r="O306" s="1" t="s">
        <v>46</v>
      </c>
      <c r="P306" s="1" t="s">
        <v>174</v>
      </c>
      <c r="Q306" s="1" t="s">
        <v>549</v>
      </c>
      <c r="R306" s="1" t="s">
        <v>1282</v>
      </c>
      <c r="S306" s="3">
        <v>2</v>
      </c>
      <c r="T306" s="1" t="s">
        <v>96</v>
      </c>
      <c r="U306" s="3">
        <v>192</v>
      </c>
      <c r="V306" s="1" t="s">
        <v>62</v>
      </c>
      <c r="W306" s="5">
        <f>Table1[[#This Row],[Quantity]]*Table1[[#This Row],[Price]]*(1-Table1[[#This Row],[Discount %]]/100)</f>
        <v>14771.3</v>
      </c>
      <c r="X306">
        <f>Table1[[#This Row],[DeliveryDate]]-Table1[[#This Row],[OrderDate]]</f>
        <v>10</v>
      </c>
      <c r="Y306" t="str">
        <f>TEXT(Table1[[#This Row],[OrderDate]],"MMMM")</f>
        <v>July</v>
      </c>
      <c r="Z306" s="5">
        <f>YEAR(Table1[[#This Row],[OrderDate]])</f>
        <v>2024</v>
      </c>
    </row>
    <row r="307" spans="1:26" x14ac:dyDescent="0.3">
      <c r="A307" s="1" t="s">
        <v>1283</v>
      </c>
      <c r="B307" t="s">
        <v>222</v>
      </c>
      <c r="C307" s="3">
        <v>32</v>
      </c>
      <c r="D307" s="1" t="s">
        <v>51</v>
      </c>
      <c r="E307" s="1" t="s">
        <v>26</v>
      </c>
      <c r="F307" s="1" t="s">
        <v>65</v>
      </c>
      <c r="G307" s="4">
        <v>45178</v>
      </c>
      <c r="H307" s="4">
        <v>45186</v>
      </c>
      <c r="I307" s="1" t="s">
        <v>29</v>
      </c>
      <c r="J307" s="1" t="s">
        <v>44</v>
      </c>
      <c r="K307" s="3">
        <v>2.9447852760736195</v>
      </c>
      <c r="L307" s="2">
        <v>37584</v>
      </c>
      <c r="M307" s="3">
        <v>10</v>
      </c>
      <c r="N307" s="1" t="s">
        <v>45</v>
      </c>
      <c r="O307" s="1" t="s">
        <v>109</v>
      </c>
      <c r="P307" s="1" t="s">
        <v>69</v>
      </c>
      <c r="Q307" s="1" t="s">
        <v>3415</v>
      </c>
      <c r="R307" s="1" t="s">
        <v>1285</v>
      </c>
      <c r="S307" s="3">
        <v>4</v>
      </c>
      <c r="T307" s="1" t="s">
        <v>96</v>
      </c>
      <c r="U307" s="3">
        <v>282</v>
      </c>
      <c r="V307" s="1" t="s">
        <v>79</v>
      </c>
      <c r="W307" s="5">
        <f>Table1[[#This Row],[Quantity]]*Table1[[#This Row],[Price]]*(1-Table1[[#This Row],[Discount %]]/100)</f>
        <v>99609.128834355826</v>
      </c>
      <c r="X307">
        <f>Table1[[#This Row],[DeliveryDate]]-Table1[[#This Row],[OrderDate]]</f>
        <v>8</v>
      </c>
      <c r="Y307" t="str">
        <f>TEXT(Table1[[#This Row],[OrderDate]],"MMMM")</f>
        <v>September</v>
      </c>
      <c r="Z307" s="5">
        <f>YEAR(Table1[[#This Row],[OrderDate]])</f>
        <v>2023</v>
      </c>
    </row>
    <row r="308" spans="1:26" x14ac:dyDescent="0.3">
      <c r="A308" s="1" t="s">
        <v>1286</v>
      </c>
      <c r="B308" t="s">
        <v>193</v>
      </c>
      <c r="C308" s="3">
        <v>54</v>
      </c>
      <c r="D308" s="1" t="s">
        <v>24</v>
      </c>
      <c r="E308" s="1" t="s">
        <v>142</v>
      </c>
      <c r="F308" s="1" t="s">
        <v>91</v>
      </c>
      <c r="G308" s="4">
        <v>45181</v>
      </c>
      <c r="H308" s="4">
        <v>45190</v>
      </c>
      <c r="I308" s="1" t="s">
        <v>93</v>
      </c>
      <c r="J308" s="1" t="s">
        <v>44</v>
      </c>
      <c r="K308" s="3">
        <v>2</v>
      </c>
      <c r="L308" s="2">
        <v>5395</v>
      </c>
      <c r="M308" s="3">
        <v>5</v>
      </c>
      <c r="N308" s="1" t="s">
        <v>166</v>
      </c>
      <c r="O308" s="1" t="s">
        <v>133</v>
      </c>
      <c r="P308" s="1" t="s">
        <v>69</v>
      </c>
      <c r="Q308" s="1" t="s">
        <v>195</v>
      </c>
      <c r="R308" s="1" t="s">
        <v>1289</v>
      </c>
      <c r="S308" s="3">
        <v>5</v>
      </c>
      <c r="T308" s="1" t="s">
        <v>72</v>
      </c>
      <c r="U308" s="3">
        <v>297</v>
      </c>
      <c r="V308" s="1" t="s">
        <v>79</v>
      </c>
      <c r="W308" s="5">
        <f>Table1[[#This Row],[Quantity]]*Table1[[#This Row],[Price]]*(1-Table1[[#This Row],[Discount %]]/100)</f>
        <v>10250.5</v>
      </c>
      <c r="X308">
        <f>Table1[[#This Row],[DeliveryDate]]-Table1[[#This Row],[OrderDate]]</f>
        <v>9</v>
      </c>
      <c r="Y308" t="str">
        <f>TEXT(Table1[[#This Row],[OrderDate]],"MMMM")</f>
        <v>September</v>
      </c>
      <c r="Z308" s="5">
        <f>YEAR(Table1[[#This Row],[OrderDate]])</f>
        <v>2023</v>
      </c>
    </row>
    <row r="309" spans="1:26" x14ac:dyDescent="0.3">
      <c r="A309" s="1" t="s">
        <v>1290</v>
      </c>
      <c r="B309" t="s">
        <v>650</v>
      </c>
      <c r="C309" s="3">
        <v>23</v>
      </c>
      <c r="D309" s="1" t="s">
        <v>51</v>
      </c>
      <c r="E309" s="1" t="s">
        <v>142</v>
      </c>
      <c r="F309" s="1" t="s">
        <v>26</v>
      </c>
      <c r="G309" s="4">
        <v>45154</v>
      </c>
      <c r="H309" s="4">
        <v>45161</v>
      </c>
      <c r="I309" s="1" t="s">
        <v>29</v>
      </c>
      <c r="J309" s="1" t="s">
        <v>44</v>
      </c>
      <c r="K309" s="3">
        <v>4</v>
      </c>
      <c r="L309" s="2">
        <v>48872</v>
      </c>
      <c r="M309" s="3">
        <v>5</v>
      </c>
      <c r="N309" s="1" t="s">
        <v>31</v>
      </c>
      <c r="O309" s="1" t="s">
        <v>109</v>
      </c>
      <c r="P309" s="1" t="s">
        <v>69</v>
      </c>
      <c r="Q309" s="1" t="s">
        <v>653</v>
      </c>
      <c r="R309" s="1" t="s">
        <v>3415</v>
      </c>
      <c r="S309" s="3">
        <v>5</v>
      </c>
      <c r="T309" s="1" t="s">
        <v>72</v>
      </c>
      <c r="U309" s="3">
        <v>336</v>
      </c>
      <c r="V309" s="1" t="s">
        <v>37</v>
      </c>
      <c r="W309" s="5">
        <f>Table1[[#This Row],[Quantity]]*Table1[[#This Row],[Price]]*(1-Table1[[#This Row],[Discount %]]/100)</f>
        <v>185713.6</v>
      </c>
      <c r="X309">
        <f>Table1[[#This Row],[DeliveryDate]]-Table1[[#This Row],[OrderDate]]</f>
        <v>7</v>
      </c>
      <c r="Y309" t="str">
        <f>TEXT(Table1[[#This Row],[OrderDate]],"MMMM")</f>
        <v>August</v>
      </c>
      <c r="Z309" s="5">
        <f>YEAR(Table1[[#This Row],[OrderDate]])</f>
        <v>2023</v>
      </c>
    </row>
    <row r="310" spans="1:26" x14ac:dyDescent="0.3">
      <c r="A310" s="1" t="s">
        <v>1293</v>
      </c>
      <c r="B310" t="s">
        <v>570</v>
      </c>
      <c r="C310" s="3">
        <v>48</v>
      </c>
      <c r="D310" s="1" t="s">
        <v>24</v>
      </c>
      <c r="E310" s="1" t="s">
        <v>52</v>
      </c>
      <c r="F310" s="1" t="s">
        <v>53</v>
      </c>
      <c r="G310" s="4">
        <v>44962</v>
      </c>
      <c r="H310" s="4">
        <v>44964</v>
      </c>
      <c r="I310" s="1" t="s">
        <v>93</v>
      </c>
      <c r="J310" s="1" t="s">
        <v>30</v>
      </c>
      <c r="K310" s="3">
        <v>2</v>
      </c>
      <c r="L310" s="2">
        <v>64740</v>
      </c>
      <c r="M310" s="3">
        <v>5</v>
      </c>
      <c r="N310" s="1" t="s">
        <v>166</v>
      </c>
      <c r="O310" s="1" t="s">
        <v>102</v>
      </c>
      <c r="P310" s="1" t="s">
        <v>33</v>
      </c>
      <c r="Q310" s="1" t="s">
        <v>573</v>
      </c>
      <c r="R310" s="1" t="s">
        <v>1295</v>
      </c>
      <c r="S310" s="3">
        <v>4</v>
      </c>
      <c r="T310" s="1" t="s">
        <v>61</v>
      </c>
      <c r="U310" s="3">
        <v>264</v>
      </c>
      <c r="V310" s="1" t="s">
        <v>37</v>
      </c>
      <c r="W310" s="5">
        <f>Table1[[#This Row],[Quantity]]*Table1[[#This Row],[Price]]*(1-Table1[[#This Row],[Discount %]]/100)</f>
        <v>123006</v>
      </c>
      <c r="X310">
        <f>Table1[[#This Row],[DeliveryDate]]-Table1[[#This Row],[OrderDate]]</f>
        <v>2</v>
      </c>
      <c r="Y310" t="str">
        <f>TEXT(Table1[[#This Row],[OrderDate]],"MMMM")</f>
        <v>February</v>
      </c>
      <c r="Z310" s="5">
        <f>YEAR(Table1[[#This Row],[OrderDate]])</f>
        <v>2023</v>
      </c>
    </row>
    <row r="311" spans="1:26" x14ac:dyDescent="0.3">
      <c r="A311" s="1" t="s">
        <v>1296</v>
      </c>
      <c r="B311" t="s">
        <v>397</v>
      </c>
      <c r="C311" s="3">
        <v>41</v>
      </c>
      <c r="D311" s="1" t="s">
        <v>51</v>
      </c>
      <c r="E311" s="1" t="s">
        <v>99</v>
      </c>
      <c r="F311" s="1" t="s">
        <v>91</v>
      </c>
      <c r="G311" s="4">
        <v>45545</v>
      </c>
      <c r="H311" s="4">
        <v>45546</v>
      </c>
      <c r="I311" s="1" t="s">
        <v>93</v>
      </c>
      <c r="J311" s="1" t="s">
        <v>30</v>
      </c>
      <c r="K311" s="3">
        <v>4</v>
      </c>
      <c r="L311" s="2">
        <v>30443</v>
      </c>
      <c r="M311" s="3">
        <v>15</v>
      </c>
      <c r="N311" s="1" t="s">
        <v>56</v>
      </c>
      <c r="O311" s="1" t="s">
        <v>102</v>
      </c>
      <c r="P311" s="1" t="s">
        <v>33</v>
      </c>
      <c r="Q311" s="1" t="s">
        <v>3415</v>
      </c>
      <c r="R311" s="1" t="s">
        <v>3415</v>
      </c>
      <c r="S311" s="3">
        <v>1</v>
      </c>
      <c r="T311" s="1" t="s">
        <v>36</v>
      </c>
      <c r="U311" s="3">
        <v>480</v>
      </c>
      <c r="V311" s="1" t="s">
        <v>79</v>
      </c>
      <c r="W311" s="5">
        <f>Table1[[#This Row],[Quantity]]*Table1[[#This Row],[Price]]*(1-Table1[[#This Row],[Discount %]]/100)</f>
        <v>103506.2</v>
      </c>
      <c r="X311">
        <f>Table1[[#This Row],[DeliveryDate]]-Table1[[#This Row],[OrderDate]]</f>
        <v>1</v>
      </c>
      <c r="Y311" t="str">
        <f>TEXT(Table1[[#This Row],[OrderDate]],"MMMM")</f>
        <v>September</v>
      </c>
      <c r="Z311" s="5">
        <f>YEAR(Table1[[#This Row],[OrderDate]])</f>
        <v>2024</v>
      </c>
    </row>
    <row r="312" spans="1:26" x14ac:dyDescent="0.3">
      <c r="A312" s="1" t="s">
        <v>1297</v>
      </c>
      <c r="B312" t="s">
        <v>457</v>
      </c>
      <c r="C312" s="3">
        <v>25</v>
      </c>
      <c r="D312" s="1" t="s">
        <v>51</v>
      </c>
      <c r="E312" s="1" t="s">
        <v>40</v>
      </c>
      <c r="F312" s="1" t="s">
        <v>53</v>
      </c>
      <c r="G312" s="4">
        <v>45059</v>
      </c>
      <c r="H312" s="4">
        <v>45069</v>
      </c>
      <c r="I312" s="1" t="s">
        <v>108</v>
      </c>
      <c r="J312" s="1" t="s">
        <v>30</v>
      </c>
      <c r="K312" s="3">
        <v>2</v>
      </c>
      <c r="L312" s="2">
        <v>47706</v>
      </c>
      <c r="M312" s="3">
        <v>5</v>
      </c>
      <c r="N312" s="1" t="s">
        <v>56</v>
      </c>
      <c r="O312" s="1" t="s">
        <v>281</v>
      </c>
      <c r="P312" s="1" t="s">
        <v>33</v>
      </c>
      <c r="Q312" s="1" t="s">
        <v>595</v>
      </c>
      <c r="R312" s="1" t="s">
        <v>1298</v>
      </c>
      <c r="S312" s="3">
        <v>3</v>
      </c>
      <c r="T312" s="1" t="s">
        <v>61</v>
      </c>
      <c r="U312" s="3">
        <v>51</v>
      </c>
      <c r="V312" s="1" t="s">
        <v>37</v>
      </c>
      <c r="W312" s="5">
        <f>Table1[[#This Row],[Quantity]]*Table1[[#This Row],[Price]]*(1-Table1[[#This Row],[Discount %]]/100)</f>
        <v>90641.4</v>
      </c>
      <c r="X312">
        <f>Table1[[#This Row],[DeliveryDate]]-Table1[[#This Row],[OrderDate]]</f>
        <v>10</v>
      </c>
      <c r="Y312" t="str">
        <f>TEXT(Table1[[#This Row],[OrderDate]],"MMMM")</f>
        <v>May</v>
      </c>
      <c r="Z312" s="5">
        <f>YEAR(Table1[[#This Row],[OrderDate]])</f>
        <v>2023</v>
      </c>
    </row>
    <row r="313" spans="1:26" x14ac:dyDescent="0.3">
      <c r="A313" s="1" t="s">
        <v>1299</v>
      </c>
      <c r="B313" t="s">
        <v>50</v>
      </c>
      <c r="C313" s="3">
        <v>20</v>
      </c>
      <c r="D313" s="1" t="s">
        <v>24</v>
      </c>
      <c r="E313" s="1" t="s">
        <v>142</v>
      </c>
      <c r="F313" s="1" t="s">
        <v>91</v>
      </c>
      <c r="G313" s="4">
        <v>45140</v>
      </c>
      <c r="H313" s="4">
        <v>45150</v>
      </c>
      <c r="I313" s="1" t="s">
        <v>29</v>
      </c>
      <c r="J313" s="1" t="s">
        <v>44</v>
      </c>
      <c r="K313" s="3">
        <v>3</v>
      </c>
      <c r="L313" s="2">
        <v>12570</v>
      </c>
      <c r="M313" s="3">
        <v>10</v>
      </c>
      <c r="N313" s="1" t="s">
        <v>56</v>
      </c>
      <c r="O313" s="1" t="s">
        <v>46</v>
      </c>
      <c r="P313" s="1" t="s">
        <v>174</v>
      </c>
      <c r="Q313" s="1" t="s">
        <v>59</v>
      </c>
      <c r="R313" s="1" t="s">
        <v>1300</v>
      </c>
      <c r="S313" s="3">
        <v>3</v>
      </c>
      <c r="T313" s="1" t="s">
        <v>72</v>
      </c>
      <c r="U313" s="3">
        <v>426</v>
      </c>
      <c r="V313" s="1" t="s">
        <v>37</v>
      </c>
      <c r="W313" s="5">
        <f>Table1[[#This Row],[Quantity]]*Table1[[#This Row],[Price]]*(1-Table1[[#This Row],[Discount %]]/100)</f>
        <v>33939</v>
      </c>
      <c r="X313">
        <f>Table1[[#This Row],[DeliveryDate]]-Table1[[#This Row],[OrderDate]]</f>
        <v>10</v>
      </c>
      <c r="Y313" t="str">
        <f>TEXT(Table1[[#This Row],[OrderDate]],"MMMM")</f>
        <v>August</v>
      </c>
      <c r="Z313" s="5">
        <f>YEAR(Table1[[#This Row],[OrderDate]])</f>
        <v>2023</v>
      </c>
    </row>
    <row r="314" spans="1:26" x14ac:dyDescent="0.3">
      <c r="A314" s="1" t="s">
        <v>1301</v>
      </c>
      <c r="B314" t="s">
        <v>527</v>
      </c>
      <c r="C314" s="3">
        <v>50</v>
      </c>
      <c r="D314" s="1" t="s">
        <v>51</v>
      </c>
      <c r="E314" s="1" t="s">
        <v>52</v>
      </c>
      <c r="F314" s="1" t="s">
        <v>91</v>
      </c>
      <c r="G314" s="4">
        <v>45418</v>
      </c>
      <c r="H314" s="4">
        <v>45422</v>
      </c>
      <c r="I314" s="1" t="s">
        <v>43</v>
      </c>
      <c r="J314" s="1" t="s">
        <v>30</v>
      </c>
      <c r="K314" s="3">
        <v>3</v>
      </c>
      <c r="L314" s="2">
        <v>13201</v>
      </c>
      <c r="M314" s="3">
        <v>0</v>
      </c>
      <c r="N314" s="1" t="s">
        <v>31</v>
      </c>
      <c r="O314" s="1" t="s">
        <v>57</v>
      </c>
      <c r="P314" s="1" t="s">
        <v>33</v>
      </c>
      <c r="Q314" s="1" t="s">
        <v>530</v>
      </c>
      <c r="R314" s="1" t="s">
        <v>1303</v>
      </c>
      <c r="S314" s="3">
        <v>3</v>
      </c>
      <c r="T314" s="1" t="s">
        <v>61</v>
      </c>
      <c r="U314" s="3">
        <v>485</v>
      </c>
      <c r="V314" s="1" t="s">
        <v>62</v>
      </c>
      <c r="W314" s="5">
        <f>Table1[[#This Row],[Quantity]]*Table1[[#This Row],[Price]]*(1-Table1[[#This Row],[Discount %]]/100)</f>
        <v>39603</v>
      </c>
      <c r="X314">
        <f>Table1[[#This Row],[DeliveryDate]]-Table1[[#This Row],[OrderDate]]</f>
        <v>4</v>
      </c>
      <c r="Y314" t="str">
        <f>TEXT(Table1[[#This Row],[OrderDate]],"MMMM")</f>
        <v>May</v>
      </c>
      <c r="Z314" s="5">
        <f>YEAR(Table1[[#This Row],[OrderDate]])</f>
        <v>2024</v>
      </c>
    </row>
    <row r="315" spans="1:26" x14ac:dyDescent="0.3">
      <c r="A315" s="1" t="s">
        <v>1304</v>
      </c>
      <c r="B315" t="s">
        <v>216</v>
      </c>
      <c r="C315" s="3">
        <v>49</v>
      </c>
      <c r="D315" s="1" t="s">
        <v>51</v>
      </c>
      <c r="E315" s="1" t="s">
        <v>99</v>
      </c>
      <c r="F315" s="1" t="s">
        <v>65</v>
      </c>
      <c r="G315" s="4">
        <v>45490</v>
      </c>
      <c r="H315" s="4">
        <v>45497</v>
      </c>
      <c r="I315" s="1" t="s">
        <v>108</v>
      </c>
      <c r="J315" s="1" t="s">
        <v>30</v>
      </c>
      <c r="K315" s="3">
        <v>4</v>
      </c>
      <c r="L315" s="2">
        <v>10193</v>
      </c>
      <c r="M315" s="3">
        <v>15</v>
      </c>
      <c r="N315" s="1" t="s">
        <v>166</v>
      </c>
      <c r="O315" s="1" t="s">
        <v>46</v>
      </c>
      <c r="P315" s="1" t="s">
        <v>58</v>
      </c>
      <c r="Q315" s="1" t="s">
        <v>219</v>
      </c>
      <c r="R315" s="1" t="s">
        <v>3415</v>
      </c>
      <c r="S315" s="3">
        <v>4</v>
      </c>
      <c r="T315" s="1" t="s">
        <v>61</v>
      </c>
      <c r="U315" s="3">
        <v>410</v>
      </c>
      <c r="V315" s="1" t="s">
        <v>37</v>
      </c>
      <c r="W315" s="5">
        <f>Table1[[#This Row],[Quantity]]*Table1[[#This Row],[Price]]*(1-Table1[[#This Row],[Discount %]]/100)</f>
        <v>34656.199999999997</v>
      </c>
      <c r="X315">
        <f>Table1[[#This Row],[DeliveryDate]]-Table1[[#This Row],[OrderDate]]</f>
        <v>7</v>
      </c>
      <c r="Y315" t="str">
        <f>TEXT(Table1[[#This Row],[OrderDate]],"MMMM")</f>
        <v>July</v>
      </c>
      <c r="Z315" s="5">
        <f>YEAR(Table1[[#This Row],[OrderDate]])</f>
        <v>2024</v>
      </c>
    </row>
    <row r="316" spans="1:26" x14ac:dyDescent="0.3">
      <c r="A316" s="1" t="s">
        <v>1305</v>
      </c>
      <c r="B316" t="s">
        <v>150</v>
      </c>
      <c r="C316" s="3">
        <v>52</v>
      </c>
      <c r="D316" s="1" t="s">
        <v>24</v>
      </c>
      <c r="E316" s="1" t="s">
        <v>99</v>
      </c>
      <c r="F316" s="1" t="s">
        <v>53</v>
      </c>
      <c r="G316" s="4">
        <v>45542</v>
      </c>
      <c r="H316" s="4">
        <v>45550</v>
      </c>
      <c r="I316" s="1" t="s">
        <v>77</v>
      </c>
      <c r="J316" s="1" t="s">
        <v>44</v>
      </c>
      <c r="K316" s="3">
        <v>4</v>
      </c>
      <c r="L316" s="2">
        <v>43513</v>
      </c>
      <c r="M316" s="3">
        <v>5</v>
      </c>
      <c r="N316" s="1" t="s">
        <v>166</v>
      </c>
      <c r="O316" s="1" t="s">
        <v>86</v>
      </c>
      <c r="P316" s="1" t="s">
        <v>174</v>
      </c>
      <c r="Q316" s="1" t="s">
        <v>153</v>
      </c>
      <c r="R316" s="1" t="s">
        <v>3415</v>
      </c>
      <c r="S316" s="3">
        <v>4</v>
      </c>
      <c r="T316" s="1" t="s">
        <v>72</v>
      </c>
      <c r="U316" s="3">
        <v>480</v>
      </c>
      <c r="V316" s="1" t="s">
        <v>62</v>
      </c>
      <c r="W316" s="5">
        <f>Table1[[#This Row],[Quantity]]*Table1[[#This Row],[Price]]*(1-Table1[[#This Row],[Discount %]]/100)</f>
        <v>165349.4</v>
      </c>
      <c r="X316">
        <f>Table1[[#This Row],[DeliveryDate]]-Table1[[#This Row],[OrderDate]]</f>
        <v>8</v>
      </c>
      <c r="Y316" t="str">
        <f>TEXT(Table1[[#This Row],[OrderDate]],"MMMM")</f>
        <v>September</v>
      </c>
      <c r="Z316" s="5">
        <f>YEAR(Table1[[#This Row],[OrderDate]])</f>
        <v>2024</v>
      </c>
    </row>
    <row r="317" spans="1:26" x14ac:dyDescent="0.3">
      <c r="A317" s="1" t="s">
        <v>1308</v>
      </c>
      <c r="B317" t="s">
        <v>1309</v>
      </c>
      <c r="C317" s="3">
        <v>47</v>
      </c>
      <c r="D317" s="1" t="s">
        <v>24</v>
      </c>
      <c r="E317" s="1" t="s">
        <v>52</v>
      </c>
      <c r="F317" s="1" t="s">
        <v>82</v>
      </c>
      <c r="G317" s="4">
        <v>45479</v>
      </c>
      <c r="H317" s="4">
        <v>45484</v>
      </c>
      <c r="I317" s="1" t="s">
        <v>43</v>
      </c>
      <c r="J317" s="1" t="s">
        <v>44</v>
      </c>
      <c r="K317" s="3">
        <v>5</v>
      </c>
      <c r="L317" s="2">
        <v>10978</v>
      </c>
      <c r="M317" s="3">
        <v>10</v>
      </c>
      <c r="N317" s="1" t="s">
        <v>31</v>
      </c>
      <c r="O317" s="1" t="s">
        <v>46</v>
      </c>
      <c r="P317" s="1" t="s">
        <v>58</v>
      </c>
      <c r="Q317" s="1" t="s">
        <v>1311</v>
      </c>
      <c r="R317" s="1" t="s">
        <v>1312</v>
      </c>
      <c r="S317" s="3">
        <v>5</v>
      </c>
      <c r="T317" s="1" t="s">
        <v>96</v>
      </c>
      <c r="U317" s="3">
        <v>83</v>
      </c>
      <c r="V317" s="1" t="s">
        <v>79</v>
      </c>
      <c r="W317" s="5">
        <f>Table1[[#This Row],[Quantity]]*Table1[[#This Row],[Price]]*(1-Table1[[#This Row],[Discount %]]/100)</f>
        <v>49401</v>
      </c>
      <c r="X317">
        <f>Table1[[#This Row],[DeliveryDate]]-Table1[[#This Row],[OrderDate]]</f>
        <v>5</v>
      </c>
      <c r="Y317" t="str">
        <f>TEXT(Table1[[#This Row],[OrderDate]],"MMMM")</f>
        <v>July</v>
      </c>
      <c r="Z317" s="5">
        <f>YEAR(Table1[[#This Row],[OrderDate]])</f>
        <v>2024</v>
      </c>
    </row>
    <row r="318" spans="1:26" x14ac:dyDescent="0.3">
      <c r="A318" s="1" t="s">
        <v>1313</v>
      </c>
      <c r="B318" t="s">
        <v>1309</v>
      </c>
      <c r="C318" s="3">
        <v>25</v>
      </c>
      <c r="D318" s="1" t="s">
        <v>24</v>
      </c>
      <c r="E318" s="1" t="s">
        <v>131</v>
      </c>
      <c r="F318" s="1" t="s">
        <v>91</v>
      </c>
      <c r="G318" s="4">
        <v>45434</v>
      </c>
      <c r="H318" s="4">
        <v>45438</v>
      </c>
      <c r="I318" s="1" t="s">
        <v>93</v>
      </c>
      <c r="J318" s="1" t="s">
        <v>30</v>
      </c>
      <c r="K318" s="3">
        <v>5</v>
      </c>
      <c r="L318" s="2">
        <v>56127</v>
      </c>
      <c r="M318" s="3">
        <v>5</v>
      </c>
      <c r="N318" s="1" t="s">
        <v>166</v>
      </c>
      <c r="O318" s="1" t="s">
        <v>281</v>
      </c>
      <c r="P318" s="1" t="s">
        <v>69</v>
      </c>
      <c r="Q318" s="1" t="s">
        <v>3415</v>
      </c>
      <c r="R318" s="1" t="s">
        <v>3415</v>
      </c>
      <c r="S318" s="3">
        <v>4</v>
      </c>
      <c r="T318" s="1" t="s">
        <v>96</v>
      </c>
      <c r="U318" s="3">
        <v>180</v>
      </c>
      <c r="V318" s="1" t="s">
        <v>79</v>
      </c>
      <c r="W318" s="5">
        <f>Table1[[#This Row],[Quantity]]*Table1[[#This Row],[Price]]*(1-Table1[[#This Row],[Discount %]]/100)</f>
        <v>266603.25</v>
      </c>
      <c r="X318">
        <f>Table1[[#This Row],[DeliveryDate]]-Table1[[#This Row],[OrderDate]]</f>
        <v>4</v>
      </c>
      <c r="Y318" t="str">
        <f>TEXT(Table1[[#This Row],[OrderDate]],"MMMM")</f>
        <v>May</v>
      </c>
      <c r="Z318" s="5">
        <f>YEAR(Table1[[#This Row],[OrderDate]])</f>
        <v>2024</v>
      </c>
    </row>
    <row r="319" spans="1:26" x14ac:dyDescent="0.3">
      <c r="A319" s="1" t="s">
        <v>1314</v>
      </c>
      <c r="B319" t="s">
        <v>228</v>
      </c>
      <c r="C319" s="3">
        <v>32</v>
      </c>
      <c r="D319" s="1" t="s">
        <v>24</v>
      </c>
      <c r="E319" s="1" t="s">
        <v>142</v>
      </c>
      <c r="F319" s="1" t="s">
        <v>65</v>
      </c>
      <c r="G319" s="4">
        <v>45263</v>
      </c>
      <c r="H319" s="4">
        <v>45270</v>
      </c>
      <c r="I319" s="1" t="s">
        <v>108</v>
      </c>
      <c r="J319" s="1" t="s">
        <v>30</v>
      </c>
      <c r="K319" s="3">
        <v>1</v>
      </c>
      <c r="L319" s="2">
        <v>65043</v>
      </c>
      <c r="M319" s="3">
        <v>10</v>
      </c>
      <c r="N319" s="1" t="s">
        <v>56</v>
      </c>
      <c r="O319" s="1" t="s">
        <v>46</v>
      </c>
      <c r="P319" s="1" t="s">
        <v>33</v>
      </c>
      <c r="Q319" s="1" t="s">
        <v>232</v>
      </c>
      <c r="R319" s="1" t="s">
        <v>1316</v>
      </c>
      <c r="S319" s="3">
        <v>1</v>
      </c>
      <c r="T319" s="1" t="s">
        <v>72</v>
      </c>
      <c r="U319" s="3">
        <v>64</v>
      </c>
      <c r="V319" s="1" t="s">
        <v>37</v>
      </c>
      <c r="W319" s="5">
        <f>Table1[[#This Row],[Quantity]]*Table1[[#This Row],[Price]]*(1-Table1[[#This Row],[Discount %]]/100)</f>
        <v>58538.700000000004</v>
      </c>
      <c r="X319">
        <f>Table1[[#This Row],[DeliveryDate]]-Table1[[#This Row],[OrderDate]]</f>
        <v>7</v>
      </c>
      <c r="Y319" t="str">
        <f>TEXT(Table1[[#This Row],[OrderDate]],"MMMM")</f>
        <v>December</v>
      </c>
      <c r="Z319" s="5">
        <f>YEAR(Table1[[#This Row],[OrderDate]])</f>
        <v>2023</v>
      </c>
    </row>
    <row r="320" spans="1:26" x14ac:dyDescent="0.3">
      <c r="A320" s="1" t="s">
        <v>1317</v>
      </c>
      <c r="B320" t="s">
        <v>650</v>
      </c>
      <c r="C320" s="3">
        <v>33</v>
      </c>
      <c r="D320" s="1" t="s">
        <v>51</v>
      </c>
      <c r="E320" s="1" t="s">
        <v>142</v>
      </c>
      <c r="F320" s="1" t="s">
        <v>65</v>
      </c>
      <c r="G320" s="4">
        <v>45059</v>
      </c>
      <c r="H320" s="4">
        <v>45064</v>
      </c>
      <c r="I320" s="1" t="s">
        <v>93</v>
      </c>
      <c r="J320" s="1" t="s">
        <v>44</v>
      </c>
      <c r="K320" s="3">
        <v>5</v>
      </c>
      <c r="L320" s="2">
        <v>54815</v>
      </c>
      <c r="M320" s="3">
        <v>0</v>
      </c>
      <c r="N320" s="1" t="s">
        <v>166</v>
      </c>
      <c r="O320" s="1" t="s">
        <v>109</v>
      </c>
      <c r="P320" s="1" t="s">
        <v>58</v>
      </c>
      <c r="Q320" s="1" t="s">
        <v>653</v>
      </c>
      <c r="R320" s="1" t="s">
        <v>1318</v>
      </c>
      <c r="S320" s="3">
        <v>5</v>
      </c>
      <c r="T320" s="1" t="s">
        <v>96</v>
      </c>
      <c r="U320" s="3">
        <v>183</v>
      </c>
      <c r="V320" s="1" t="s">
        <v>79</v>
      </c>
      <c r="W320" s="5">
        <f>Table1[[#This Row],[Quantity]]*Table1[[#This Row],[Price]]*(1-Table1[[#This Row],[Discount %]]/100)</f>
        <v>274075</v>
      </c>
      <c r="X320">
        <f>Table1[[#This Row],[DeliveryDate]]-Table1[[#This Row],[OrderDate]]</f>
        <v>5</v>
      </c>
      <c r="Y320" t="str">
        <f>TEXT(Table1[[#This Row],[OrderDate]],"MMMM")</f>
        <v>May</v>
      </c>
      <c r="Z320" s="5">
        <f>YEAR(Table1[[#This Row],[OrderDate]])</f>
        <v>2023</v>
      </c>
    </row>
    <row r="321" spans="1:26" x14ac:dyDescent="0.3">
      <c r="A321" s="1" t="s">
        <v>1319</v>
      </c>
      <c r="B321" t="s">
        <v>285</v>
      </c>
      <c r="C321" s="3">
        <v>43</v>
      </c>
      <c r="D321" s="1" t="s">
        <v>24</v>
      </c>
      <c r="E321" s="1" t="s">
        <v>40</v>
      </c>
      <c r="F321" s="1" t="s">
        <v>82</v>
      </c>
      <c r="G321" s="4">
        <v>45614</v>
      </c>
      <c r="H321" s="4">
        <v>45622</v>
      </c>
      <c r="I321" s="1" t="s">
        <v>85</v>
      </c>
      <c r="J321" s="1" t="s">
        <v>44</v>
      </c>
      <c r="K321" s="3">
        <v>1</v>
      </c>
      <c r="L321" s="2">
        <v>31382</v>
      </c>
      <c r="M321" s="3">
        <v>0</v>
      </c>
      <c r="N321" s="1" t="s">
        <v>31</v>
      </c>
      <c r="O321" s="1" t="s">
        <v>46</v>
      </c>
      <c r="P321" s="1" t="s">
        <v>58</v>
      </c>
      <c r="Q321" s="1" t="s">
        <v>300</v>
      </c>
      <c r="R321" s="1" t="s">
        <v>1322</v>
      </c>
      <c r="S321" s="3">
        <v>4</v>
      </c>
      <c r="T321" s="1" t="s">
        <v>61</v>
      </c>
      <c r="U321" s="3">
        <v>63</v>
      </c>
      <c r="V321" s="1" t="s">
        <v>37</v>
      </c>
      <c r="W321" s="5">
        <f>Table1[[#This Row],[Quantity]]*Table1[[#This Row],[Price]]*(1-Table1[[#This Row],[Discount %]]/100)</f>
        <v>31382</v>
      </c>
      <c r="X321">
        <f>Table1[[#This Row],[DeliveryDate]]-Table1[[#This Row],[OrderDate]]</f>
        <v>8</v>
      </c>
      <c r="Y321" t="str">
        <f>TEXT(Table1[[#This Row],[OrderDate]],"MMMM")</f>
        <v>November</v>
      </c>
      <c r="Z321" s="5">
        <f>YEAR(Table1[[#This Row],[OrderDate]])</f>
        <v>2024</v>
      </c>
    </row>
    <row r="322" spans="1:26" x14ac:dyDescent="0.3">
      <c r="A322" s="1" t="s">
        <v>1323</v>
      </c>
      <c r="B322" t="s">
        <v>840</v>
      </c>
      <c r="C322" s="3">
        <v>32</v>
      </c>
      <c r="D322" s="1" t="s">
        <v>51</v>
      </c>
      <c r="E322" s="1" t="s">
        <v>52</v>
      </c>
      <c r="F322" s="1" t="s">
        <v>65</v>
      </c>
      <c r="G322" s="4">
        <v>45224</v>
      </c>
      <c r="H322" s="4">
        <v>45228</v>
      </c>
      <c r="I322" s="1" t="s">
        <v>29</v>
      </c>
      <c r="J322" s="1" t="s">
        <v>30</v>
      </c>
      <c r="K322" s="3">
        <v>2</v>
      </c>
      <c r="L322" s="2">
        <v>71564</v>
      </c>
      <c r="M322" s="3">
        <v>5</v>
      </c>
      <c r="N322" s="1" t="s">
        <v>56</v>
      </c>
      <c r="O322" s="1" t="s">
        <v>32</v>
      </c>
      <c r="P322" s="1" t="s">
        <v>58</v>
      </c>
      <c r="Q322" s="1" t="s">
        <v>1147</v>
      </c>
      <c r="R322" s="1" t="s">
        <v>1327</v>
      </c>
      <c r="S322" s="3">
        <v>1</v>
      </c>
      <c r="T322" s="1" t="s">
        <v>72</v>
      </c>
      <c r="U322" s="3">
        <v>497</v>
      </c>
      <c r="V322" s="1" t="s">
        <v>37</v>
      </c>
      <c r="W322" s="5">
        <f>Table1[[#This Row],[Quantity]]*Table1[[#This Row],[Price]]*(1-Table1[[#This Row],[Discount %]]/100)</f>
        <v>135971.6</v>
      </c>
      <c r="X322">
        <f>Table1[[#This Row],[DeliveryDate]]-Table1[[#This Row],[OrderDate]]</f>
        <v>4</v>
      </c>
      <c r="Y322" t="str">
        <f>TEXT(Table1[[#This Row],[OrderDate]],"MMMM")</f>
        <v>October</v>
      </c>
      <c r="Z322" s="5">
        <f>YEAR(Table1[[#This Row],[OrderDate]])</f>
        <v>2023</v>
      </c>
    </row>
    <row r="323" spans="1:26" x14ac:dyDescent="0.3">
      <c r="A323" s="1" t="s">
        <v>1328</v>
      </c>
      <c r="B323" t="s">
        <v>645</v>
      </c>
      <c r="C323" s="3">
        <v>40</v>
      </c>
      <c r="D323" s="1" t="s">
        <v>24</v>
      </c>
      <c r="E323" s="1" t="s">
        <v>52</v>
      </c>
      <c r="F323" s="1" t="s">
        <v>65</v>
      </c>
      <c r="G323" s="4">
        <v>44965</v>
      </c>
      <c r="H323" s="4">
        <v>44974</v>
      </c>
      <c r="I323" s="1" t="s">
        <v>29</v>
      </c>
      <c r="J323" s="1" t="s">
        <v>44</v>
      </c>
      <c r="K323" s="3">
        <v>4</v>
      </c>
      <c r="L323" s="2">
        <v>79878</v>
      </c>
      <c r="M323" s="3">
        <v>15</v>
      </c>
      <c r="N323" s="1" t="s">
        <v>56</v>
      </c>
      <c r="O323" s="1" t="s">
        <v>102</v>
      </c>
      <c r="P323" s="1" t="s">
        <v>58</v>
      </c>
      <c r="Q323" s="1" t="s">
        <v>647</v>
      </c>
      <c r="R323" s="1" t="s">
        <v>1329</v>
      </c>
      <c r="S323" s="3">
        <v>2</v>
      </c>
      <c r="T323" s="1" t="s">
        <v>72</v>
      </c>
      <c r="U323" s="3">
        <v>50</v>
      </c>
      <c r="V323" s="1" t="s">
        <v>62</v>
      </c>
      <c r="W323" s="5">
        <f>Table1[[#This Row],[Quantity]]*Table1[[#This Row],[Price]]*(1-Table1[[#This Row],[Discount %]]/100)</f>
        <v>271585.2</v>
      </c>
      <c r="X323">
        <f>Table1[[#This Row],[DeliveryDate]]-Table1[[#This Row],[OrderDate]]</f>
        <v>9</v>
      </c>
      <c r="Y323" t="str">
        <f>TEXT(Table1[[#This Row],[OrderDate]],"MMMM")</f>
        <v>February</v>
      </c>
      <c r="Z323" s="5">
        <f>YEAR(Table1[[#This Row],[OrderDate]])</f>
        <v>2023</v>
      </c>
    </row>
    <row r="324" spans="1:26" x14ac:dyDescent="0.3">
      <c r="A324" s="1" t="s">
        <v>1330</v>
      </c>
      <c r="B324" t="s">
        <v>50</v>
      </c>
      <c r="C324" s="3">
        <v>50</v>
      </c>
      <c r="D324" s="1" t="s">
        <v>51</v>
      </c>
      <c r="E324" s="1" t="s">
        <v>25</v>
      </c>
      <c r="F324" s="1" t="s">
        <v>65</v>
      </c>
      <c r="G324" s="4">
        <v>45126</v>
      </c>
      <c r="H324" s="4">
        <v>45133</v>
      </c>
      <c r="I324" s="1" t="s">
        <v>43</v>
      </c>
      <c r="J324" s="1" t="s">
        <v>30</v>
      </c>
      <c r="K324" s="3">
        <v>3</v>
      </c>
      <c r="L324" s="2">
        <v>58329</v>
      </c>
      <c r="M324" s="3">
        <v>15</v>
      </c>
      <c r="N324" s="1" t="s">
        <v>31</v>
      </c>
      <c r="O324" s="1" t="s">
        <v>86</v>
      </c>
      <c r="P324" s="1" t="s">
        <v>69</v>
      </c>
      <c r="Q324" s="1" t="s">
        <v>3415</v>
      </c>
      <c r="R324" s="1" t="s">
        <v>1333</v>
      </c>
      <c r="S324" s="3">
        <v>1</v>
      </c>
      <c r="T324" s="1" t="s">
        <v>36</v>
      </c>
      <c r="U324" s="3">
        <v>208</v>
      </c>
      <c r="V324" s="1" t="s">
        <v>37</v>
      </c>
      <c r="W324" s="5">
        <f>Table1[[#This Row],[Quantity]]*Table1[[#This Row],[Price]]*(1-Table1[[#This Row],[Discount %]]/100)</f>
        <v>148738.94999999998</v>
      </c>
      <c r="X324">
        <f>Table1[[#This Row],[DeliveryDate]]-Table1[[#This Row],[OrderDate]]</f>
        <v>7</v>
      </c>
      <c r="Y324" t="str">
        <f>TEXT(Table1[[#This Row],[OrderDate]],"MMMM")</f>
        <v>July</v>
      </c>
      <c r="Z324" s="5">
        <f>YEAR(Table1[[#This Row],[OrderDate]])</f>
        <v>2023</v>
      </c>
    </row>
    <row r="325" spans="1:26" x14ac:dyDescent="0.3">
      <c r="A325" s="1" t="s">
        <v>1334</v>
      </c>
      <c r="B325" t="s">
        <v>457</v>
      </c>
      <c r="C325" s="3">
        <v>45</v>
      </c>
      <c r="D325" s="1" t="s">
        <v>51</v>
      </c>
      <c r="E325" s="1" t="s">
        <v>99</v>
      </c>
      <c r="F325" s="1" t="s">
        <v>26</v>
      </c>
      <c r="G325" s="4">
        <v>45339</v>
      </c>
      <c r="H325" s="4">
        <v>45343</v>
      </c>
      <c r="I325" s="1" t="s">
        <v>29</v>
      </c>
      <c r="J325" s="1" t="s">
        <v>44</v>
      </c>
      <c r="K325" s="3">
        <v>5</v>
      </c>
      <c r="L325" s="2">
        <v>59259</v>
      </c>
      <c r="M325" s="3">
        <v>0</v>
      </c>
      <c r="N325" s="1" t="s">
        <v>166</v>
      </c>
      <c r="O325" s="1" t="s">
        <v>133</v>
      </c>
      <c r="P325" s="1" t="s">
        <v>58</v>
      </c>
      <c r="Q325" s="1" t="s">
        <v>595</v>
      </c>
      <c r="R325" s="1" t="s">
        <v>1335</v>
      </c>
      <c r="S325" s="3">
        <v>3</v>
      </c>
      <c r="T325" s="1" t="s">
        <v>96</v>
      </c>
      <c r="U325" s="3">
        <v>146</v>
      </c>
      <c r="V325" s="1" t="s">
        <v>62</v>
      </c>
      <c r="W325" s="5">
        <f>Table1[[#This Row],[Quantity]]*Table1[[#This Row],[Price]]*(1-Table1[[#This Row],[Discount %]]/100)</f>
        <v>296295</v>
      </c>
      <c r="X325">
        <f>Table1[[#This Row],[DeliveryDate]]-Table1[[#This Row],[OrderDate]]</f>
        <v>4</v>
      </c>
      <c r="Y325" t="str">
        <f>TEXT(Table1[[#This Row],[OrderDate]],"MMMM")</f>
        <v>February</v>
      </c>
      <c r="Z325" s="5">
        <f>YEAR(Table1[[#This Row],[OrderDate]])</f>
        <v>2024</v>
      </c>
    </row>
    <row r="326" spans="1:26" x14ac:dyDescent="0.3">
      <c r="A326" s="1" t="s">
        <v>1336</v>
      </c>
      <c r="B326" t="s">
        <v>808</v>
      </c>
      <c r="C326" s="3">
        <v>48</v>
      </c>
      <c r="D326" s="1" t="s">
        <v>51</v>
      </c>
      <c r="E326" s="1" t="s">
        <v>131</v>
      </c>
      <c r="F326" s="1" t="s">
        <v>82</v>
      </c>
      <c r="G326" s="4">
        <v>45531</v>
      </c>
      <c r="H326" s="4">
        <v>45537</v>
      </c>
      <c r="I326" s="1" t="s">
        <v>29</v>
      </c>
      <c r="J326" s="1" t="s">
        <v>30</v>
      </c>
      <c r="K326" s="3">
        <v>4</v>
      </c>
      <c r="L326" s="2">
        <v>13486</v>
      </c>
      <c r="M326" s="3">
        <v>0</v>
      </c>
      <c r="N326" s="1" t="s">
        <v>31</v>
      </c>
      <c r="O326" s="1" t="s">
        <v>86</v>
      </c>
      <c r="P326" s="1" t="s">
        <v>69</v>
      </c>
      <c r="Q326" s="1" t="s">
        <v>191</v>
      </c>
      <c r="R326" s="1" t="s">
        <v>1338</v>
      </c>
      <c r="S326" s="3">
        <v>2</v>
      </c>
      <c r="T326" s="1" t="s">
        <v>36</v>
      </c>
      <c r="U326" s="3">
        <v>368</v>
      </c>
      <c r="V326" s="1" t="s">
        <v>62</v>
      </c>
      <c r="W326" s="5">
        <f>Table1[[#This Row],[Quantity]]*Table1[[#This Row],[Price]]*(1-Table1[[#This Row],[Discount %]]/100)</f>
        <v>53944</v>
      </c>
      <c r="X326">
        <f>Table1[[#This Row],[DeliveryDate]]-Table1[[#This Row],[OrderDate]]</f>
        <v>6</v>
      </c>
      <c r="Y326" t="str">
        <f>TEXT(Table1[[#This Row],[OrderDate]],"MMMM")</f>
        <v>August</v>
      </c>
      <c r="Z326" s="5">
        <f>YEAR(Table1[[#This Row],[OrderDate]])</f>
        <v>2024</v>
      </c>
    </row>
    <row r="327" spans="1:26" x14ac:dyDescent="0.3">
      <c r="A327" s="1" t="s">
        <v>1339</v>
      </c>
      <c r="B327" t="s">
        <v>1340</v>
      </c>
      <c r="C327" s="3">
        <v>58</v>
      </c>
      <c r="D327" s="1" t="s">
        <v>51</v>
      </c>
      <c r="E327" s="1" t="s">
        <v>229</v>
      </c>
      <c r="F327" s="1" t="s">
        <v>65</v>
      </c>
      <c r="G327" s="4">
        <v>45286</v>
      </c>
      <c r="H327" s="4">
        <v>45292</v>
      </c>
      <c r="I327" s="1" t="s">
        <v>29</v>
      </c>
      <c r="J327" s="1" t="s">
        <v>30</v>
      </c>
      <c r="K327" s="3">
        <v>4</v>
      </c>
      <c r="L327" s="2">
        <v>42109.716287215415</v>
      </c>
      <c r="M327" s="3">
        <v>15</v>
      </c>
      <c r="N327" s="1" t="s">
        <v>31</v>
      </c>
      <c r="O327" s="1" t="s">
        <v>57</v>
      </c>
      <c r="P327" s="1" t="s">
        <v>33</v>
      </c>
      <c r="Q327" s="1" t="s">
        <v>1342</v>
      </c>
      <c r="R327" s="1" t="s">
        <v>1343</v>
      </c>
      <c r="S327" s="3">
        <v>1</v>
      </c>
      <c r="T327" s="1" t="s">
        <v>36</v>
      </c>
      <c r="U327" s="3">
        <v>189</v>
      </c>
      <c r="V327" s="1" t="s">
        <v>37</v>
      </c>
      <c r="W327" s="5">
        <f>Table1[[#This Row],[Quantity]]*Table1[[#This Row],[Price]]*(1-Table1[[#This Row],[Discount %]]/100)</f>
        <v>143173.03537653241</v>
      </c>
      <c r="X327">
        <f>Table1[[#This Row],[DeliveryDate]]-Table1[[#This Row],[OrderDate]]</f>
        <v>6</v>
      </c>
      <c r="Y327" t="str">
        <f>TEXT(Table1[[#This Row],[OrderDate]],"MMMM")</f>
        <v>December</v>
      </c>
      <c r="Z327" s="5">
        <f>YEAR(Table1[[#This Row],[OrderDate]])</f>
        <v>2023</v>
      </c>
    </row>
    <row r="328" spans="1:26" x14ac:dyDescent="0.3">
      <c r="A328" s="1" t="s">
        <v>1344</v>
      </c>
      <c r="B328" t="s">
        <v>182</v>
      </c>
      <c r="C328" s="3">
        <v>31</v>
      </c>
      <c r="D328" s="1" t="s">
        <v>51</v>
      </c>
      <c r="E328" s="1" t="s">
        <v>131</v>
      </c>
      <c r="F328" s="1" t="s">
        <v>82</v>
      </c>
      <c r="G328" s="4">
        <v>45364</v>
      </c>
      <c r="H328" s="4">
        <v>45365</v>
      </c>
      <c r="I328" s="1" t="s">
        <v>77</v>
      </c>
      <c r="J328" s="1" t="s">
        <v>44</v>
      </c>
      <c r="K328" s="3">
        <v>3</v>
      </c>
      <c r="L328" s="2">
        <v>69797</v>
      </c>
      <c r="M328" s="3">
        <v>5</v>
      </c>
      <c r="N328" s="1" t="s">
        <v>166</v>
      </c>
      <c r="O328" s="1" t="s">
        <v>86</v>
      </c>
      <c r="P328" s="1" t="s">
        <v>174</v>
      </c>
      <c r="Q328" s="1" t="s">
        <v>186</v>
      </c>
      <c r="R328" s="1" t="s">
        <v>1346</v>
      </c>
      <c r="S328" s="3">
        <v>1</v>
      </c>
      <c r="T328" s="1" t="s">
        <v>96</v>
      </c>
      <c r="U328" s="3">
        <v>345</v>
      </c>
      <c r="V328" s="1" t="s">
        <v>79</v>
      </c>
      <c r="W328" s="5">
        <f>Table1[[#This Row],[Quantity]]*Table1[[#This Row],[Price]]*(1-Table1[[#This Row],[Discount %]]/100)</f>
        <v>198921.44999999998</v>
      </c>
      <c r="X328">
        <f>Table1[[#This Row],[DeliveryDate]]-Table1[[#This Row],[OrderDate]]</f>
        <v>1</v>
      </c>
      <c r="Y328" t="str">
        <f>TEXT(Table1[[#This Row],[OrderDate]],"MMMM")</f>
        <v>March</v>
      </c>
      <c r="Z328" s="5">
        <f>YEAR(Table1[[#This Row],[OrderDate]])</f>
        <v>2024</v>
      </c>
    </row>
    <row r="329" spans="1:26" x14ac:dyDescent="0.3">
      <c r="A329" s="1" t="s">
        <v>1347</v>
      </c>
      <c r="B329" t="s">
        <v>64</v>
      </c>
      <c r="C329" s="3">
        <v>30</v>
      </c>
      <c r="D329" s="1" t="s">
        <v>24</v>
      </c>
      <c r="E329" s="1" t="s">
        <v>142</v>
      </c>
      <c r="F329" s="1" t="s">
        <v>65</v>
      </c>
      <c r="G329" s="4">
        <v>45164</v>
      </c>
      <c r="H329" s="4">
        <v>45167</v>
      </c>
      <c r="I329" s="1" t="s">
        <v>43</v>
      </c>
      <c r="J329" s="1" t="s">
        <v>30</v>
      </c>
      <c r="K329" s="3">
        <v>1</v>
      </c>
      <c r="L329" s="2">
        <v>50647</v>
      </c>
      <c r="M329" s="3">
        <v>15</v>
      </c>
      <c r="N329" s="1" t="s">
        <v>45</v>
      </c>
      <c r="O329" s="1" t="s">
        <v>46</v>
      </c>
      <c r="P329" s="1" t="s">
        <v>174</v>
      </c>
      <c r="Q329" s="1" t="s">
        <v>70</v>
      </c>
      <c r="R329" s="1" t="s">
        <v>1348</v>
      </c>
      <c r="S329" s="3">
        <v>5</v>
      </c>
      <c r="T329" s="1" t="s">
        <v>36</v>
      </c>
      <c r="U329" s="3">
        <v>366</v>
      </c>
      <c r="V329" s="1" t="s">
        <v>79</v>
      </c>
      <c r="W329" s="5">
        <f>Table1[[#This Row],[Quantity]]*Table1[[#This Row],[Price]]*(1-Table1[[#This Row],[Discount %]]/100)</f>
        <v>43049.95</v>
      </c>
      <c r="X329">
        <f>Table1[[#This Row],[DeliveryDate]]-Table1[[#This Row],[OrderDate]]</f>
        <v>3</v>
      </c>
      <c r="Y329" t="str">
        <f>TEXT(Table1[[#This Row],[OrderDate]],"MMMM")</f>
        <v>August</v>
      </c>
      <c r="Z329" s="5">
        <f>YEAR(Table1[[#This Row],[OrderDate]])</f>
        <v>2023</v>
      </c>
    </row>
    <row r="330" spans="1:26" x14ac:dyDescent="0.3">
      <c r="A330" s="1" t="s">
        <v>1349</v>
      </c>
      <c r="B330" t="s">
        <v>98</v>
      </c>
      <c r="C330" s="3">
        <v>43</v>
      </c>
      <c r="D330" s="1" t="s">
        <v>51</v>
      </c>
      <c r="E330" s="1" t="s">
        <v>25</v>
      </c>
      <c r="F330" s="1" t="s">
        <v>53</v>
      </c>
      <c r="G330" s="4">
        <v>45544</v>
      </c>
      <c r="H330" s="4">
        <v>45547</v>
      </c>
      <c r="I330" s="1" t="s">
        <v>93</v>
      </c>
      <c r="J330" s="1" t="s">
        <v>44</v>
      </c>
      <c r="K330" s="3">
        <v>2</v>
      </c>
      <c r="L330" s="2">
        <v>12736</v>
      </c>
      <c r="M330" s="3">
        <v>0</v>
      </c>
      <c r="N330" s="1" t="s">
        <v>166</v>
      </c>
      <c r="O330" s="1" t="s">
        <v>109</v>
      </c>
      <c r="P330" s="1" t="s">
        <v>58</v>
      </c>
      <c r="Q330" s="1" t="s">
        <v>3415</v>
      </c>
      <c r="R330" s="1" t="s">
        <v>3415</v>
      </c>
      <c r="S330" s="3">
        <v>3</v>
      </c>
      <c r="T330" s="1" t="s">
        <v>36</v>
      </c>
      <c r="U330" s="3">
        <v>72</v>
      </c>
      <c r="V330" s="1" t="s">
        <v>37</v>
      </c>
      <c r="W330" s="5">
        <f>Table1[[#This Row],[Quantity]]*Table1[[#This Row],[Price]]*(1-Table1[[#This Row],[Discount %]]/100)</f>
        <v>25472</v>
      </c>
      <c r="X330">
        <f>Table1[[#This Row],[DeliveryDate]]-Table1[[#This Row],[OrderDate]]</f>
        <v>3</v>
      </c>
      <c r="Y330" t="str">
        <f>TEXT(Table1[[#This Row],[OrderDate]],"MMMM")</f>
        <v>September</v>
      </c>
      <c r="Z330" s="5">
        <f>YEAR(Table1[[#This Row],[OrderDate]])</f>
        <v>2024</v>
      </c>
    </row>
    <row r="331" spans="1:26" x14ac:dyDescent="0.3">
      <c r="A331" s="1" t="s">
        <v>1351</v>
      </c>
      <c r="B331" t="s">
        <v>327</v>
      </c>
      <c r="C331" s="3">
        <v>28</v>
      </c>
      <c r="D331" s="1" t="s">
        <v>51</v>
      </c>
      <c r="E331" s="1" t="s">
        <v>131</v>
      </c>
      <c r="F331" s="1" t="s">
        <v>91</v>
      </c>
      <c r="G331" s="4">
        <v>45146</v>
      </c>
      <c r="H331" s="4">
        <v>45155</v>
      </c>
      <c r="I331" s="1" t="s">
        <v>85</v>
      </c>
      <c r="J331" s="1" t="s">
        <v>30</v>
      </c>
      <c r="K331" s="3">
        <v>3</v>
      </c>
      <c r="L331" s="2">
        <v>63119</v>
      </c>
      <c r="M331" s="3">
        <v>5</v>
      </c>
      <c r="N331" s="1" t="s">
        <v>166</v>
      </c>
      <c r="O331" s="1" t="s">
        <v>68</v>
      </c>
      <c r="P331" s="1" t="s">
        <v>174</v>
      </c>
      <c r="Q331" s="1" t="s">
        <v>330</v>
      </c>
      <c r="R331" s="1" t="s">
        <v>1352</v>
      </c>
      <c r="S331" s="3">
        <v>4</v>
      </c>
      <c r="T331" s="1" t="s">
        <v>61</v>
      </c>
      <c r="U331" s="3">
        <v>75</v>
      </c>
      <c r="V331" s="1" t="s">
        <v>79</v>
      </c>
      <c r="W331" s="5">
        <f>Table1[[#This Row],[Quantity]]*Table1[[#This Row],[Price]]*(1-Table1[[#This Row],[Discount %]]/100)</f>
        <v>179889.15</v>
      </c>
      <c r="X331">
        <f>Table1[[#This Row],[DeliveryDate]]-Table1[[#This Row],[OrderDate]]</f>
        <v>9</v>
      </c>
      <c r="Y331" t="str">
        <f>TEXT(Table1[[#This Row],[OrderDate]],"MMMM")</f>
        <v>August</v>
      </c>
      <c r="Z331" s="5">
        <f>YEAR(Table1[[#This Row],[OrderDate]])</f>
        <v>2023</v>
      </c>
    </row>
    <row r="332" spans="1:26" x14ac:dyDescent="0.3">
      <c r="A332" s="1" t="s">
        <v>1353</v>
      </c>
      <c r="B332" t="s">
        <v>130</v>
      </c>
      <c r="C332" s="3">
        <v>57</v>
      </c>
      <c r="D332" s="1" t="s">
        <v>51</v>
      </c>
      <c r="E332" s="1" t="s">
        <v>142</v>
      </c>
      <c r="F332" s="1" t="s">
        <v>91</v>
      </c>
      <c r="G332" s="4">
        <v>45073</v>
      </c>
      <c r="H332" s="4">
        <v>45079</v>
      </c>
      <c r="I332" s="1" t="s">
        <v>93</v>
      </c>
      <c r="J332" s="1" t="s">
        <v>44</v>
      </c>
      <c r="K332" s="3">
        <v>4</v>
      </c>
      <c r="L332" s="2">
        <v>60556</v>
      </c>
      <c r="M332" s="3">
        <v>10</v>
      </c>
      <c r="N332" s="1" t="s">
        <v>56</v>
      </c>
      <c r="O332" s="1" t="s">
        <v>102</v>
      </c>
      <c r="P332" s="1" t="s">
        <v>58</v>
      </c>
      <c r="Q332" s="1" t="s">
        <v>1355</v>
      </c>
      <c r="R332" s="1" t="s">
        <v>1356</v>
      </c>
      <c r="S332" s="3">
        <v>2</v>
      </c>
      <c r="T332" s="1" t="s">
        <v>72</v>
      </c>
      <c r="U332" s="3">
        <v>401</v>
      </c>
      <c r="V332" s="1" t="s">
        <v>62</v>
      </c>
      <c r="W332" s="5">
        <f>Table1[[#This Row],[Quantity]]*Table1[[#This Row],[Price]]*(1-Table1[[#This Row],[Discount %]]/100)</f>
        <v>218001.6</v>
      </c>
      <c r="X332">
        <f>Table1[[#This Row],[DeliveryDate]]-Table1[[#This Row],[OrderDate]]</f>
        <v>6</v>
      </c>
      <c r="Y332" t="str">
        <f>TEXT(Table1[[#This Row],[OrderDate]],"MMMM")</f>
        <v>May</v>
      </c>
      <c r="Z332" s="5">
        <f>YEAR(Table1[[#This Row],[OrderDate]])</f>
        <v>2023</v>
      </c>
    </row>
    <row r="333" spans="1:26" x14ac:dyDescent="0.3">
      <c r="A333" s="1" t="s">
        <v>1357</v>
      </c>
      <c r="B333" t="s">
        <v>113</v>
      </c>
      <c r="C333" s="3">
        <v>21</v>
      </c>
      <c r="D333" s="1" t="s">
        <v>51</v>
      </c>
      <c r="E333" s="1" t="s">
        <v>142</v>
      </c>
      <c r="F333" s="1" t="s">
        <v>91</v>
      </c>
      <c r="G333" s="4">
        <v>45062</v>
      </c>
      <c r="H333" s="4">
        <v>45068</v>
      </c>
      <c r="I333" s="1" t="s">
        <v>43</v>
      </c>
      <c r="J333" s="1" t="s">
        <v>30</v>
      </c>
      <c r="K333" s="3">
        <v>5</v>
      </c>
      <c r="L333" s="2">
        <v>77266</v>
      </c>
      <c r="M333" s="3">
        <v>5</v>
      </c>
      <c r="N333" s="1" t="s">
        <v>166</v>
      </c>
      <c r="O333" s="1" t="s">
        <v>173</v>
      </c>
      <c r="P333" s="1" t="s">
        <v>174</v>
      </c>
      <c r="Q333" s="1" t="s">
        <v>116</v>
      </c>
      <c r="R333" s="1" t="s">
        <v>1359</v>
      </c>
      <c r="S333" s="3">
        <v>3</v>
      </c>
      <c r="T333" s="1" t="s">
        <v>61</v>
      </c>
      <c r="U333" s="3">
        <v>208</v>
      </c>
      <c r="V333" s="1" t="s">
        <v>62</v>
      </c>
      <c r="W333" s="5">
        <f>Table1[[#This Row],[Quantity]]*Table1[[#This Row],[Price]]*(1-Table1[[#This Row],[Discount %]]/100)</f>
        <v>367013.5</v>
      </c>
      <c r="X333">
        <f>Table1[[#This Row],[DeliveryDate]]-Table1[[#This Row],[OrderDate]]</f>
        <v>6</v>
      </c>
      <c r="Y333" t="str">
        <f>TEXT(Table1[[#This Row],[OrderDate]],"MMMM")</f>
        <v>May</v>
      </c>
      <c r="Z333" s="5">
        <f>YEAR(Table1[[#This Row],[OrderDate]])</f>
        <v>2023</v>
      </c>
    </row>
    <row r="334" spans="1:26" x14ac:dyDescent="0.3">
      <c r="A334" s="1" t="s">
        <v>1360</v>
      </c>
      <c r="B334" t="s">
        <v>457</v>
      </c>
      <c r="C334" s="3">
        <v>22</v>
      </c>
      <c r="D334" s="1" t="s">
        <v>51</v>
      </c>
      <c r="E334" s="1" t="s">
        <v>40</v>
      </c>
      <c r="F334" s="1" t="s">
        <v>53</v>
      </c>
      <c r="G334" s="4">
        <v>45237</v>
      </c>
      <c r="H334" s="4">
        <v>45238</v>
      </c>
      <c r="I334" s="1" t="s">
        <v>93</v>
      </c>
      <c r="J334" s="1" t="s">
        <v>30</v>
      </c>
      <c r="K334" s="3">
        <v>3</v>
      </c>
      <c r="L334" s="2">
        <v>62953</v>
      </c>
      <c r="M334" s="3">
        <v>10</v>
      </c>
      <c r="N334" s="1" t="s">
        <v>31</v>
      </c>
      <c r="O334" s="1" t="s">
        <v>109</v>
      </c>
      <c r="P334" s="1" t="s">
        <v>33</v>
      </c>
      <c r="Q334" s="1" t="s">
        <v>595</v>
      </c>
      <c r="R334" s="1" t="s">
        <v>3415</v>
      </c>
      <c r="S334" s="3">
        <v>4</v>
      </c>
      <c r="T334" s="1" t="s">
        <v>36</v>
      </c>
      <c r="U334" s="3">
        <v>260</v>
      </c>
      <c r="V334" s="1" t="s">
        <v>62</v>
      </c>
      <c r="W334" s="5">
        <f>Table1[[#This Row],[Quantity]]*Table1[[#This Row],[Price]]*(1-Table1[[#This Row],[Discount %]]/100)</f>
        <v>169973.1</v>
      </c>
      <c r="X334">
        <f>Table1[[#This Row],[DeliveryDate]]-Table1[[#This Row],[OrderDate]]</f>
        <v>1</v>
      </c>
      <c r="Y334" t="str">
        <f>TEXT(Table1[[#This Row],[OrderDate]],"MMMM")</f>
        <v>November</v>
      </c>
      <c r="Z334" s="5">
        <f>YEAR(Table1[[#This Row],[OrderDate]])</f>
        <v>2023</v>
      </c>
    </row>
    <row r="335" spans="1:26" x14ac:dyDescent="0.3">
      <c r="A335" s="1" t="s">
        <v>1364</v>
      </c>
      <c r="B335" t="s">
        <v>589</v>
      </c>
      <c r="C335" s="3">
        <v>29</v>
      </c>
      <c r="D335" s="1" t="s">
        <v>24</v>
      </c>
      <c r="E335" s="1" t="s">
        <v>26</v>
      </c>
      <c r="F335" s="1" t="s">
        <v>65</v>
      </c>
      <c r="G335" s="4">
        <v>45012</v>
      </c>
      <c r="H335" s="4">
        <v>45013</v>
      </c>
      <c r="I335" s="1" t="s">
        <v>43</v>
      </c>
      <c r="J335" s="1" t="s">
        <v>44</v>
      </c>
      <c r="K335" s="3">
        <v>2.9447852760736195</v>
      </c>
      <c r="L335" s="2">
        <v>46000</v>
      </c>
      <c r="M335" s="3">
        <v>5</v>
      </c>
      <c r="N335" s="1" t="s">
        <v>45</v>
      </c>
      <c r="O335" s="1" t="s">
        <v>102</v>
      </c>
      <c r="P335" s="1" t="s">
        <v>174</v>
      </c>
      <c r="Q335" s="1" t="s">
        <v>591</v>
      </c>
      <c r="R335" s="1" t="s">
        <v>1366</v>
      </c>
      <c r="S335" s="3">
        <v>4</v>
      </c>
      <c r="T335" s="1" t="s">
        <v>36</v>
      </c>
      <c r="U335" s="3">
        <v>344</v>
      </c>
      <c r="V335" s="1" t="s">
        <v>79</v>
      </c>
      <c r="W335" s="5">
        <f>Table1[[#This Row],[Quantity]]*Table1[[#This Row],[Price]]*(1-Table1[[#This Row],[Discount %]]/100)</f>
        <v>128687.11656441717</v>
      </c>
      <c r="X335">
        <f>Table1[[#This Row],[DeliveryDate]]-Table1[[#This Row],[OrderDate]]</f>
        <v>1</v>
      </c>
      <c r="Y335" t="str">
        <f>TEXT(Table1[[#This Row],[OrderDate]],"MMMM")</f>
        <v>March</v>
      </c>
      <c r="Z335" s="5">
        <f>YEAR(Table1[[#This Row],[OrderDate]])</f>
        <v>2023</v>
      </c>
    </row>
    <row r="336" spans="1:26" x14ac:dyDescent="0.3">
      <c r="A336" s="1" t="s">
        <v>1367</v>
      </c>
      <c r="B336" t="s">
        <v>90</v>
      </c>
      <c r="C336" s="3">
        <v>45</v>
      </c>
      <c r="D336" s="1" t="s">
        <v>51</v>
      </c>
      <c r="E336" s="1" t="s">
        <v>142</v>
      </c>
      <c r="F336" s="1" t="s">
        <v>26</v>
      </c>
      <c r="G336" s="4">
        <v>45086</v>
      </c>
      <c r="H336" s="4">
        <v>45093</v>
      </c>
      <c r="I336" s="1" t="s">
        <v>85</v>
      </c>
      <c r="J336" s="1" t="s">
        <v>44</v>
      </c>
      <c r="K336" s="3">
        <v>3</v>
      </c>
      <c r="L336" s="2">
        <v>14736</v>
      </c>
      <c r="M336" s="3">
        <v>5</v>
      </c>
      <c r="N336" s="1" t="s">
        <v>166</v>
      </c>
      <c r="O336" s="1" t="s">
        <v>32</v>
      </c>
      <c r="P336" s="1" t="s">
        <v>33</v>
      </c>
      <c r="Q336" s="1" t="s">
        <v>94</v>
      </c>
      <c r="R336" s="1" t="s">
        <v>1370</v>
      </c>
      <c r="S336" s="3">
        <v>2</v>
      </c>
      <c r="T336" s="1" t="s">
        <v>96</v>
      </c>
      <c r="U336" s="3">
        <v>235</v>
      </c>
      <c r="V336" s="1" t="s">
        <v>62</v>
      </c>
      <c r="W336" s="5">
        <f>Table1[[#This Row],[Quantity]]*Table1[[#This Row],[Price]]*(1-Table1[[#This Row],[Discount %]]/100)</f>
        <v>41997.599999999999</v>
      </c>
      <c r="X336">
        <f>Table1[[#This Row],[DeliveryDate]]-Table1[[#This Row],[OrderDate]]</f>
        <v>7</v>
      </c>
      <c r="Y336" t="str">
        <f>TEXT(Table1[[#This Row],[OrderDate]],"MMMM")</f>
        <v>June</v>
      </c>
      <c r="Z336" s="5">
        <f>YEAR(Table1[[#This Row],[OrderDate]])</f>
        <v>2023</v>
      </c>
    </row>
    <row r="337" spans="1:26" x14ac:dyDescent="0.3">
      <c r="A337" s="1" t="s">
        <v>1371</v>
      </c>
      <c r="B337" t="s">
        <v>509</v>
      </c>
      <c r="C337" s="3">
        <v>56</v>
      </c>
      <c r="D337" s="1" t="s">
        <v>51</v>
      </c>
      <c r="E337" s="1" t="s">
        <v>229</v>
      </c>
      <c r="F337" s="1" t="s">
        <v>82</v>
      </c>
      <c r="G337" s="4">
        <v>44958</v>
      </c>
      <c r="H337" s="4">
        <v>44966</v>
      </c>
      <c r="I337" s="1" t="s">
        <v>77</v>
      </c>
      <c r="J337" s="1" t="s">
        <v>44</v>
      </c>
      <c r="K337" s="3">
        <v>2.9447852760736195</v>
      </c>
      <c r="L337" s="2">
        <v>17419</v>
      </c>
      <c r="M337" s="3">
        <v>10</v>
      </c>
      <c r="N337" s="1" t="s">
        <v>31</v>
      </c>
      <c r="O337" s="1" t="s">
        <v>102</v>
      </c>
      <c r="P337" s="1" t="s">
        <v>58</v>
      </c>
      <c r="Q337" s="1" t="s">
        <v>512</v>
      </c>
      <c r="R337" s="1" t="s">
        <v>1373</v>
      </c>
      <c r="S337" s="3">
        <v>4</v>
      </c>
      <c r="T337" s="1" t="s">
        <v>72</v>
      </c>
      <c r="U337" s="3">
        <v>395</v>
      </c>
      <c r="V337" s="1" t="s">
        <v>37</v>
      </c>
      <c r="W337" s="5">
        <f>Table1[[#This Row],[Quantity]]*Table1[[#This Row],[Price]]*(1-Table1[[#This Row],[Discount %]]/100)</f>
        <v>46165.693251533739</v>
      </c>
      <c r="X337">
        <f>Table1[[#This Row],[DeliveryDate]]-Table1[[#This Row],[OrderDate]]</f>
        <v>8</v>
      </c>
      <c r="Y337" t="str">
        <f>TEXT(Table1[[#This Row],[OrderDate]],"MMMM")</f>
        <v>February</v>
      </c>
      <c r="Z337" s="5">
        <f>YEAR(Table1[[#This Row],[OrderDate]])</f>
        <v>2023</v>
      </c>
    </row>
    <row r="338" spans="1:26" x14ac:dyDescent="0.3">
      <c r="A338" s="1" t="s">
        <v>1374</v>
      </c>
      <c r="B338" t="s">
        <v>457</v>
      </c>
      <c r="C338" s="3">
        <v>48</v>
      </c>
      <c r="D338" s="1" t="s">
        <v>24</v>
      </c>
      <c r="E338" s="1" t="s">
        <v>99</v>
      </c>
      <c r="F338" s="1" t="s">
        <v>91</v>
      </c>
      <c r="G338" s="4">
        <v>44978</v>
      </c>
      <c r="H338" s="4">
        <v>44987</v>
      </c>
      <c r="I338" s="1" t="s">
        <v>43</v>
      </c>
      <c r="J338" s="1" t="s">
        <v>30</v>
      </c>
      <c r="K338" s="3">
        <v>2</v>
      </c>
      <c r="L338" s="2">
        <v>38137</v>
      </c>
      <c r="M338" s="3">
        <v>0</v>
      </c>
      <c r="N338" s="1" t="s">
        <v>31</v>
      </c>
      <c r="O338" s="1" t="s">
        <v>46</v>
      </c>
      <c r="P338" s="1" t="s">
        <v>174</v>
      </c>
      <c r="Q338" s="1" t="s">
        <v>595</v>
      </c>
      <c r="R338" s="1" t="s">
        <v>1377</v>
      </c>
      <c r="S338" s="3">
        <v>1</v>
      </c>
      <c r="T338" s="1" t="s">
        <v>36</v>
      </c>
      <c r="U338" s="3">
        <v>123</v>
      </c>
      <c r="V338" s="1" t="s">
        <v>79</v>
      </c>
      <c r="W338" s="5">
        <f>Table1[[#This Row],[Quantity]]*Table1[[#This Row],[Price]]*(1-Table1[[#This Row],[Discount %]]/100)</f>
        <v>76274</v>
      </c>
      <c r="X338">
        <f>Table1[[#This Row],[DeliveryDate]]-Table1[[#This Row],[OrderDate]]</f>
        <v>9</v>
      </c>
      <c r="Y338" t="str">
        <f>TEXT(Table1[[#This Row],[OrderDate]],"MMMM")</f>
        <v>February</v>
      </c>
      <c r="Z338" s="5">
        <f>YEAR(Table1[[#This Row],[OrderDate]])</f>
        <v>2023</v>
      </c>
    </row>
    <row r="339" spans="1:26" x14ac:dyDescent="0.3">
      <c r="A339" s="1" t="s">
        <v>1378</v>
      </c>
      <c r="B339" t="s">
        <v>243</v>
      </c>
      <c r="C339" s="3">
        <v>46</v>
      </c>
      <c r="D339" s="1" t="s">
        <v>24</v>
      </c>
      <c r="E339" s="1" t="s">
        <v>40</v>
      </c>
      <c r="F339" s="1" t="s">
        <v>53</v>
      </c>
      <c r="G339" s="4">
        <v>45410</v>
      </c>
      <c r="H339" s="4">
        <v>45415</v>
      </c>
      <c r="I339" s="1" t="s">
        <v>77</v>
      </c>
      <c r="J339" s="1" t="s">
        <v>44</v>
      </c>
      <c r="K339" s="3">
        <v>5</v>
      </c>
      <c r="L339" s="2">
        <v>18325</v>
      </c>
      <c r="M339" s="3">
        <v>15</v>
      </c>
      <c r="N339" s="1" t="s">
        <v>56</v>
      </c>
      <c r="O339" s="1" t="s">
        <v>173</v>
      </c>
      <c r="P339" s="1" t="s">
        <v>69</v>
      </c>
      <c r="Q339" s="1" t="s">
        <v>246</v>
      </c>
      <c r="R339" s="1" t="s">
        <v>1380</v>
      </c>
      <c r="S339" s="3">
        <v>5</v>
      </c>
      <c r="T339" s="1" t="s">
        <v>96</v>
      </c>
      <c r="U339" s="3">
        <v>382</v>
      </c>
      <c r="V339" s="1" t="s">
        <v>79</v>
      </c>
      <c r="W339" s="5">
        <f>Table1[[#This Row],[Quantity]]*Table1[[#This Row],[Price]]*(1-Table1[[#This Row],[Discount %]]/100)</f>
        <v>77881.25</v>
      </c>
      <c r="X339">
        <f>Table1[[#This Row],[DeliveryDate]]-Table1[[#This Row],[OrderDate]]</f>
        <v>5</v>
      </c>
      <c r="Y339" t="str">
        <f>TEXT(Table1[[#This Row],[OrderDate]],"MMMM")</f>
        <v>April</v>
      </c>
      <c r="Z339" s="5">
        <f>YEAR(Table1[[#This Row],[OrderDate]])</f>
        <v>2024</v>
      </c>
    </row>
    <row r="340" spans="1:26" x14ac:dyDescent="0.3">
      <c r="A340" s="1" t="s">
        <v>1381</v>
      </c>
      <c r="B340" t="s">
        <v>527</v>
      </c>
      <c r="C340" s="3">
        <v>37</v>
      </c>
      <c r="D340" s="1" t="s">
        <v>24</v>
      </c>
      <c r="E340" s="1" t="s">
        <v>25</v>
      </c>
      <c r="F340" s="1" t="s">
        <v>82</v>
      </c>
      <c r="G340" s="4">
        <v>45120</v>
      </c>
      <c r="H340" s="4">
        <v>45121</v>
      </c>
      <c r="I340" s="1" t="s">
        <v>29</v>
      </c>
      <c r="J340" s="1" t="s">
        <v>30</v>
      </c>
      <c r="K340" s="3">
        <v>5</v>
      </c>
      <c r="L340" s="2">
        <v>49806</v>
      </c>
      <c r="M340" s="3">
        <v>0</v>
      </c>
      <c r="N340" s="1" t="s">
        <v>166</v>
      </c>
      <c r="O340" s="1" t="s">
        <v>109</v>
      </c>
      <c r="P340" s="1" t="s">
        <v>69</v>
      </c>
      <c r="Q340" s="1" t="s">
        <v>530</v>
      </c>
      <c r="R340" s="1" t="s">
        <v>1382</v>
      </c>
      <c r="S340" s="3">
        <v>5</v>
      </c>
      <c r="T340" s="1" t="s">
        <v>72</v>
      </c>
      <c r="U340" s="3">
        <v>195</v>
      </c>
      <c r="V340" s="1" t="s">
        <v>37</v>
      </c>
      <c r="W340" s="5">
        <f>Table1[[#This Row],[Quantity]]*Table1[[#This Row],[Price]]*(1-Table1[[#This Row],[Discount %]]/100)</f>
        <v>249030</v>
      </c>
      <c r="X340">
        <f>Table1[[#This Row],[DeliveryDate]]-Table1[[#This Row],[OrderDate]]</f>
        <v>1</v>
      </c>
      <c r="Y340" t="str">
        <f>TEXT(Table1[[#This Row],[OrderDate]],"MMMM")</f>
        <v>July</v>
      </c>
      <c r="Z340" s="5">
        <f>YEAR(Table1[[#This Row],[OrderDate]])</f>
        <v>2023</v>
      </c>
    </row>
    <row r="341" spans="1:26" x14ac:dyDescent="0.3">
      <c r="A341" s="1" t="s">
        <v>1383</v>
      </c>
      <c r="B341" t="s">
        <v>309</v>
      </c>
      <c r="C341" s="3">
        <v>26</v>
      </c>
      <c r="D341" s="1" t="s">
        <v>24</v>
      </c>
      <c r="E341" s="1" t="s">
        <v>40</v>
      </c>
      <c r="F341" s="1" t="s">
        <v>53</v>
      </c>
      <c r="G341" s="4">
        <v>44960</v>
      </c>
      <c r="H341" s="4">
        <v>44966</v>
      </c>
      <c r="I341" s="1" t="s">
        <v>93</v>
      </c>
      <c r="J341" s="1" t="s">
        <v>30</v>
      </c>
      <c r="K341" s="3">
        <v>4</v>
      </c>
      <c r="L341" s="2">
        <v>13207</v>
      </c>
      <c r="M341" s="3">
        <v>10</v>
      </c>
      <c r="N341" s="1" t="s">
        <v>31</v>
      </c>
      <c r="O341" s="1" t="s">
        <v>109</v>
      </c>
      <c r="P341" s="1" t="s">
        <v>33</v>
      </c>
      <c r="Q341" s="1" t="s">
        <v>312</v>
      </c>
      <c r="R341" s="1" t="s">
        <v>1384</v>
      </c>
      <c r="S341" s="3">
        <v>3</v>
      </c>
      <c r="T341" s="1" t="s">
        <v>61</v>
      </c>
      <c r="U341" s="3">
        <v>364</v>
      </c>
      <c r="V341" s="1" t="s">
        <v>37</v>
      </c>
      <c r="W341" s="5">
        <f>Table1[[#This Row],[Quantity]]*Table1[[#This Row],[Price]]*(1-Table1[[#This Row],[Discount %]]/100)</f>
        <v>47545.200000000004</v>
      </c>
      <c r="X341">
        <f>Table1[[#This Row],[DeliveryDate]]-Table1[[#This Row],[OrderDate]]</f>
        <v>6</v>
      </c>
      <c r="Y341" t="str">
        <f>TEXT(Table1[[#This Row],[OrderDate]],"MMMM")</f>
        <v>February</v>
      </c>
      <c r="Z341" s="5">
        <f>YEAR(Table1[[#This Row],[OrderDate]])</f>
        <v>2023</v>
      </c>
    </row>
    <row r="342" spans="1:26" x14ac:dyDescent="0.3">
      <c r="A342" s="1" t="s">
        <v>1385</v>
      </c>
      <c r="B342" t="s">
        <v>1309</v>
      </c>
      <c r="C342" s="3">
        <v>60</v>
      </c>
      <c r="D342" s="1" t="s">
        <v>51</v>
      </c>
      <c r="E342" s="1" t="s">
        <v>229</v>
      </c>
      <c r="F342" s="1" t="s">
        <v>91</v>
      </c>
      <c r="G342" s="4">
        <v>45191</v>
      </c>
      <c r="H342" s="4">
        <v>45201</v>
      </c>
      <c r="I342" s="1" t="s">
        <v>77</v>
      </c>
      <c r="J342" s="1" t="s">
        <v>30</v>
      </c>
      <c r="K342" s="3">
        <v>5</v>
      </c>
      <c r="L342" s="2">
        <v>5826</v>
      </c>
      <c r="M342" s="3">
        <v>10</v>
      </c>
      <c r="N342" s="1" t="s">
        <v>166</v>
      </c>
      <c r="O342" s="1" t="s">
        <v>57</v>
      </c>
      <c r="P342" s="1" t="s">
        <v>58</v>
      </c>
      <c r="Q342" s="1" t="s">
        <v>1311</v>
      </c>
      <c r="R342" s="1" t="s">
        <v>1387</v>
      </c>
      <c r="S342" s="3">
        <v>3</v>
      </c>
      <c r="T342" s="1" t="s">
        <v>36</v>
      </c>
      <c r="U342" s="3">
        <v>154</v>
      </c>
      <c r="V342" s="1" t="s">
        <v>62</v>
      </c>
      <c r="W342" s="5">
        <f>Table1[[#This Row],[Quantity]]*Table1[[#This Row],[Price]]*(1-Table1[[#This Row],[Discount %]]/100)</f>
        <v>26217</v>
      </c>
      <c r="X342">
        <f>Table1[[#This Row],[DeliveryDate]]-Table1[[#This Row],[OrderDate]]</f>
        <v>10</v>
      </c>
      <c r="Y342" t="str">
        <f>TEXT(Table1[[#This Row],[OrderDate]],"MMMM")</f>
        <v>September</v>
      </c>
      <c r="Z342" s="5">
        <f>YEAR(Table1[[#This Row],[OrderDate]])</f>
        <v>2023</v>
      </c>
    </row>
    <row r="343" spans="1:26" x14ac:dyDescent="0.3">
      <c r="A343" s="1" t="s">
        <v>1388</v>
      </c>
      <c r="B343" t="s">
        <v>235</v>
      </c>
      <c r="C343" s="3">
        <v>18</v>
      </c>
      <c r="D343" s="1" t="s">
        <v>24</v>
      </c>
      <c r="E343" s="1" t="s">
        <v>25</v>
      </c>
      <c r="F343" s="1" t="s">
        <v>65</v>
      </c>
      <c r="G343" s="4">
        <v>44974</v>
      </c>
      <c r="H343" s="4">
        <v>44975</v>
      </c>
      <c r="I343" s="1" t="s">
        <v>108</v>
      </c>
      <c r="J343" s="1" t="s">
        <v>44</v>
      </c>
      <c r="K343" s="3">
        <v>1</v>
      </c>
      <c r="L343" s="2">
        <v>47063</v>
      </c>
      <c r="M343" s="3">
        <v>10</v>
      </c>
      <c r="N343" s="1" t="s">
        <v>56</v>
      </c>
      <c r="O343" s="1" t="s">
        <v>57</v>
      </c>
      <c r="P343" s="1" t="s">
        <v>174</v>
      </c>
      <c r="Q343" s="1" t="s">
        <v>871</v>
      </c>
      <c r="R343" s="1" t="s">
        <v>3415</v>
      </c>
      <c r="S343" s="3">
        <v>5</v>
      </c>
      <c r="T343" s="1" t="s">
        <v>61</v>
      </c>
      <c r="U343" s="3">
        <v>185</v>
      </c>
      <c r="V343" s="1" t="s">
        <v>79</v>
      </c>
      <c r="W343" s="5">
        <f>Table1[[#This Row],[Quantity]]*Table1[[#This Row],[Price]]*(1-Table1[[#This Row],[Discount %]]/100)</f>
        <v>42356.700000000004</v>
      </c>
      <c r="X343">
        <f>Table1[[#This Row],[DeliveryDate]]-Table1[[#This Row],[OrderDate]]</f>
        <v>1</v>
      </c>
      <c r="Y343" t="str">
        <f>TEXT(Table1[[#This Row],[OrderDate]],"MMMM")</f>
        <v>February</v>
      </c>
      <c r="Z343" s="5">
        <f>YEAR(Table1[[#This Row],[OrderDate]])</f>
        <v>2023</v>
      </c>
    </row>
    <row r="344" spans="1:26" x14ac:dyDescent="0.3">
      <c r="A344" s="1" t="s">
        <v>1389</v>
      </c>
      <c r="B344" t="s">
        <v>702</v>
      </c>
      <c r="C344" s="3">
        <v>27</v>
      </c>
      <c r="D344" s="1" t="s">
        <v>51</v>
      </c>
      <c r="E344" s="1" t="s">
        <v>99</v>
      </c>
      <c r="F344" s="1" t="s">
        <v>26</v>
      </c>
      <c r="G344" s="4">
        <v>45232</v>
      </c>
      <c r="H344" s="4">
        <v>45237</v>
      </c>
      <c r="I344" s="1" t="s">
        <v>29</v>
      </c>
      <c r="J344" s="1" t="s">
        <v>30</v>
      </c>
      <c r="K344" s="3">
        <v>4</v>
      </c>
      <c r="L344" s="2">
        <v>12921</v>
      </c>
      <c r="M344" s="3">
        <v>5</v>
      </c>
      <c r="N344" s="1" t="s">
        <v>45</v>
      </c>
      <c r="O344" s="1" t="s">
        <v>102</v>
      </c>
      <c r="P344" s="1" t="s">
        <v>69</v>
      </c>
      <c r="Q344" s="1" t="s">
        <v>3415</v>
      </c>
      <c r="R344" s="1" t="s">
        <v>1391</v>
      </c>
      <c r="S344" s="3">
        <v>1</v>
      </c>
      <c r="T344" s="1" t="s">
        <v>61</v>
      </c>
      <c r="U344" s="3">
        <v>499</v>
      </c>
      <c r="V344" s="1" t="s">
        <v>62</v>
      </c>
      <c r="W344" s="5">
        <f>Table1[[#This Row],[Quantity]]*Table1[[#This Row],[Price]]*(1-Table1[[#This Row],[Discount %]]/100)</f>
        <v>49099.799999999996</v>
      </c>
      <c r="X344">
        <f>Table1[[#This Row],[DeliveryDate]]-Table1[[#This Row],[OrderDate]]</f>
        <v>5</v>
      </c>
      <c r="Y344" t="str">
        <f>TEXT(Table1[[#This Row],[OrderDate]],"MMMM")</f>
        <v>November</v>
      </c>
      <c r="Z344" s="5">
        <f>YEAR(Table1[[#This Row],[OrderDate]])</f>
        <v>2023</v>
      </c>
    </row>
    <row r="345" spans="1:26" x14ac:dyDescent="0.3">
      <c r="A345" s="1" t="s">
        <v>1392</v>
      </c>
      <c r="B345" t="s">
        <v>707</v>
      </c>
      <c r="C345" s="3">
        <v>19</v>
      </c>
      <c r="D345" s="1" t="s">
        <v>24</v>
      </c>
      <c r="E345" s="1" t="s">
        <v>52</v>
      </c>
      <c r="F345" s="1" t="s">
        <v>53</v>
      </c>
      <c r="G345" s="4">
        <v>45308</v>
      </c>
      <c r="H345" s="4">
        <v>45316</v>
      </c>
      <c r="I345" s="1" t="s">
        <v>77</v>
      </c>
      <c r="J345" s="1" t="s">
        <v>30</v>
      </c>
      <c r="K345" s="3">
        <v>1</v>
      </c>
      <c r="L345" s="2">
        <v>38955</v>
      </c>
      <c r="M345" s="3">
        <v>10</v>
      </c>
      <c r="N345" s="1" t="s">
        <v>45</v>
      </c>
      <c r="O345" s="1" t="s">
        <v>102</v>
      </c>
      <c r="P345" s="1" t="s">
        <v>58</v>
      </c>
      <c r="Q345" s="1" t="s">
        <v>709</v>
      </c>
      <c r="R345" s="1" t="s">
        <v>1393</v>
      </c>
      <c r="S345" s="3">
        <v>4</v>
      </c>
      <c r="T345" s="1" t="s">
        <v>96</v>
      </c>
      <c r="U345" s="3">
        <v>362</v>
      </c>
      <c r="V345" s="1" t="s">
        <v>62</v>
      </c>
      <c r="W345" s="5">
        <f>Table1[[#This Row],[Quantity]]*Table1[[#This Row],[Price]]*(1-Table1[[#This Row],[Discount %]]/100)</f>
        <v>35059.5</v>
      </c>
      <c r="X345">
        <f>Table1[[#This Row],[DeliveryDate]]-Table1[[#This Row],[OrderDate]]</f>
        <v>8</v>
      </c>
      <c r="Y345" t="str">
        <f>TEXT(Table1[[#This Row],[OrderDate]],"MMMM")</f>
        <v>January</v>
      </c>
      <c r="Z345" s="5">
        <f>YEAR(Table1[[#This Row],[OrderDate]])</f>
        <v>2024</v>
      </c>
    </row>
    <row r="346" spans="1:26" x14ac:dyDescent="0.3">
      <c r="A346" s="1" t="s">
        <v>1394</v>
      </c>
      <c r="B346" t="s">
        <v>285</v>
      </c>
      <c r="C346" s="3">
        <v>58</v>
      </c>
      <c r="D346" s="1" t="s">
        <v>51</v>
      </c>
      <c r="E346" s="1" t="s">
        <v>26</v>
      </c>
      <c r="F346" s="1" t="s">
        <v>53</v>
      </c>
      <c r="G346" s="4">
        <v>45006</v>
      </c>
      <c r="H346" s="4">
        <v>45012</v>
      </c>
      <c r="I346" s="1" t="s">
        <v>85</v>
      </c>
      <c r="J346" s="1" t="s">
        <v>44</v>
      </c>
      <c r="K346" s="3">
        <v>5</v>
      </c>
      <c r="L346" s="2">
        <v>42109.716287215415</v>
      </c>
      <c r="M346" s="3">
        <v>5</v>
      </c>
      <c r="N346" s="1" t="s">
        <v>166</v>
      </c>
      <c r="O346" s="1" t="s">
        <v>173</v>
      </c>
      <c r="P346" s="1" t="s">
        <v>58</v>
      </c>
      <c r="Q346" s="1" t="s">
        <v>300</v>
      </c>
      <c r="R346" s="1" t="s">
        <v>3415</v>
      </c>
      <c r="S346" s="3">
        <v>2</v>
      </c>
      <c r="T346" s="1" t="s">
        <v>72</v>
      </c>
      <c r="U346" s="3">
        <v>231</v>
      </c>
      <c r="V346" s="1" t="s">
        <v>79</v>
      </c>
      <c r="W346" s="5">
        <f>Table1[[#This Row],[Quantity]]*Table1[[#This Row],[Price]]*(1-Table1[[#This Row],[Discount %]]/100)</f>
        <v>200021.15236427321</v>
      </c>
      <c r="X346">
        <f>Table1[[#This Row],[DeliveryDate]]-Table1[[#This Row],[OrderDate]]</f>
        <v>6</v>
      </c>
      <c r="Y346" t="str">
        <f>TEXT(Table1[[#This Row],[OrderDate]],"MMMM")</f>
        <v>March</v>
      </c>
      <c r="Z346" s="5">
        <f>YEAR(Table1[[#This Row],[OrderDate]])</f>
        <v>2023</v>
      </c>
    </row>
    <row r="347" spans="1:26" x14ac:dyDescent="0.3">
      <c r="A347" s="1" t="s">
        <v>1395</v>
      </c>
      <c r="B347" t="s">
        <v>1396</v>
      </c>
      <c r="C347" s="3">
        <v>55</v>
      </c>
      <c r="D347" s="1" t="s">
        <v>51</v>
      </c>
      <c r="E347" s="1" t="s">
        <v>99</v>
      </c>
      <c r="F347" s="1" t="s">
        <v>26</v>
      </c>
      <c r="G347" s="4">
        <v>45466</v>
      </c>
      <c r="H347" s="4">
        <v>45475</v>
      </c>
      <c r="I347" s="1" t="s">
        <v>43</v>
      </c>
      <c r="J347" s="1" t="s">
        <v>30</v>
      </c>
      <c r="K347" s="3">
        <v>1</v>
      </c>
      <c r="L347" s="2">
        <v>12299</v>
      </c>
      <c r="M347" s="3">
        <v>15</v>
      </c>
      <c r="N347" s="1" t="s">
        <v>56</v>
      </c>
      <c r="O347" s="1" t="s">
        <v>281</v>
      </c>
      <c r="P347" s="1" t="s">
        <v>69</v>
      </c>
      <c r="Q347" s="1" t="s">
        <v>1397</v>
      </c>
      <c r="R347" s="1" t="s">
        <v>1398</v>
      </c>
      <c r="S347" s="3">
        <v>2</v>
      </c>
      <c r="T347" s="1" t="s">
        <v>72</v>
      </c>
      <c r="U347" s="3">
        <v>76</v>
      </c>
      <c r="V347" s="1" t="s">
        <v>62</v>
      </c>
      <c r="W347" s="5">
        <f>Table1[[#This Row],[Quantity]]*Table1[[#This Row],[Price]]*(1-Table1[[#This Row],[Discount %]]/100)</f>
        <v>10454.15</v>
      </c>
      <c r="X347">
        <f>Table1[[#This Row],[DeliveryDate]]-Table1[[#This Row],[OrderDate]]</f>
        <v>9</v>
      </c>
      <c r="Y347" t="str">
        <f>TEXT(Table1[[#This Row],[OrderDate]],"MMMM")</f>
        <v>June</v>
      </c>
      <c r="Z347" s="5">
        <f>YEAR(Table1[[#This Row],[OrderDate]])</f>
        <v>2024</v>
      </c>
    </row>
    <row r="348" spans="1:26" x14ac:dyDescent="0.3">
      <c r="A348" s="1" t="s">
        <v>1399</v>
      </c>
      <c r="B348" t="s">
        <v>601</v>
      </c>
      <c r="C348" s="3">
        <v>47</v>
      </c>
      <c r="D348" s="1" t="s">
        <v>51</v>
      </c>
      <c r="E348" s="1" t="s">
        <v>99</v>
      </c>
      <c r="F348" s="1" t="s">
        <v>26</v>
      </c>
      <c r="G348" s="4">
        <v>45500</v>
      </c>
      <c r="H348" s="4">
        <v>45503</v>
      </c>
      <c r="I348" s="1" t="s">
        <v>108</v>
      </c>
      <c r="J348" s="1" t="s">
        <v>44</v>
      </c>
      <c r="K348" s="3">
        <v>4</v>
      </c>
      <c r="L348" s="2">
        <v>77509</v>
      </c>
      <c r="M348" s="3">
        <v>10</v>
      </c>
      <c r="N348" s="1" t="s">
        <v>166</v>
      </c>
      <c r="O348" s="1" t="s">
        <v>109</v>
      </c>
      <c r="P348" s="1" t="s">
        <v>174</v>
      </c>
      <c r="Q348" s="1" t="s">
        <v>603</v>
      </c>
      <c r="R348" s="1" t="s">
        <v>1401</v>
      </c>
      <c r="S348" s="3">
        <v>2</v>
      </c>
      <c r="T348" s="1" t="s">
        <v>72</v>
      </c>
      <c r="U348" s="3">
        <v>326</v>
      </c>
      <c r="V348" s="1" t="s">
        <v>62</v>
      </c>
      <c r="W348" s="5">
        <f>Table1[[#This Row],[Quantity]]*Table1[[#This Row],[Price]]*(1-Table1[[#This Row],[Discount %]]/100)</f>
        <v>279032.40000000002</v>
      </c>
      <c r="X348">
        <f>Table1[[#This Row],[DeliveryDate]]-Table1[[#This Row],[OrderDate]]</f>
        <v>3</v>
      </c>
      <c r="Y348" t="str">
        <f>TEXT(Table1[[#This Row],[OrderDate]],"MMMM")</f>
        <v>July</v>
      </c>
      <c r="Z348" s="5">
        <f>YEAR(Table1[[#This Row],[OrderDate]])</f>
        <v>2024</v>
      </c>
    </row>
    <row r="349" spans="1:26" x14ac:dyDescent="0.3">
      <c r="A349" s="1" t="s">
        <v>1402</v>
      </c>
      <c r="B349" t="s">
        <v>74</v>
      </c>
      <c r="C349" s="3">
        <v>24</v>
      </c>
      <c r="D349" s="1" t="s">
        <v>51</v>
      </c>
      <c r="E349" s="1" t="s">
        <v>131</v>
      </c>
      <c r="F349" s="1" t="s">
        <v>26</v>
      </c>
      <c r="G349" s="4">
        <v>45435</v>
      </c>
      <c r="H349" s="4">
        <v>45437</v>
      </c>
      <c r="I349" s="1" t="s">
        <v>77</v>
      </c>
      <c r="J349" s="1" t="s">
        <v>44</v>
      </c>
      <c r="K349" s="3">
        <v>3</v>
      </c>
      <c r="L349" s="2">
        <v>34308</v>
      </c>
      <c r="M349" s="3">
        <v>5</v>
      </c>
      <c r="N349" s="1" t="s">
        <v>56</v>
      </c>
      <c r="O349" s="1" t="s">
        <v>86</v>
      </c>
      <c r="P349" s="1" t="s">
        <v>33</v>
      </c>
      <c r="Q349" s="1" t="s">
        <v>78</v>
      </c>
      <c r="R349" s="1" t="s">
        <v>1404</v>
      </c>
      <c r="S349" s="3">
        <v>3</v>
      </c>
      <c r="T349" s="1" t="s">
        <v>61</v>
      </c>
      <c r="U349" s="3">
        <v>397</v>
      </c>
      <c r="V349" s="1" t="s">
        <v>37</v>
      </c>
      <c r="W349" s="5">
        <f>Table1[[#This Row],[Quantity]]*Table1[[#This Row],[Price]]*(1-Table1[[#This Row],[Discount %]]/100)</f>
        <v>97777.799999999988</v>
      </c>
      <c r="X349">
        <f>Table1[[#This Row],[DeliveryDate]]-Table1[[#This Row],[OrderDate]]</f>
        <v>2</v>
      </c>
      <c r="Y349" t="str">
        <f>TEXT(Table1[[#This Row],[OrderDate]],"MMMM")</f>
        <v>May</v>
      </c>
      <c r="Z349" s="5">
        <f>YEAR(Table1[[#This Row],[OrderDate]])</f>
        <v>2024</v>
      </c>
    </row>
    <row r="350" spans="1:26" x14ac:dyDescent="0.3">
      <c r="A350" s="1" t="s">
        <v>1405</v>
      </c>
      <c r="B350" t="s">
        <v>860</v>
      </c>
      <c r="C350" s="3">
        <v>52</v>
      </c>
      <c r="D350" s="1" t="s">
        <v>51</v>
      </c>
      <c r="E350" s="1" t="s">
        <v>229</v>
      </c>
      <c r="F350" s="1" t="s">
        <v>26</v>
      </c>
      <c r="G350" s="4">
        <v>45510</v>
      </c>
      <c r="H350" s="4">
        <v>45520</v>
      </c>
      <c r="I350" s="1" t="s">
        <v>108</v>
      </c>
      <c r="J350" s="1" t="s">
        <v>44</v>
      </c>
      <c r="K350" s="3">
        <v>2</v>
      </c>
      <c r="L350" s="2">
        <v>33225</v>
      </c>
      <c r="M350" s="3">
        <v>0</v>
      </c>
      <c r="N350" s="1" t="s">
        <v>31</v>
      </c>
      <c r="O350" s="1" t="s">
        <v>86</v>
      </c>
      <c r="P350" s="1" t="s">
        <v>58</v>
      </c>
      <c r="Q350" s="1" t="s">
        <v>862</v>
      </c>
      <c r="R350" s="1" t="s">
        <v>1407</v>
      </c>
      <c r="S350" s="3">
        <v>3</v>
      </c>
      <c r="T350" s="1" t="s">
        <v>96</v>
      </c>
      <c r="U350" s="3">
        <v>352</v>
      </c>
      <c r="V350" s="1" t="s">
        <v>79</v>
      </c>
      <c r="W350" s="5">
        <f>Table1[[#This Row],[Quantity]]*Table1[[#This Row],[Price]]*(1-Table1[[#This Row],[Discount %]]/100)</f>
        <v>66450</v>
      </c>
      <c r="X350">
        <f>Table1[[#This Row],[DeliveryDate]]-Table1[[#This Row],[OrderDate]]</f>
        <v>10</v>
      </c>
      <c r="Y350" t="str">
        <f>TEXT(Table1[[#This Row],[OrderDate]],"MMMM")</f>
        <v>August</v>
      </c>
      <c r="Z350" s="5">
        <f>YEAR(Table1[[#This Row],[OrderDate]])</f>
        <v>2024</v>
      </c>
    </row>
    <row r="351" spans="1:26" x14ac:dyDescent="0.3">
      <c r="A351" s="1" t="s">
        <v>1408</v>
      </c>
      <c r="B351" t="s">
        <v>1080</v>
      </c>
      <c r="C351" s="3">
        <v>23</v>
      </c>
      <c r="D351" s="1" t="s">
        <v>51</v>
      </c>
      <c r="E351" s="1" t="s">
        <v>229</v>
      </c>
      <c r="F351" s="1" t="s">
        <v>26</v>
      </c>
      <c r="G351" s="4">
        <v>45608</v>
      </c>
      <c r="H351" s="4">
        <v>45612</v>
      </c>
      <c r="I351" s="1" t="s">
        <v>108</v>
      </c>
      <c r="J351" s="1" t="s">
        <v>44</v>
      </c>
      <c r="K351" s="3">
        <v>3</v>
      </c>
      <c r="L351" s="2">
        <v>40881</v>
      </c>
      <c r="M351" s="3">
        <v>10</v>
      </c>
      <c r="N351" s="1" t="s">
        <v>31</v>
      </c>
      <c r="O351" s="1" t="s">
        <v>109</v>
      </c>
      <c r="P351" s="1" t="s">
        <v>58</v>
      </c>
      <c r="Q351" s="1" t="s">
        <v>1082</v>
      </c>
      <c r="R351" s="1" t="s">
        <v>1411</v>
      </c>
      <c r="S351" s="3">
        <v>4</v>
      </c>
      <c r="T351" s="1" t="s">
        <v>72</v>
      </c>
      <c r="U351" s="3">
        <v>145</v>
      </c>
      <c r="V351" s="1" t="s">
        <v>37</v>
      </c>
      <c r="W351" s="5">
        <f>Table1[[#This Row],[Quantity]]*Table1[[#This Row],[Price]]*(1-Table1[[#This Row],[Discount %]]/100)</f>
        <v>110378.7</v>
      </c>
      <c r="X351">
        <f>Table1[[#This Row],[DeliveryDate]]-Table1[[#This Row],[OrderDate]]</f>
        <v>4</v>
      </c>
      <c r="Y351" t="str">
        <f>TEXT(Table1[[#This Row],[OrderDate]],"MMMM")</f>
        <v>November</v>
      </c>
      <c r="Z351" s="5">
        <f>YEAR(Table1[[#This Row],[OrderDate]])</f>
        <v>2024</v>
      </c>
    </row>
    <row r="352" spans="1:26" x14ac:dyDescent="0.3">
      <c r="A352" s="1" t="s">
        <v>1412</v>
      </c>
      <c r="B352" t="s">
        <v>39</v>
      </c>
      <c r="C352" s="3">
        <v>27</v>
      </c>
      <c r="D352" s="1" t="s">
        <v>51</v>
      </c>
      <c r="E352" s="1" t="s">
        <v>142</v>
      </c>
      <c r="F352" s="1" t="s">
        <v>82</v>
      </c>
      <c r="G352" s="4">
        <v>45154</v>
      </c>
      <c r="H352" s="4">
        <v>45158</v>
      </c>
      <c r="I352" s="1" t="s">
        <v>93</v>
      </c>
      <c r="J352" s="1" t="s">
        <v>30</v>
      </c>
      <c r="K352" s="3">
        <v>3</v>
      </c>
      <c r="L352" s="2">
        <v>20427</v>
      </c>
      <c r="M352" s="3">
        <v>5</v>
      </c>
      <c r="N352" s="1" t="s">
        <v>31</v>
      </c>
      <c r="O352" s="1" t="s">
        <v>46</v>
      </c>
      <c r="P352" s="1" t="s">
        <v>174</v>
      </c>
      <c r="Q352" s="1" t="s">
        <v>47</v>
      </c>
      <c r="R352" s="1" t="s">
        <v>1413</v>
      </c>
      <c r="S352" s="3">
        <v>5</v>
      </c>
      <c r="T352" s="1" t="s">
        <v>96</v>
      </c>
      <c r="U352" s="3">
        <v>422</v>
      </c>
      <c r="V352" s="1" t="s">
        <v>79</v>
      </c>
      <c r="W352" s="5">
        <f>Table1[[#This Row],[Quantity]]*Table1[[#This Row],[Price]]*(1-Table1[[#This Row],[Discount %]]/100)</f>
        <v>58216.95</v>
      </c>
      <c r="X352">
        <f>Table1[[#This Row],[DeliveryDate]]-Table1[[#This Row],[OrderDate]]</f>
        <v>4</v>
      </c>
      <c r="Y352" t="str">
        <f>TEXT(Table1[[#This Row],[OrderDate]],"MMMM")</f>
        <v>August</v>
      </c>
      <c r="Z352" s="5">
        <f>YEAR(Table1[[#This Row],[OrderDate]])</f>
        <v>2023</v>
      </c>
    </row>
    <row r="353" spans="1:26" x14ac:dyDescent="0.3">
      <c r="A353" s="1" t="s">
        <v>1414</v>
      </c>
      <c r="B353" t="s">
        <v>141</v>
      </c>
      <c r="C353" s="3">
        <v>46</v>
      </c>
      <c r="D353" s="1" t="s">
        <v>51</v>
      </c>
      <c r="E353" s="1" t="s">
        <v>40</v>
      </c>
      <c r="F353" s="1" t="s">
        <v>26</v>
      </c>
      <c r="G353" s="4">
        <v>45355</v>
      </c>
      <c r="H353" s="4">
        <v>45360</v>
      </c>
      <c r="I353" s="1" t="s">
        <v>29</v>
      </c>
      <c r="J353" s="1" t="s">
        <v>44</v>
      </c>
      <c r="K353" s="3">
        <v>4</v>
      </c>
      <c r="L353" s="2">
        <v>8245</v>
      </c>
      <c r="M353" s="3">
        <v>5</v>
      </c>
      <c r="N353" s="1" t="s">
        <v>166</v>
      </c>
      <c r="O353" s="1" t="s">
        <v>281</v>
      </c>
      <c r="P353" s="1" t="s">
        <v>33</v>
      </c>
      <c r="Q353" s="1" t="s">
        <v>144</v>
      </c>
      <c r="R353" s="1" t="s">
        <v>1415</v>
      </c>
      <c r="S353" s="3">
        <v>2</v>
      </c>
      <c r="T353" s="1" t="s">
        <v>96</v>
      </c>
      <c r="U353" s="3">
        <v>162</v>
      </c>
      <c r="V353" s="1" t="s">
        <v>37</v>
      </c>
      <c r="W353" s="5">
        <f>Table1[[#This Row],[Quantity]]*Table1[[#This Row],[Price]]*(1-Table1[[#This Row],[Discount %]]/100)</f>
        <v>31331</v>
      </c>
      <c r="X353">
        <f>Table1[[#This Row],[DeliveryDate]]-Table1[[#This Row],[OrderDate]]</f>
        <v>5</v>
      </c>
      <c r="Y353" t="str">
        <f>TEXT(Table1[[#This Row],[OrderDate]],"MMMM")</f>
        <v>March</v>
      </c>
      <c r="Z353" s="5">
        <f>YEAR(Table1[[#This Row],[OrderDate]])</f>
        <v>2024</v>
      </c>
    </row>
    <row r="354" spans="1:26" x14ac:dyDescent="0.3">
      <c r="A354" s="1" t="s">
        <v>1416</v>
      </c>
      <c r="B354" t="s">
        <v>90</v>
      </c>
      <c r="C354" s="3">
        <v>37</v>
      </c>
      <c r="D354" s="1" t="s">
        <v>24</v>
      </c>
      <c r="E354" s="1" t="s">
        <v>25</v>
      </c>
      <c r="F354" s="1" t="s">
        <v>91</v>
      </c>
      <c r="G354" s="4">
        <v>45156</v>
      </c>
      <c r="H354" s="4">
        <v>45164</v>
      </c>
      <c r="I354" s="1" t="s">
        <v>43</v>
      </c>
      <c r="J354" s="1" t="s">
        <v>30</v>
      </c>
      <c r="K354" s="3">
        <v>3</v>
      </c>
      <c r="L354" s="2">
        <v>53140</v>
      </c>
      <c r="M354" s="3">
        <v>0</v>
      </c>
      <c r="N354" s="1" t="s">
        <v>45</v>
      </c>
      <c r="O354" s="1" t="s">
        <v>281</v>
      </c>
      <c r="P354" s="1" t="s">
        <v>69</v>
      </c>
      <c r="Q354" s="1" t="s">
        <v>94</v>
      </c>
      <c r="R354" s="1" t="s">
        <v>1418</v>
      </c>
      <c r="S354" s="3">
        <v>4</v>
      </c>
      <c r="T354" s="1" t="s">
        <v>96</v>
      </c>
      <c r="U354" s="3">
        <v>179</v>
      </c>
      <c r="V354" s="1" t="s">
        <v>62</v>
      </c>
      <c r="W354" s="5">
        <f>Table1[[#This Row],[Quantity]]*Table1[[#This Row],[Price]]*(1-Table1[[#This Row],[Discount %]]/100)</f>
        <v>159420</v>
      </c>
      <c r="X354">
        <f>Table1[[#This Row],[DeliveryDate]]-Table1[[#This Row],[OrderDate]]</f>
        <v>8</v>
      </c>
      <c r="Y354" t="str">
        <f>TEXT(Table1[[#This Row],[OrderDate]],"MMMM")</f>
        <v>August</v>
      </c>
      <c r="Z354" s="5">
        <f>YEAR(Table1[[#This Row],[OrderDate]])</f>
        <v>2023</v>
      </c>
    </row>
    <row r="355" spans="1:26" x14ac:dyDescent="0.3">
      <c r="A355" s="1" t="s">
        <v>1419</v>
      </c>
      <c r="B355" t="s">
        <v>850</v>
      </c>
      <c r="C355" s="3">
        <v>49</v>
      </c>
      <c r="D355" s="1" t="s">
        <v>24</v>
      </c>
      <c r="E355" s="1" t="s">
        <v>131</v>
      </c>
      <c r="F355" s="1" t="s">
        <v>65</v>
      </c>
      <c r="G355" s="4">
        <v>45177</v>
      </c>
      <c r="H355" s="4">
        <v>45183</v>
      </c>
      <c r="I355" s="1" t="s">
        <v>29</v>
      </c>
      <c r="J355" s="1" t="s">
        <v>30</v>
      </c>
      <c r="K355" s="3">
        <v>3</v>
      </c>
      <c r="L355" s="2">
        <v>41115</v>
      </c>
      <c r="M355" s="3">
        <v>10</v>
      </c>
      <c r="N355" s="1" t="s">
        <v>56</v>
      </c>
      <c r="O355" s="1" t="s">
        <v>281</v>
      </c>
      <c r="P355" s="1" t="s">
        <v>33</v>
      </c>
      <c r="Q355" s="1" t="s">
        <v>3415</v>
      </c>
      <c r="R355" s="1" t="s">
        <v>3415</v>
      </c>
      <c r="S355" s="3">
        <v>4</v>
      </c>
      <c r="T355" s="1" t="s">
        <v>96</v>
      </c>
      <c r="U355" s="3">
        <v>287</v>
      </c>
      <c r="V355" s="1" t="s">
        <v>62</v>
      </c>
      <c r="W355" s="5">
        <f>Table1[[#This Row],[Quantity]]*Table1[[#This Row],[Price]]*(1-Table1[[#This Row],[Discount %]]/100)</f>
        <v>111010.5</v>
      </c>
      <c r="X355">
        <f>Table1[[#This Row],[DeliveryDate]]-Table1[[#This Row],[OrderDate]]</f>
        <v>6</v>
      </c>
      <c r="Y355" t="str">
        <f>TEXT(Table1[[#This Row],[OrderDate]],"MMMM")</f>
        <v>September</v>
      </c>
      <c r="Z355" s="5">
        <f>YEAR(Table1[[#This Row],[OrderDate]])</f>
        <v>2023</v>
      </c>
    </row>
    <row r="356" spans="1:26" x14ac:dyDescent="0.3">
      <c r="A356" s="1" t="s">
        <v>1420</v>
      </c>
      <c r="B356" t="s">
        <v>946</v>
      </c>
      <c r="C356" s="3">
        <v>19</v>
      </c>
      <c r="D356" s="1" t="s">
        <v>51</v>
      </c>
      <c r="E356" s="1" t="s">
        <v>131</v>
      </c>
      <c r="F356" s="1" t="s">
        <v>26</v>
      </c>
      <c r="G356" s="4">
        <v>45207</v>
      </c>
      <c r="H356" s="4">
        <v>45213</v>
      </c>
      <c r="I356" s="1" t="s">
        <v>108</v>
      </c>
      <c r="J356" s="1" t="s">
        <v>30</v>
      </c>
      <c r="K356" s="3">
        <v>2</v>
      </c>
      <c r="L356" s="2">
        <v>52233</v>
      </c>
      <c r="M356" s="3">
        <v>0</v>
      </c>
      <c r="N356" s="1" t="s">
        <v>56</v>
      </c>
      <c r="O356" s="1" t="s">
        <v>109</v>
      </c>
      <c r="P356" s="1" t="s">
        <v>58</v>
      </c>
      <c r="Q356" s="1" t="s">
        <v>3415</v>
      </c>
      <c r="R356" s="1" t="s">
        <v>1422</v>
      </c>
      <c r="S356" s="3">
        <v>2</v>
      </c>
      <c r="T356" s="1" t="s">
        <v>36</v>
      </c>
      <c r="U356" s="3">
        <v>362</v>
      </c>
      <c r="V356" s="1" t="s">
        <v>37</v>
      </c>
      <c r="W356" s="5">
        <f>Table1[[#This Row],[Quantity]]*Table1[[#This Row],[Price]]*(1-Table1[[#This Row],[Discount %]]/100)</f>
        <v>104466</v>
      </c>
      <c r="X356">
        <f>Table1[[#This Row],[DeliveryDate]]-Table1[[#This Row],[OrderDate]]</f>
        <v>6</v>
      </c>
      <c r="Y356" t="str">
        <f>TEXT(Table1[[#This Row],[OrderDate]],"MMMM")</f>
        <v>October</v>
      </c>
      <c r="Z356" s="5">
        <f>YEAR(Table1[[#This Row],[OrderDate]])</f>
        <v>2023</v>
      </c>
    </row>
    <row r="357" spans="1:26" x14ac:dyDescent="0.3">
      <c r="A357" s="1" t="s">
        <v>1423</v>
      </c>
      <c r="B357" t="s">
        <v>527</v>
      </c>
      <c r="C357" s="3">
        <v>23</v>
      </c>
      <c r="D357" s="1" t="s">
        <v>24</v>
      </c>
      <c r="E357" s="1" t="s">
        <v>229</v>
      </c>
      <c r="F357" s="1" t="s">
        <v>26</v>
      </c>
      <c r="G357" s="4">
        <v>45243</v>
      </c>
      <c r="H357" s="4">
        <v>45249</v>
      </c>
      <c r="I357" s="1" t="s">
        <v>29</v>
      </c>
      <c r="J357" s="1" t="s">
        <v>44</v>
      </c>
      <c r="K357" s="3">
        <v>4</v>
      </c>
      <c r="L357" s="2">
        <v>30087</v>
      </c>
      <c r="M357" s="3">
        <v>0</v>
      </c>
      <c r="N357" s="1" t="s">
        <v>166</v>
      </c>
      <c r="O357" s="1" t="s">
        <v>57</v>
      </c>
      <c r="P357" s="1" t="s">
        <v>174</v>
      </c>
      <c r="Q357" s="1" t="s">
        <v>530</v>
      </c>
      <c r="R357" s="1" t="s">
        <v>3415</v>
      </c>
      <c r="S357" s="3">
        <v>2</v>
      </c>
      <c r="T357" s="1" t="s">
        <v>61</v>
      </c>
      <c r="U357" s="3">
        <v>343</v>
      </c>
      <c r="V357" s="1" t="s">
        <v>37</v>
      </c>
      <c r="W357" s="5">
        <f>Table1[[#This Row],[Quantity]]*Table1[[#This Row],[Price]]*(1-Table1[[#This Row],[Discount %]]/100)</f>
        <v>120348</v>
      </c>
      <c r="X357">
        <f>Table1[[#This Row],[DeliveryDate]]-Table1[[#This Row],[OrderDate]]</f>
        <v>6</v>
      </c>
      <c r="Y357" t="str">
        <f>TEXT(Table1[[#This Row],[OrderDate]],"MMMM")</f>
        <v>November</v>
      </c>
      <c r="Z357" s="5">
        <f>YEAR(Table1[[#This Row],[OrderDate]])</f>
        <v>2023</v>
      </c>
    </row>
    <row r="358" spans="1:26" x14ac:dyDescent="0.3">
      <c r="A358" s="1" t="s">
        <v>1424</v>
      </c>
      <c r="B358" t="s">
        <v>1876</v>
      </c>
      <c r="C358" s="3">
        <v>29</v>
      </c>
      <c r="D358" s="1" t="s">
        <v>24</v>
      </c>
      <c r="E358" s="1" t="s">
        <v>52</v>
      </c>
      <c r="F358" s="1" t="s">
        <v>26</v>
      </c>
      <c r="G358" s="4">
        <v>45375</v>
      </c>
      <c r="H358" s="4">
        <v>45378</v>
      </c>
      <c r="I358" s="1" t="s">
        <v>85</v>
      </c>
      <c r="J358" s="1" t="s">
        <v>30</v>
      </c>
      <c r="K358" s="3">
        <v>2</v>
      </c>
      <c r="L358" s="2">
        <v>6596</v>
      </c>
      <c r="M358" s="3">
        <v>0</v>
      </c>
      <c r="N358" s="1" t="s">
        <v>45</v>
      </c>
      <c r="O358" s="1" t="s">
        <v>133</v>
      </c>
      <c r="P358" s="1" t="s">
        <v>58</v>
      </c>
      <c r="Q358" s="1" t="s">
        <v>1427</v>
      </c>
      <c r="R358" s="1" t="s">
        <v>3415</v>
      </c>
      <c r="S358" s="3">
        <v>4</v>
      </c>
      <c r="T358" s="1" t="s">
        <v>72</v>
      </c>
      <c r="U358" s="3">
        <v>451</v>
      </c>
      <c r="V358" s="1" t="s">
        <v>79</v>
      </c>
      <c r="W358" s="5">
        <f>Table1[[#This Row],[Quantity]]*Table1[[#This Row],[Price]]*(1-Table1[[#This Row],[Discount %]]/100)</f>
        <v>13192</v>
      </c>
      <c r="X358">
        <f>Table1[[#This Row],[DeliveryDate]]-Table1[[#This Row],[OrderDate]]</f>
        <v>3</v>
      </c>
      <c r="Y358" t="str">
        <f>TEXT(Table1[[#This Row],[OrderDate]],"MMMM")</f>
        <v>March</v>
      </c>
      <c r="Z358" s="5">
        <f>YEAR(Table1[[#This Row],[OrderDate]])</f>
        <v>2024</v>
      </c>
    </row>
    <row r="359" spans="1:26" x14ac:dyDescent="0.3">
      <c r="A359" s="1" t="s">
        <v>1428</v>
      </c>
      <c r="B359" t="s">
        <v>808</v>
      </c>
      <c r="C359" s="3">
        <v>20</v>
      </c>
      <c r="D359" s="1" t="s">
        <v>24</v>
      </c>
      <c r="E359" s="1" t="s">
        <v>99</v>
      </c>
      <c r="F359" s="1" t="s">
        <v>26</v>
      </c>
      <c r="G359" s="4">
        <v>45045</v>
      </c>
      <c r="H359" s="4">
        <v>45055</v>
      </c>
      <c r="I359" s="1" t="s">
        <v>85</v>
      </c>
      <c r="J359" s="1" t="s">
        <v>44</v>
      </c>
      <c r="K359" s="3">
        <v>3</v>
      </c>
      <c r="L359" s="2">
        <v>18029</v>
      </c>
      <c r="M359" s="3">
        <v>10</v>
      </c>
      <c r="N359" s="1" t="s">
        <v>31</v>
      </c>
      <c r="O359" s="1" t="s">
        <v>109</v>
      </c>
      <c r="P359" s="1" t="s">
        <v>58</v>
      </c>
      <c r="Q359" s="1" t="s">
        <v>191</v>
      </c>
      <c r="R359" s="1" t="s">
        <v>1431</v>
      </c>
      <c r="S359" s="3">
        <v>2</v>
      </c>
      <c r="T359" s="1" t="s">
        <v>61</v>
      </c>
      <c r="U359" s="3">
        <v>174</v>
      </c>
      <c r="V359" s="1" t="s">
        <v>79</v>
      </c>
      <c r="W359" s="5">
        <f>Table1[[#This Row],[Quantity]]*Table1[[#This Row],[Price]]*(1-Table1[[#This Row],[Discount %]]/100)</f>
        <v>48678.3</v>
      </c>
      <c r="X359">
        <f>Table1[[#This Row],[DeliveryDate]]-Table1[[#This Row],[OrderDate]]</f>
        <v>10</v>
      </c>
      <c r="Y359" t="str">
        <f>TEXT(Table1[[#This Row],[OrderDate]],"MMMM")</f>
        <v>April</v>
      </c>
      <c r="Z359" s="5">
        <f>YEAR(Table1[[#This Row],[OrderDate]])</f>
        <v>2023</v>
      </c>
    </row>
    <row r="360" spans="1:26" x14ac:dyDescent="0.3">
      <c r="A360" s="1" t="s">
        <v>1432</v>
      </c>
      <c r="B360" t="s">
        <v>684</v>
      </c>
      <c r="C360" s="3">
        <v>37</v>
      </c>
      <c r="D360" s="1" t="s">
        <v>51</v>
      </c>
      <c r="E360" s="1" t="s">
        <v>131</v>
      </c>
      <c r="F360" s="1" t="s">
        <v>65</v>
      </c>
      <c r="G360" s="4">
        <v>45368</v>
      </c>
      <c r="H360" s="4">
        <v>45377</v>
      </c>
      <c r="I360" s="1" t="s">
        <v>93</v>
      </c>
      <c r="J360" s="1" t="s">
        <v>44</v>
      </c>
      <c r="K360" s="3">
        <v>3</v>
      </c>
      <c r="L360" s="2">
        <v>6706</v>
      </c>
      <c r="M360" s="3">
        <v>10</v>
      </c>
      <c r="N360" s="1" t="s">
        <v>56</v>
      </c>
      <c r="O360" s="1" t="s">
        <v>86</v>
      </c>
      <c r="P360" s="1" t="s">
        <v>58</v>
      </c>
      <c r="Q360" s="1" t="s">
        <v>3415</v>
      </c>
      <c r="R360" s="1" t="s">
        <v>1435</v>
      </c>
      <c r="S360" s="3">
        <v>4</v>
      </c>
      <c r="T360" s="1" t="s">
        <v>72</v>
      </c>
      <c r="U360" s="3">
        <v>227</v>
      </c>
      <c r="V360" s="1" t="s">
        <v>37</v>
      </c>
      <c r="W360" s="5">
        <f>Table1[[#This Row],[Quantity]]*Table1[[#This Row],[Price]]*(1-Table1[[#This Row],[Discount %]]/100)</f>
        <v>18106.2</v>
      </c>
      <c r="X360">
        <f>Table1[[#This Row],[DeliveryDate]]-Table1[[#This Row],[OrderDate]]</f>
        <v>9</v>
      </c>
      <c r="Y360" t="str">
        <f>TEXT(Table1[[#This Row],[OrderDate]],"MMMM")</f>
        <v>March</v>
      </c>
      <c r="Z360" s="5">
        <f>YEAR(Table1[[#This Row],[OrderDate]])</f>
        <v>2024</v>
      </c>
    </row>
    <row r="361" spans="1:26" x14ac:dyDescent="0.3">
      <c r="A361" s="1" t="s">
        <v>1436</v>
      </c>
      <c r="B361" t="s">
        <v>272</v>
      </c>
      <c r="C361" s="3">
        <v>50</v>
      </c>
      <c r="D361" s="1" t="s">
        <v>24</v>
      </c>
      <c r="E361" s="1" t="s">
        <v>229</v>
      </c>
      <c r="F361" s="1" t="s">
        <v>26</v>
      </c>
      <c r="G361" s="4">
        <v>45575</v>
      </c>
      <c r="H361" s="4">
        <v>45580</v>
      </c>
      <c r="I361" s="1" t="s">
        <v>77</v>
      </c>
      <c r="J361" s="1" t="s">
        <v>44</v>
      </c>
      <c r="K361" s="3">
        <v>5</v>
      </c>
      <c r="L361" s="2">
        <v>14900</v>
      </c>
      <c r="M361" s="3">
        <v>5</v>
      </c>
      <c r="N361" s="1" t="s">
        <v>166</v>
      </c>
      <c r="O361" s="1" t="s">
        <v>57</v>
      </c>
      <c r="P361" s="1" t="s">
        <v>69</v>
      </c>
      <c r="Q361" s="1" t="s">
        <v>3415</v>
      </c>
      <c r="R361" s="1" t="s">
        <v>1438</v>
      </c>
      <c r="S361" s="3">
        <v>3</v>
      </c>
      <c r="T361" s="1" t="s">
        <v>61</v>
      </c>
      <c r="U361" s="3">
        <v>208</v>
      </c>
      <c r="V361" s="1" t="s">
        <v>62</v>
      </c>
      <c r="W361" s="5">
        <f>Table1[[#This Row],[Quantity]]*Table1[[#This Row],[Price]]*(1-Table1[[#This Row],[Discount %]]/100)</f>
        <v>70775</v>
      </c>
      <c r="X361">
        <f>Table1[[#This Row],[DeliveryDate]]-Table1[[#This Row],[OrderDate]]</f>
        <v>5</v>
      </c>
      <c r="Y361" t="str">
        <f>TEXT(Table1[[#This Row],[OrderDate]],"MMMM")</f>
        <v>October</v>
      </c>
      <c r="Z361" s="5">
        <f>YEAR(Table1[[#This Row],[OrderDate]])</f>
        <v>2024</v>
      </c>
    </row>
    <row r="362" spans="1:26" x14ac:dyDescent="0.3">
      <c r="A362" s="1" t="s">
        <v>1439</v>
      </c>
      <c r="B362" t="s">
        <v>150</v>
      </c>
      <c r="C362" s="3">
        <v>24</v>
      </c>
      <c r="D362" s="1" t="s">
        <v>24</v>
      </c>
      <c r="E362" s="1" t="s">
        <v>99</v>
      </c>
      <c r="F362" s="1" t="s">
        <v>65</v>
      </c>
      <c r="G362" s="4">
        <v>45591</v>
      </c>
      <c r="H362" s="4">
        <v>45597</v>
      </c>
      <c r="I362" s="1" t="s">
        <v>85</v>
      </c>
      <c r="J362" s="1" t="s">
        <v>30</v>
      </c>
      <c r="K362" s="3">
        <v>2</v>
      </c>
      <c r="L362" s="2">
        <v>29815</v>
      </c>
      <c r="M362" s="3">
        <v>10</v>
      </c>
      <c r="N362" s="1" t="s">
        <v>45</v>
      </c>
      <c r="O362" s="1" t="s">
        <v>109</v>
      </c>
      <c r="P362" s="1" t="s">
        <v>174</v>
      </c>
      <c r="Q362" s="1" t="s">
        <v>153</v>
      </c>
      <c r="R362" s="1" t="s">
        <v>1441</v>
      </c>
      <c r="S362" s="3">
        <v>4</v>
      </c>
      <c r="T362" s="1" t="s">
        <v>72</v>
      </c>
      <c r="U362" s="3">
        <v>246</v>
      </c>
      <c r="V362" s="1" t="s">
        <v>62</v>
      </c>
      <c r="W362" s="5">
        <f>Table1[[#This Row],[Quantity]]*Table1[[#This Row],[Price]]*(1-Table1[[#This Row],[Discount %]]/100)</f>
        <v>53667</v>
      </c>
      <c r="X362">
        <f>Table1[[#This Row],[DeliveryDate]]-Table1[[#This Row],[OrderDate]]</f>
        <v>6</v>
      </c>
      <c r="Y362" t="str">
        <f>TEXT(Table1[[#This Row],[OrderDate]],"MMMM")</f>
        <v>October</v>
      </c>
      <c r="Z362" s="5">
        <f>YEAR(Table1[[#This Row],[OrderDate]])</f>
        <v>2024</v>
      </c>
    </row>
    <row r="363" spans="1:26" x14ac:dyDescent="0.3">
      <c r="A363" s="1" t="s">
        <v>1442</v>
      </c>
      <c r="B363" t="s">
        <v>1443</v>
      </c>
      <c r="C363" s="3">
        <v>23</v>
      </c>
      <c r="D363" s="1" t="s">
        <v>24</v>
      </c>
      <c r="E363" s="1" t="s">
        <v>25</v>
      </c>
      <c r="F363" s="1" t="s">
        <v>91</v>
      </c>
      <c r="G363" s="4">
        <v>45006</v>
      </c>
      <c r="H363" s="4">
        <v>45014</v>
      </c>
      <c r="I363" s="1" t="s">
        <v>29</v>
      </c>
      <c r="J363" s="1" t="s">
        <v>44</v>
      </c>
      <c r="K363" s="3">
        <v>3</v>
      </c>
      <c r="L363" s="2">
        <v>8201</v>
      </c>
      <c r="M363" s="3">
        <v>15</v>
      </c>
      <c r="N363" s="1" t="s">
        <v>166</v>
      </c>
      <c r="O363" s="1" t="s">
        <v>173</v>
      </c>
      <c r="P363" s="1" t="s">
        <v>58</v>
      </c>
      <c r="Q363" s="1" t="s">
        <v>1444</v>
      </c>
      <c r="R363" s="1" t="s">
        <v>1445</v>
      </c>
      <c r="S363" s="3">
        <v>3</v>
      </c>
      <c r="T363" s="1" t="s">
        <v>72</v>
      </c>
      <c r="U363" s="3">
        <v>428</v>
      </c>
      <c r="V363" s="1" t="s">
        <v>79</v>
      </c>
      <c r="W363" s="5">
        <f>Table1[[#This Row],[Quantity]]*Table1[[#This Row],[Price]]*(1-Table1[[#This Row],[Discount %]]/100)</f>
        <v>20912.55</v>
      </c>
      <c r="X363">
        <f>Table1[[#This Row],[DeliveryDate]]-Table1[[#This Row],[OrderDate]]</f>
        <v>8</v>
      </c>
      <c r="Y363" t="str">
        <f>TEXT(Table1[[#This Row],[OrderDate]],"MMMM")</f>
        <v>March</v>
      </c>
      <c r="Z363" s="5">
        <f>YEAR(Table1[[#This Row],[OrderDate]])</f>
        <v>2023</v>
      </c>
    </row>
    <row r="364" spans="1:26" x14ac:dyDescent="0.3">
      <c r="A364" s="1" t="s">
        <v>1446</v>
      </c>
      <c r="B364" t="s">
        <v>278</v>
      </c>
      <c r="C364" s="3">
        <v>34</v>
      </c>
      <c r="D364" s="1" t="s">
        <v>51</v>
      </c>
      <c r="E364" s="1" t="s">
        <v>229</v>
      </c>
      <c r="F364" s="1" t="s">
        <v>65</v>
      </c>
      <c r="G364" s="4">
        <v>45040</v>
      </c>
      <c r="H364" s="4">
        <v>45044</v>
      </c>
      <c r="I364" s="1" t="s">
        <v>85</v>
      </c>
      <c r="J364" s="1" t="s">
        <v>44</v>
      </c>
      <c r="K364" s="3">
        <v>3</v>
      </c>
      <c r="L364" s="2">
        <v>77513</v>
      </c>
      <c r="M364" s="3">
        <v>5</v>
      </c>
      <c r="N364" s="1" t="s">
        <v>166</v>
      </c>
      <c r="O364" s="1" t="s">
        <v>57</v>
      </c>
      <c r="P364" s="1" t="s">
        <v>69</v>
      </c>
      <c r="Q364" s="1" t="s">
        <v>3415</v>
      </c>
      <c r="R364" s="1" t="s">
        <v>1448</v>
      </c>
      <c r="S364" s="3">
        <v>2</v>
      </c>
      <c r="T364" s="1" t="s">
        <v>72</v>
      </c>
      <c r="U364" s="3">
        <v>481</v>
      </c>
      <c r="V364" s="1" t="s">
        <v>62</v>
      </c>
      <c r="W364" s="5">
        <f>Table1[[#This Row],[Quantity]]*Table1[[#This Row],[Price]]*(1-Table1[[#This Row],[Discount %]]/100)</f>
        <v>220912.05</v>
      </c>
      <c r="X364">
        <f>Table1[[#This Row],[DeliveryDate]]-Table1[[#This Row],[OrderDate]]</f>
        <v>4</v>
      </c>
      <c r="Y364" t="str">
        <f>TEXT(Table1[[#This Row],[OrderDate]],"MMMM")</f>
        <v>April</v>
      </c>
      <c r="Z364" s="5">
        <f>YEAR(Table1[[#This Row],[OrderDate]])</f>
        <v>2023</v>
      </c>
    </row>
    <row r="365" spans="1:26" x14ac:dyDescent="0.3">
      <c r="A365" s="1" t="s">
        <v>1449</v>
      </c>
      <c r="B365" t="s">
        <v>23</v>
      </c>
      <c r="C365" s="3">
        <v>58</v>
      </c>
      <c r="D365" s="1" t="s">
        <v>24</v>
      </c>
      <c r="E365" s="1" t="s">
        <v>52</v>
      </c>
      <c r="F365" s="1" t="s">
        <v>82</v>
      </c>
      <c r="G365" s="4">
        <v>44961</v>
      </c>
      <c r="H365" s="4">
        <v>44963</v>
      </c>
      <c r="I365" s="1" t="s">
        <v>77</v>
      </c>
      <c r="J365" s="1" t="s">
        <v>44</v>
      </c>
      <c r="K365" s="3">
        <v>5</v>
      </c>
      <c r="L365" s="2">
        <v>51602</v>
      </c>
      <c r="M365" s="3">
        <v>10</v>
      </c>
      <c r="N365" s="1" t="s">
        <v>45</v>
      </c>
      <c r="O365" s="1" t="s">
        <v>46</v>
      </c>
      <c r="P365" s="1" t="s">
        <v>33</v>
      </c>
      <c r="Q365" s="1" t="s">
        <v>34</v>
      </c>
      <c r="R365" s="1" t="s">
        <v>1452</v>
      </c>
      <c r="S365" s="3">
        <v>4</v>
      </c>
      <c r="T365" s="1" t="s">
        <v>36</v>
      </c>
      <c r="U365" s="3">
        <v>256</v>
      </c>
      <c r="V365" s="1" t="s">
        <v>79</v>
      </c>
      <c r="W365" s="5">
        <f>Table1[[#This Row],[Quantity]]*Table1[[#This Row],[Price]]*(1-Table1[[#This Row],[Discount %]]/100)</f>
        <v>232209</v>
      </c>
      <c r="X365">
        <f>Table1[[#This Row],[DeliveryDate]]-Table1[[#This Row],[OrderDate]]</f>
        <v>2</v>
      </c>
      <c r="Y365" t="str">
        <f>TEXT(Table1[[#This Row],[OrderDate]],"MMMM")</f>
        <v>February</v>
      </c>
      <c r="Z365" s="5">
        <f>YEAR(Table1[[#This Row],[OrderDate]])</f>
        <v>2023</v>
      </c>
    </row>
    <row r="366" spans="1:26" x14ac:dyDescent="0.3">
      <c r="A366" s="1" t="s">
        <v>1453</v>
      </c>
      <c r="B366" t="s">
        <v>74</v>
      </c>
      <c r="C366" s="3">
        <v>30</v>
      </c>
      <c r="D366" s="1" t="s">
        <v>51</v>
      </c>
      <c r="E366" s="1" t="s">
        <v>40</v>
      </c>
      <c r="F366" s="1" t="s">
        <v>53</v>
      </c>
      <c r="G366" s="4">
        <v>45513</v>
      </c>
      <c r="H366" s="4">
        <v>45516</v>
      </c>
      <c r="I366" s="1" t="s">
        <v>85</v>
      </c>
      <c r="J366" s="1" t="s">
        <v>44</v>
      </c>
      <c r="K366" s="3">
        <v>1</v>
      </c>
      <c r="L366" s="2">
        <v>24817</v>
      </c>
      <c r="M366" s="3">
        <v>15</v>
      </c>
      <c r="N366" s="1" t="s">
        <v>45</v>
      </c>
      <c r="O366" s="1" t="s">
        <v>102</v>
      </c>
      <c r="P366" s="1" t="s">
        <v>33</v>
      </c>
      <c r="Q366" s="1" t="s">
        <v>78</v>
      </c>
      <c r="R366" s="1" t="s">
        <v>1454</v>
      </c>
      <c r="S366" s="3">
        <v>1</v>
      </c>
      <c r="T366" s="1" t="s">
        <v>72</v>
      </c>
      <c r="U366" s="3">
        <v>192</v>
      </c>
      <c r="V366" s="1" t="s">
        <v>79</v>
      </c>
      <c r="W366" s="5">
        <f>Table1[[#This Row],[Quantity]]*Table1[[#This Row],[Price]]*(1-Table1[[#This Row],[Discount %]]/100)</f>
        <v>21094.45</v>
      </c>
      <c r="X366">
        <f>Table1[[#This Row],[DeliveryDate]]-Table1[[#This Row],[OrderDate]]</f>
        <v>3</v>
      </c>
      <c r="Y366" t="str">
        <f>TEXT(Table1[[#This Row],[OrderDate]],"MMMM")</f>
        <v>August</v>
      </c>
      <c r="Z366" s="5">
        <f>YEAR(Table1[[#This Row],[OrderDate]])</f>
        <v>2024</v>
      </c>
    </row>
    <row r="367" spans="1:26" x14ac:dyDescent="0.3">
      <c r="A367" s="1" t="s">
        <v>1455</v>
      </c>
      <c r="B367" t="s">
        <v>50</v>
      </c>
      <c r="C367" s="3">
        <v>31</v>
      </c>
      <c r="D367" s="1" t="s">
        <v>51</v>
      </c>
      <c r="E367" s="1" t="s">
        <v>142</v>
      </c>
      <c r="F367" s="1" t="s">
        <v>53</v>
      </c>
      <c r="G367" s="4">
        <v>45336</v>
      </c>
      <c r="H367" s="4">
        <v>45339</v>
      </c>
      <c r="I367" s="1" t="s">
        <v>43</v>
      </c>
      <c r="J367" s="1" t="s">
        <v>44</v>
      </c>
      <c r="K367" s="3">
        <v>4</v>
      </c>
      <c r="L367" s="2">
        <v>67112</v>
      </c>
      <c r="M367" s="3">
        <v>15</v>
      </c>
      <c r="N367" s="1" t="s">
        <v>166</v>
      </c>
      <c r="O367" s="1" t="s">
        <v>281</v>
      </c>
      <c r="P367" s="1" t="s">
        <v>58</v>
      </c>
      <c r="Q367" s="1" t="s">
        <v>59</v>
      </c>
      <c r="R367" s="1" t="s">
        <v>1456</v>
      </c>
      <c r="S367" s="3">
        <v>3</v>
      </c>
      <c r="T367" s="1" t="s">
        <v>72</v>
      </c>
      <c r="U367" s="3">
        <v>385</v>
      </c>
      <c r="V367" s="1" t="s">
        <v>37</v>
      </c>
      <c r="W367" s="5">
        <f>Table1[[#This Row],[Quantity]]*Table1[[#This Row],[Price]]*(1-Table1[[#This Row],[Discount %]]/100)</f>
        <v>228180.8</v>
      </c>
      <c r="X367">
        <f>Table1[[#This Row],[DeliveryDate]]-Table1[[#This Row],[OrderDate]]</f>
        <v>3</v>
      </c>
      <c r="Y367" t="str">
        <f>TEXT(Table1[[#This Row],[OrderDate]],"MMMM")</f>
        <v>February</v>
      </c>
      <c r="Z367" s="5">
        <f>YEAR(Table1[[#This Row],[OrderDate]])</f>
        <v>2024</v>
      </c>
    </row>
    <row r="368" spans="1:26" x14ac:dyDescent="0.3">
      <c r="A368" s="1" t="s">
        <v>1457</v>
      </c>
      <c r="B368" t="s">
        <v>278</v>
      </c>
      <c r="C368" s="3">
        <v>48</v>
      </c>
      <c r="D368" s="1" t="s">
        <v>24</v>
      </c>
      <c r="E368" s="1" t="s">
        <v>99</v>
      </c>
      <c r="F368" s="1" t="s">
        <v>26</v>
      </c>
      <c r="G368" s="4">
        <v>45357</v>
      </c>
      <c r="H368" s="4">
        <v>45359</v>
      </c>
      <c r="I368" s="1" t="s">
        <v>43</v>
      </c>
      <c r="J368" s="1" t="s">
        <v>30</v>
      </c>
      <c r="K368" s="3">
        <v>5</v>
      </c>
      <c r="L368" s="2">
        <v>64870</v>
      </c>
      <c r="M368" s="3">
        <v>5</v>
      </c>
      <c r="N368" s="1" t="s">
        <v>45</v>
      </c>
      <c r="O368" s="1" t="s">
        <v>133</v>
      </c>
      <c r="P368" s="1" t="s">
        <v>33</v>
      </c>
      <c r="Q368" s="1" t="s">
        <v>282</v>
      </c>
      <c r="R368" s="1" t="s">
        <v>1458</v>
      </c>
      <c r="S368" s="3">
        <v>5</v>
      </c>
      <c r="T368" s="1" t="s">
        <v>61</v>
      </c>
      <c r="U368" s="3">
        <v>490</v>
      </c>
      <c r="V368" s="1" t="s">
        <v>79</v>
      </c>
      <c r="W368" s="5">
        <f>Table1[[#This Row],[Quantity]]*Table1[[#This Row],[Price]]*(1-Table1[[#This Row],[Discount %]]/100)</f>
        <v>308132.5</v>
      </c>
      <c r="X368">
        <f>Table1[[#This Row],[DeliveryDate]]-Table1[[#This Row],[OrderDate]]</f>
        <v>2</v>
      </c>
      <c r="Y368" t="str">
        <f>TEXT(Table1[[#This Row],[OrderDate]],"MMMM")</f>
        <v>March</v>
      </c>
      <c r="Z368" s="5">
        <f>YEAR(Table1[[#This Row],[OrderDate]])</f>
        <v>2024</v>
      </c>
    </row>
    <row r="369" spans="1:26" x14ac:dyDescent="0.3">
      <c r="A369" s="1" t="s">
        <v>1459</v>
      </c>
      <c r="B369" t="s">
        <v>850</v>
      </c>
      <c r="C369" s="3">
        <v>43</v>
      </c>
      <c r="D369" s="1" t="s">
        <v>51</v>
      </c>
      <c r="E369" s="1" t="s">
        <v>25</v>
      </c>
      <c r="F369" s="1" t="s">
        <v>53</v>
      </c>
      <c r="G369" s="4">
        <v>45175</v>
      </c>
      <c r="H369" s="4">
        <v>45180</v>
      </c>
      <c r="I369" s="1" t="s">
        <v>93</v>
      </c>
      <c r="J369" s="1" t="s">
        <v>30</v>
      </c>
      <c r="K369" s="3">
        <v>2</v>
      </c>
      <c r="L369" s="2">
        <v>46693</v>
      </c>
      <c r="M369" s="3">
        <v>15</v>
      </c>
      <c r="N369" s="1" t="s">
        <v>31</v>
      </c>
      <c r="O369" s="1" t="s">
        <v>173</v>
      </c>
      <c r="P369" s="1" t="s">
        <v>33</v>
      </c>
      <c r="Q369" s="1" t="s">
        <v>3415</v>
      </c>
      <c r="R369" s="1" t="s">
        <v>1461</v>
      </c>
      <c r="S369" s="3">
        <v>1</v>
      </c>
      <c r="T369" s="1" t="s">
        <v>36</v>
      </c>
      <c r="U369" s="3">
        <v>193</v>
      </c>
      <c r="V369" s="1" t="s">
        <v>62</v>
      </c>
      <c r="W369" s="5">
        <f>Table1[[#This Row],[Quantity]]*Table1[[#This Row],[Price]]*(1-Table1[[#This Row],[Discount %]]/100)</f>
        <v>79378.099999999991</v>
      </c>
      <c r="X369">
        <f>Table1[[#This Row],[DeliveryDate]]-Table1[[#This Row],[OrderDate]]</f>
        <v>5</v>
      </c>
      <c r="Y369" t="str">
        <f>TEXT(Table1[[#This Row],[OrderDate]],"MMMM")</f>
        <v>September</v>
      </c>
      <c r="Z369" s="5">
        <f>YEAR(Table1[[#This Row],[OrderDate]])</f>
        <v>2023</v>
      </c>
    </row>
    <row r="370" spans="1:26" x14ac:dyDescent="0.3">
      <c r="A370" s="1" t="s">
        <v>1462</v>
      </c>
      <c r="B370" t="s">
        <v>476</v>
      </c>
      <c r="C370" s="3">
        <v>32</v>
      </c>
      <c r="D370" s="1" t="s">
        <v>51</v>
      </c>
      <c r="E370" s="1" t="s">
        <v>25</v>
      </c>
      <c r="F370" s="1" t="s">
        <v>82</v>
      </c>
      <c r="G370" s="4">
        <v>45375</v>
      </c>
      <c r="H370" s="4">
        <v>45385</v>
      </c>
      <c r="I370" s="1" t="s">
        <v>43</v>
      </c>
      <c r="J370" s="1" t="s">
        <v>30</v>
      </c>
      <c r="K370" s="3">
        <v>2.9447852760736195</v>
      </c>
      <c r="L370" s="2">
        <v>71979</v>
      </c>
      <c r="M370" s="3">
        <v>5</v>
      </c>
      <c r="N370" s="1" t="s">
        <v>56</v>
      </c>
      <c r="O370" s="1" t="s">
        <v>281</v>
      </c>
      <c r="P370" s="1" t="s">
        <v>33</v>
      </c>
      <c r="Q370" s="1" t="s">
        <v>478</v>
      </c>
      <c r="R370" s="1" t="s">
        <v>1464</v>
      </c>
      <c r="S370" s="3">
        <v>1</v>
      </c>
      <c r="T370" s="1" t="s">
        <v>36</v>
      </c>
      <c r="U370" s="3">
        <v>316</v>
      </c>
      <c r="V370" s="1" t="s">
        <v>62</v>
      </c>
      <c r="W370" s="5">
        <f>Table1[[#This Row],[Quantity]]*Table1[[#This Row],[Price]]*(1-Table1[[#This Row],[Discount %]]/100)</f>
        <v>201364.5644171779</v>
      </c>
      <c r="X370">
        <f>Table1[[#This Row],[DeliveryDate]]-Table1[[#This Row],[OrderDate]]</f>
        <v>10</v>
      </c>
      <c r="Y370" t="str">
        <f>TEXT(Table1[[#This Row],[OrderDate]],"MMMM")</f>
        <v>March</v>
      </c>
      <c r="Z370" s="5">
        <f>YEAR(Table1[[#This Row],[OrderDate]])</f>
        <v>2024</v>
      </c>
    </row>
    <row r="371" spans="1:26" x14ac:dyDescent="0.3">
      <c r="A371" s="1" t="s">
        <v>1465</v>
      </c>
      <c r="B371" t="s">
        <v>601</v>
      </c>
      <c r="C371" s="3">
        <v>45</v>
      </c>
      <c r="D371" s="1" t="s">
        <v>51</v>
      </c>
      <c r="E371" s="1" t="s">
        <v>40</v>
      </c>
      <c r="F371" s="1" t="s">
        <v>26</v>
      </c>
      <c r="G371" s="4">
        <v>45126</v>
      </c>
      <c r="H371" s="4">
        <v>45135</v>
      </c>
      <c r="I371" s="1" t="s">
        <v>93</v>
      </c>
      <c r="J371" s="1" t="s">
        <v>30</v>
      </c>
      <c r="K371" s="3">
        <v>3</v>
      </c>
      <c r="L371" s="2">
        <v>52830</v>
      </c>
      <c r="M371" s="3">
        <v>0</v>
      </c>
      <c r="N371" s="1" t="s">
        <v>31</v>
      </c>
      <c r="O371" s="1" t="s">
        <v>68</v>
      </c>
      <c r="P371" s="1" t="s">
        <v>33</v>
      </c>
      <c r="Q371" s="1" t="s">
        <v>3415</v>
      </c>
      <c r="R371" s="1" t="s">
        <v>1467</v>
      </c>
      <c r="S371" s="3">
        <v>3</v>
      </c>
      <c r="T371" s="1" t="s">
        <v>36</v>
      </c>
      <c r="U371" s="3">
        <v>234</v>
      </c>
      <c r="V371" s="1" t="s">
        <v>79</v>
      </c>
      <c r="W371" s="5">
        <f>Table1[[#This Row],[Quantity]]*Table1[[#This Row],[Price]]*(1-Table1[[#This Row],[Discount %]]/100)</f>
        <v>158490</v>
      </c>
      <c r="X371">
        <f>Table1[[#This Row],[DeliveryDate]]-Table1[[#This Row],[OrderDate]]</f>
        <v>9</v>
      </c>
      <c r="Y371" t="str">
        <f>TEXT(Table1[[#This Row],[OrderDate]],"MMMM")</f>
        <v>July</v>
      </c>
      <c r="Z371" s="5">
        <f>YEAR(Table1[[#This Row],[OrderDate]])</f>
        <v>2023</v>
      </c>
    </row>
    <row r="372" spans="1:26" x14ac:dyDescent="0.3">
      <c r="A372" s="1" t="s">
        <v>1468</v>
      </c>
      <c r="B372" t="s">
        <v>570</v>
      </c>
      <c r="C372" s="3">
        <v>24</v>
      </c>
      <c r="D372" s="1" t="s">
        <v>24</v>
      </c>
      <c r="E372" s="1" t="s">
        <v>142</v>
      </c>
      <c r="F372" s="1" t="s">
        <v>65</v>
      </c>
      <c r="G372" s="4">
        <v>45482</v>
      </c>
      <c r="H372" s="4">
        <v>45486</v>
      </c>
      <c r="I372" s="1" t="s">
        <v>29</v>
      </c>
      <c r="J372" s="1" t="s">
        <v>44</v>
      </c>
      <c r="K372" s="3">
        <v>1</v>
      </c>
      <c r="L372" s="2">
        <v>40702</v>
      </c>
      <c r="M372" s="3">
        <v>15</v>
      </c>
      <c r="N372" s="1" t="s">
        <v>31</v>
      </c>
      <c r="O372" s="1" t="s">
        <v>133</v>
      </c>
      <c r="P372" s="1" t="s">
        <v>174</v>
      </c>
      <c r="Q372" s="1" t="s">
        <v>573</v>
      </c>
      <c r="R372" s="1" t="s">
        <v>1470</v>
      </c>
      <c r="S372" s="3">
        <v>1</v>
      </c>
      <c r="T372" s="1" t="s">
        <v>72</v>
      </c>
      <c r="U372" s="3">
        <v>405</v>
      </c>
      <c r="V372" s="1" t="s">
        <v>37</v>
      </c>
      <c r="W372" s="5">
        <f>Table1[[#This Row],[Quantity]]*Table1[[#This Row],[Price]]*(1-Table1[[#This Row],[Discount %]]/100)</f>
        <v>34596.699999999997</v>
      </c>
      <c r="X372">
        <f>Table1[[#This Row],[DeliveryDate]]-Table1[[#This Row],[OrderDate]]</f>
        <v>4</v>
      </c>
      <c r="Y372" t="str">
        <f>TEXT(Table1[[#This Row],[OrderDate]],"MMMM")</f>
        <v>July</v>
      </c>
      <c r="Z372" s="5">
        <f>YEAR(Table1[[#This Row],[OrderDate]])</f>
        <v>2024</v>
      </c>
    </row>
    <row r="373" spans="1:26" x14ac:dyDescent="0.3">
      <c r="A373" s="1" t="s">
        <v>1471</v>
      </c>
      <c r="B373" t="s">
        <v>382</v>
      </c>
      <c r="C373" s="3">
        <v>59</v>
      </c>
      <c r="D373" s="1" t="s">
        <v>51</v>
      </c>
      <c r="E373" s="1" t="s">
        <v>25</v>
      </c>
      <c r="F373" s="1" t="s">
        <v>53</v>
      </c>
      <c r="G373" s="4">
        <v>45499</v>
      </c>
      <c r="H373" s="4">
        <v>45503</v>
      </c>
      <c r="I373" s="1" t="s">
        <v>85</v>
      </c>
      <c r="J373" s="1" t="s">
        <v>30</v>
      </c>
      <c r="K373" s="3">
        <v>5</v>
      </c>
      <c r="L373" s="2">
        <v>35256</v>
      </c>
      <c r="M373" s="3">
        <v>10</v>
      </c>
      <c r="N373" s="1" t="s">
        <v>56</v>
      </c>
      <c r="O373" s="1" t="s">
        <v>46</v>
      </c>
      <c r="P373" s="1" t="s">
        <v>33</v>
      </c>
      <c r="Q373" s="1" t="s">
        <v>385</v>
      </c>
      <c r="R373" s="1" t="s">
        <v>1472</v>
      </c>
      <c r="S373" s="3">
        <v>4</v>
      </c>
      <c r="T373" s="1" t="s">
        <v>72</v>
      </c>
      <c r="U373" s="3">
        <v>401</v>
      </c>
      <c r="V373" s="1" t="s">
        <v>62</v>
      </c>
      <c r="W373" s="5">
        <f>Table1[[#This Row],[Quantity]]*Table1[[#This Row],[Price]]*(1-Table1[[#This Row],[Discount %]]/100)</f>
        <v>158652</v>
      </c>
      <c r="X373">
        <f>Table1[[#This Row],[DeliveryDate]]-Table1[[#This Row],[OrderDate]]</f>
        <v>4</v>
      </c>
      <c r="Y373" t="str">
        <f>TEXT(Table1[[#This Row],[OrderDate]],"MMMM")</f>
        <v>July</v>
      </c>
      <c r="Z373" s="5">
        <f>YEAR(Table1[[#This Row],[OrderDate]])</f>
        <v>2024</v>
      </c>
    </row>
    <row r="374" spans="1:26" x14ac:dyDescent="0.3">
      <c r="A374" s="1" t="s">
        <v>1473</v>
      </c>
      <c r="B374" t="s">
        <v>1309</v>
      </c>
      <c r="C374" s="3">
        <v>18</v>
      </c>
      <c r="D374" s="1" t="s">
        <v>24</v>
      </c>
      <c r="E374" s="1" t="s">
        <v>99</v>
      </c>
      <c r="F374" s="1" t="s">
        <v>53</v>
      </c>
      <c r="G374" s="4">
        <v>45298</v>
      </c>
      <c r="H374" s="4">
        <v>45304</v>
      </c>
      <c r="I374" s="1" t="s">
        <v>29</v>
      </c>
      <c r="J374" s="1" t="s">
        <v>30</v>
      </c>
      <c r="K374" s="3">
        <v>2</v>
      </c>
      <c r="L374" s="2">
        <v>79251</v>
      </c>
      <c r="M374" s="3">
        <v>0</v>
      </c>
      <c r="N374" s="1" t="s">
        <v>45</v>
      </c>
      <c r="O374" s="1" t="s">
        <v>281</v>
      </c>
      <c r="P374" s="1" t="s">
        <v>58</v>
      </c>
      <c r="Q374" s="1" t="s">
        <v>1311</v>
      </c>
      <c r="R374" s="1" t="s">
        <v>1475</v>
      </c>
      <c r="S374" s="3">
        <v>3</v>
      </c>
      <c r="T374" s="1" t="s">
        <v>61</v>
      </c>
      <c r="U374" s="3">
        <v>373</v>
      </c>
      <c r="V374" s="1" t="s">
        <v>62</v>
      </c>
      <c r="W374" s="5">
        <f>Table1[[#This Row],[Quantity]]*Table1[[#This Row],[Price]]*(1-Table1[[#This Row],[Discount %]]/100)</f>
        <v>158502</v>
      </c>
      <c r="X374">
        <f>Table1[[#This Row],[DeliveryDate]]-Table1[[#This Row],[OrderDate]]</f>
        <v>6</v>
      </c>
      <c r="Y374" t="str">
        <f>TEXT(Table1[[#This Row],[OrderDate]],"MMMM")</f>
        <v>January</v>
      </c>
      <c r="Z374" s="5">
        <f>YEAR(Table1[[#This Row],[OrderDate]])</f>
        <v>2024</v>
      </c>
    </row>
    <row r="375" spans="1:26" x14ac:dyDescent="0.3">
      <c r="A375" s="1" t="s">
        <v>1476</v>
      </c>
      <c r="B375" t="s">
        <v>315</v>
      </c>
      <c r="C375" s="3">
        <v>28</v>
      </c>
      <c r="D375" s="1" t="s">
        <v>24</v>
      </c>
      <c r="E375" s="1" t="s">
        <v>52</v>
      </c>
      <c r="F375" s="1" t="s">
        <v>82</v>
      </c>
      <c r="G375" s="4">
        <v>45163</v>
      </c>
      <c r="H375" s="4">
        <v>45171</v>
      </c>
      <c r="I375" s="1" t="s">
        <v>77</v>
      </c>
      <c r="J375" s="1" t="s">
        <v>44</v>
      </c>
      <c r="K375" s="3">
        <v>4</v>
      </c>
      <c r="L375" s="2">
        <v>19368</v>
      </c>
      <c r="M375" s="3">
        <v>0</v>
      </c>
      <c r="N375" s="1" t="s">
        <v>56</v>
      </c>
      <c r="O375" s="1" t="s">
        <v>68</v>
      </c>
      <c r="P375" s="1" t="s">
        <v>174</v>
      </c>
      <c r="Q375" s="1" t="s">
        <v>318</v>
      </c>
      <c r="R375" s="1" t="s">
        <v>1478</v>
      </c>
      <c r="S375" s="3">
        <v>4</v>
      </c>
      <c r="T375" s="1" t="s">
        <v>61</v>
      </c>
      <c r="U375" s="3">
        <v>179</v>
      </c>
      <c r="V375" s="1" t="s">
        <v>37</v>
      </c>
      <c r="W375" s="5">
        <f>Table1[[#This Row],[Quantity]]*Table1[[#This Row],[Price]]*(1-Table1[[#This Row],[Discount %]]/100)</f>
        <v>77472</v>
      </c>
      <c r="X375">
        <f>Table1[[#This Row],[DeliveryDate]]-Table1[[#This Row],[OrderDate]]</f>
        <v>8</v>
      </c>
      <c r="Y375" t="str">
        <f>TEXT(Table1[[#This Row],[OrderDate]],"MMMM")</f>
        <v>August</v>
      </c>
      <c r="Z375" s="5">
        <f>YEAR(Table1[[#This Row],[OrderDate]])</f>
        <v>2023</v>
      </c>
    </row>
    <row r="376" spans="1:26" x14ac:dyDescent="0.3">
      <c r="A376" s="1" t="s">
        <v>1479</v>
      </c>
      <c r="B376" t="s">
        <v>547</v>
      </c>
      <c r="C376" s="3">
        <v>32</v>
      </c>
      <c r="D376" s="1" t="s">
        <v>24</v>
      </c>
      <c r="E376" s="1" t="s">
        <v>229</v>
      </c>
      <c r="F376" s="1" t="s">
        <v>53</v>
      </c>
      <c r="G376" s="4">
        <v>45232</v>
      </c>
      <c r="H376" s="4">
        <v>45234</v>
      </c>
      <c r="I376" s="1" t="s">
        <v>93</v>
      </c>
      <c r="J376" s="1" t="s">
        <v>44</v>
      </c>
      <c r="K376" s="3">
        <v>2</v>
      </c>
      <c r="L376" s="2">
        <v>51377</v>
      </c>
      <c r="M376" s="3">
        <v>10</v>
      </c>
      <c r="N376" s="1" t="s">
        <v>166</v>
      </c>
      <c r="O376" s="1" t="s">
        <v>86</v>
      </c>
      <c r="P376" s="1" t="s">
        <v>69</v>
      </c>
      <c r="Q376" s="1" t="s">
        <v>549</v>
      </c>
      <c r="R376" s="1" t="s">
        <v>1481</v>
      </c>
      <c r="S376" s="3">
        <v>4</v>
      </c>
      <c r="T376" s="1" t="s">
        <v>72</v>
      </c>
      <c r="U376" s="3">
        <v>490</v>
      </c>
      <c r="V376" s="1" t="s">
        <v>62</v>
      </c>
      <c r="W376" s="5">
        <f>Table1[[#This Row],[Quantity]]*Table1[[#This Row],[Price]]*(1-Table1[[#This Row],[Discount %]]/100)</f>
        <v>92478.6</v>
      </c>
      <c r="X376">
        <f>Table1[[#This Row],[DeliveryDate]]-Table1[[#This Row],[OrderDate]]</f>
        <v>2</v>
      </c>
      <c r="Y376" t="str">
        <f>TEXT(Table1[[#This Row],[OrderDate]],"MMMM")</f>
        <v>November</v>
      </c>
      <c r="Z376" s="5">
        <f>YEAR(Table1[[#This Row],[OrderDate]])</f>
        <v>2023</v>
      </c>
    </row>
    <row r="377" spans="1:26" x14ac:dyDescent="0.3">
      <c r="A377" s="1" t="s">
        <v>1482</v>
      </c>
      <c r="B377" t="s">
        <v>23</v>
      </c>
      <c r="C377" s="3">
        <v>56</v>
      </c>
      <c r="D377" s="1" t="s">
        <v>51</v>
      </c>
      <c r="E377" s="1" t="s">
        <v>229</v>
      </c>
      <c r="F377" s="1" t="s">
        <v>65</v>
      </c>
      <c r="G377" s="4">
        <v>45170</v>
      </c>
      <c r="H377" s="4">
        <v>45173</v>
      </c>
      <c r="I377" s="1" t="s">
        <v>77</v>
      </c>
      <c r="J377" s="1" t="s">
        <v>30</v>
      </c>
      <c r="K377" s="3">
        <v>1</v>
      </c>
      <c r="L377" s="2">
        <v>38511</v>
      </c>
      <c r="M377" s="3">
        <v>10</v>
      </c>
      <c r="N377" s="1" t="s">
        <v>56</v>
      </c>
      <c r="O377" s="1" t="s">
        <v>281</v>
      </c>
      <c r="P377" s="1" t="s">
        <v>174</v>
      </c>
      <c r="Q377" s="1" t="s">
        <v>34</v>
      </c>
      <c r="R377" s="1" t="s">
        <v>1484</v>
      </c>
      <c r="S377" s="3">
        <v>1</v>
      </c>
      <c r="T377" s="1" t="s">
        <v>96</v>
      </c>
      <c r="U377" s="3">
        <v>62</v>
      </c>
      <c r="V377" s="1" t="s">
        <v>37</v>
      </c>
      <c r="W377" s="5">
        <f>Table1[[#This Row],[Quantity]]*Table1[[#This Row],[Price]]*(1-Table1[[#This Row],[Discount %]]/100)</f>
        <v>34659.9</v>
      </c>
      <c r="X377">
        <f>Table1[[#This Row],[DeliveryDate]]-Table1[[#This Row],[OrderDate]]</f>
        <v>3</v>
      </c>
      <c r="Y377" t="str">
        <f>TEXT(Table1[[#This Row],[OrderDate]],"MMMM")</f>
        <v>September</v>
      </c>
      <c r="Z377" s="5">
        <f>YEAR(Table1[[#This Row],[OrderDate]])</f>
        <v>2023</v>
      </c>
    </row>
    <row r="378" spans="1:26" x14ac:dyDescent="0.3">
      <c r="A378" s="1" t="s">
        <v>1485</v>
      </c>
      <c r="B378" t="s">
        <v>397</v>
      </c>
      <c r="C378" s="3">
        <v>57</v>
      </c>
      <c r="D378" s="1" t="s">
        <v>24</v>
      </c>
      <c r="E378" s="1" t="s">
        <v>40</v>
      </c>
      <c r="F378" s="1" t="s">
        <v>65</v>
      </c>
      <c r="G378" s="4">
        <v>44952</v>
      </c>
      <c r="H378" s="4">
        <v>44960</v>
      </c>
      <c r="I378" s="1" t="s">
        <v>43</v>
      </c>
      <c r="J378" s="1" t="s">
        <v>44</v>
      </c>
      <c r="K378" s="3">
        <v>2</v>
      </c>
      <c r="L378" s="2">
        <v>37099</v>
      </c>
      <c r="M378" s="3">
        <v>10</v>
      </c>
      <c r="N378" s="1" t="s">
        <v>56</v>
      </c>
      <c r="O378" s="1" t="s">
        <v>57</v>
      </c>
      <c r="P378" s="1" t="s">
        <v>69</v>
      </c>
      <c r="Q378" s="1" t="s">
        <v>400</v>
      </c>
      <c r="R378" s="1" t="s">
        <v>3415</v>
      </c>
      <c r="S378" s="3">
        <v>4</v>
      </c>
      <c r="T378" s="1" t="s">
        <v>72</v>
      </c>
      <c r="U378" s="3">
        <v>334</v>
      </c>
      <c r="V378" s="1" t="s">
        <v>37</v>
      </c>
      <c r="W378" s="5">
        <f>Table1[[#This Row],[Quantity]]*Table1[[#This Row],[Price]]*(1-Table1[[#This Row],[Discount %]]/100)</f>
        <v>66778.2</v>
      </c>
      <c r="X378">
        <f>Table1[[#This Row],[DeliveryDate]]-Table1[[#This Row],[OrderDate]]</f>
        <v>8</v>
      </c>
      <c r="Y378" t="str">
        <f>TEXT(Table1[[#This Row],[OrderDate]],"MMMM")</f>
        <v>January</v>
      </c>
      <c r="Z378" s="5">
        <f>YEAR(Table1[[#This Row],[OrderDate]])</f>
        <v>2023</v>
      </c>
    </row>
    <row r="379" spans="1:26" x14ac:dyDescent="0.3">
      <c r="A379" s="1" t="s">
        <v>1487</v>
      </c>
      <c r="B379" t="s">
        <v>125</v>
      </c>
      <c r="C379" s="3">
        <v>39</v>
      </c>
      <c r="D379" s="1" t="s">
        <v>51</v>
      </c>
      <c r="E379" s="1" t="s">
        <v>40</v>
      </c>
      <c r="F379" s="1" t="s">
        <v>53</v>
      </c>
      <c r="G379" s="4">
        <v>45303</v>
      </c>
      <c r="H379" s="4">
        <v>45310</v>
      </c>
      <c r="I379" s="1" t="s">
        <v>85</v>
      </c>
      <c r="J379" s="1" t="s">
        <v>44</v>
      </c>
      <c r="K379" s="3">
        <v>2</v>
      </c>
      <c r="L379" s="2">
        <v>34547</v>
      </c>
      <c r="M379" s="3">
        <v>5</v>
      </c>
      <c r="N379" s="1" t="s">
        <v>45</v>
      </c>
      <c r="O379" s="1" t="s">
        <v>32</v>
      </c>
      <c r="P379" s="1" t="s">
        <v>58</v>
      </c>
      <c r="Q379" s="1" t="s">
        <v>756</v>
      </c>
      <c r="R379" s="1" t="s">
        <v>1490</v>
      </c>
      <c r="S379" s="3">
        <v>3</v>
      </c>
      <c r="T379" s="1" t="s">
        <v>72</v>
      </c>
      <c r="U379" s="3">
        <v>360</v>
      </c>
      <c r="V379" s="1" t="s">
        <v>37</v>
      </c>
      <c r="W379" s="5">
        <f>Table1[[#This Row],[Quantity]]*Table1[[#This Row],[Price]]*(1-Table1[[#This Row],[Discount %]]/100)</f>
        <v>65639.3</v>
      </c>
      <c r="X379">
        <f>Table1[[#This Row],[DeliveryDate]]-Table1[[#This Row],[OrderDate]]</f>
        <v>7</v>
      </c>
      <c r="Y379" t="str">
        <f>TEXT(Table1[[#This Row],[OrderDate]],"MMMM")</f>
        <v>January</v>
      </c>
      <c r="Z379" s="5">
        <f>YEAR(Table1[[#This Row],[OrderDate]])</f>
        <v>2024</v>
      </c>
    </row>
    <row r="380" spans="1:26" x14ac:dyDescent="0.3">
      <c r="A380" s="1" t="s">
        <v>1491</v>
      </c>
      <c r="B380" t="s">
        <v>684</v>
      </c>
      <c r="C380" s="3">
        <v>46</v>
      </c>
      <c r="D380" s="1" t="s">
        <v>24</v>
      </c>
      <c r="E380" s="1" t="s">
        <v>40</v>
      </c>
      <c r="F380" s="1" t="s">
        <v>53</v>
      </c>
      <c r="G380" s="4">
        <v>44942</v>
      </c>
      <c r="H380" s="4">
        <v>44947</v>
      </c>
      <c r="I380" s="1" t="s">
        <v>93</v>
      </c>
      <c r="J380" s="1" t="s">
        <v>44</v>
      </c>
      <c r="K380" s="3">
        <v>3</v>
      </c>
      <c r="L380" s="2">
        <v>29221</v>
      </c>
      <c r="M380" s="3">
        <v>10</v>
      </c>
      <c r="N380" s="1" t="s">
        <v>56</v>
      </c>
      <c r="O380" s="1" t="s">
        <v>57</v>
      </c>
      <c r="P380" s="1" t="s">
        <v>174</v>
      </c>
      <c r="Q380" s="1" t="s">
        <v>785</v>
      </c>
      <c r="R380" s="1" t="s">
        <v>1492</v>
      </c>
      <c r="S380" s="3">
        <v>2</v>
      </c>
      <c r="T380" s="1" t="s">
        <v>36</v>
      </c>
      <c r="U380" s="3">
        <v>101</v>
      </c>
      <c r="V380" s="1" t="s">
        <v>79</v>
      </c>
      <c r="W380" s="5">
        <f>Table1[[#This Row],[Quantity]]*Table1[[#This Row],[Price]]*(1-Table1[[#This Row],[Discount %]]/100)</f>
        <v>78896.7</v>
      </c>
      <c r="X380">
        <f>Table1[[#This Row],[DeliveryDate]]-Table1[[#This Row],[OrderDate]]</f>
        <v>5</v>
      </c>
      <c r="Y380" t="str">
        <f>TEXT(Table1[[#This Row],[OrderDate]],"MMMM")</f>
        <v>January</v>
      </c>
      <c r="Z380" s="5">
        <f>YEAR(Table1[[#This Row],[OrderDate]])</f>
        <v>2023</v>
      </c>
    </row>
    <row r="381" spans="1:26" x14ac:dyDescent="0.3">
      <c r="A381" s="1" t="s">
        <v>1493</v>
      </c>
      <c r="B381" t="s">
        <v>840</v>
      </c>
      <c r="C381" s="3">
        <v>19</v>
      </c>
      <c r="D381" s="1" t="s">
        <v>24</v>
      </c>
      <c r="E381" s="1" t="s">
        <v>40</v>
      </c>
      <c r="F381" s="1" t="s">
        <v>26</v>
      </c>
      <c r="G381" s="4">
        <v>45073</v>
      </c>
      <c r="H381" s="4">
        <v>45079</v>
      </c>
      <c r="I381" s="1" t="s">
        <v>108</v>
      </c>
      <c r="J381" s="1" t="s">
        <v>44</v>
      </c>
      <c r="K381" s="3">
        <v>3</v>
      </c>
      <c r="L381" s="2">
        <v>60876</v>
      </c>
      <c r="M381" s="3">
        <v>10</v>
      </c>
      <c r="N381" s="1" t="s">
        <v>45</v>
      </c>
      <c r="O381" s="1" t="s">
        <v>86</v>
      </c>
      <c r="P381" s="1" t="s">
        <v>69</v>
      </c>
      <c r="Q381" s="1" t="s">
        <v>1147</v>
      </c>
      <c r="R381" s="1" t="s">
        <v>1494</v>
      </c>
      <c r="S381" s="3">
        <v>3</v>
      </c>
      <c r="T381" s="1" t="s">
        <v>61</v>
      </c>
      <c r="U381" s="3">
        <v>206</v>
      </c>
      <c r="V381" s="1" t="s">
        <v>37</v>
      </c>
      <c r="W381" s="5">
        <f>Table1[[#This Row],[Quantity]]*Table1[[#This Row],[Price]]*(1-Table1[[#This Row],[Discount %]]/100)</f>
        <v>164365.20000000001</v>
      </c>
      <c r="X381">
        <f>Table1[[#This Row],[DeliveryDate]]-Table1[[#This Row],[OrderDate]]</f>
        <v>6</v>
      </c>
      <c r="Y381" t="str">
        <f>TEXT(Table1[[#This Row],[OrderDate]],"MMMM")</f>
        <v>May</v>
      </c>
      <c r="Z381" s="5">
        <f>YEAR(Table1[[#This Row],[OrderDate]])</f>
        <v>2023</v>
      </c>
    </row>
    <row r="382" spans="1:26" x14ac:dyDescent="0.3">
      <c r="A382" s="1" t="s">
        <v>1495</v>
      </c>
      <c r="B382" t="s">
        <v>471</v>
      </c>
      <c r="C382" s="3">
        <v>48</v>
      </c>
      <c r="D382" s="1" t="s">
        <v>24</v>
      </c>
      <c r="E382" s="1" t="s">
        <v>25</v>
      </c>
      <c r="F382" s="1" t="s">
        <v>53</v>
      </c>
      <c r="G382" s="4">
        <v>45154</v>
      </c>
      <c r="H382" s="4">
        <v>45159</v>
      </c>
      <c r="I382" s="1" t="s">
        <v>93</v>
      </c>
      <c r="J382" s="1" t="s">
        <v>30</v>
      </c>
      <c r="K382" s="3">
        <v>1</v>
      </c>
      <c r="L382" s="2">
        <v>10388</v>
      </c>
      <c r="M382" s="3">
        <v>5</v>
      </c>
      <c r="N382" s="1" t="s">
        <v>166</v>
      </c>
      <c r="O382" s="1" t="s">
        <v>133</v>
      </c>
      <c r="P382" s="1" t="s">
        <v>174</v>
      </c>
      <c r="Q382" s="1" t="s">
        <v>495</v>
      </c>
      <c r="R382" s="1" t="s">
        <v>1498</v>
      </c>
      <c r="S382" s="3">
        <v>1</v>
      </c>
      <c r="T382" s="1" t="s">
        <v>72</v>
      </c>
      <c r="U382" s="3">
        <v>367</v>
      </c>
      <c r="V382" s="1" t="s">
        <v>62</v>
      </c>
      <c r="W382" s="5">
        <f>Table1[[#This Row],[Quantity]]*Table1[[#This Row],[Price]]*(1-Table1[[#This Row],[Discount %]]/100)</f>
        <v>9868.6</v>
      </c>
      <c r="X382">
        <f>Table1[[#This Row],[DeliveryDate]]-Table1[[#This Row],[OrderDate]]</f>
        <v>5</v>
      </c>
      <c r="Y382" t="str">
        <f>TEXT(Table1[[#This Row],[OrderDate]],"MMMM")</f>
        <v>August</v>
      </c>
      <c r="Z382" s="5">
        <f>YEAR(Table1[[#This Row],[OrderDate]])</f>
        <v>2023</v>
      </c>
    </row>
    <row r="383" spans="1:26" x14ac:dyDescent="0.3">
      <c r="A383" s="1" t="s">
        <v>1499</v>
      </c>
      <c r="B383" t="s">
        <v>674</v>
      </c>
      <c r="C383" s="3">
        <v>36</v>
      </c>
      <c r="D383" s="1" t="s">
        <v>51</v>
      </c>
      <c r="E383" s="1" t="s">
        <v>131</v>
      </c>
      <c r="F383" s="1" t="s">
        <v>82</v>
      </c>
      <c r="G383" s="4">
        <v>45363</v>
      </c>
      <c r="H383" s="4">
        <v>45369</v>
      </c>
      <c r="I383" s="1" t="s">
        <v>93</v>
      </c>
      <c r="J383" s="1" t="s">
        <v>44</v>
      </c>
      <c r="K383" s="3">
        <v>5</v>
      </c>
      <c r="L383" s="2">
        <v>73537</v>
      </c>
      <c r="M383" s="3">
        <v>5</v>
      </c>
      <c r="N383" s="1" t="s">
        <v>45</v>
      </c>
      <c r="O383" s="1" t="s">
        <v>109</v>
      </c>
      <c r="P383" s="1" t="s">
        <v>58</v>
      </c>
      <c r="Q383" s="1" t="s">
        <v>677</v>
      </c>
      <c r="R383" s="1" t="s">
        <v>1501</v>
      </c>
      <c r="S383" s="3">
        <v>5</v>
      </c>
      <c r="T383" s="1" t="s">
        <v>72</v>
      </c>
      <c r="U383" s="3">
        <v>422</v>
      </c>
      <c r="V383" s="1" t="s">
        <v>37</v>
      </c>
      <c r="W383" s="5">
        <f>Table1[[#This Row],[Quantity]]*Table1[[#This Row],[Price]]*(1-Table1[[#This Row],[Discount %]]/100)</f>
        <v>349300.75</v>
      </c>
      <c r="X383">
        <f>Table1[[#This Row],[DeliveryDate]]-Table1[[#This Row],[OrderDate]]</f>
        <v>6</v>
      </c>
      <c r="Y383" t="str">
        <f>TEXT(Table1[[#This Row],[OrderDate]],"MMMM")</f>
        <v>March</v>
      </c>
      <c r="Z383" s="5">
        <f>YEAR(Table1[[#This Row],[OrderDate]])</f>
        <v>2024</v>
      </c>
    </row>
    <row r="384" spans="1:26" x14ac:dyDescent="0.3">
      <c r="A384" s="1" t="s">
        <v>1502</v>
      </c>
      <c r="B384" t="s">
        <v>249</v>
      </c>
      <c r="C384" s="3">
        <v>24</v>
      </c>
      <c r="D384" s="1" t="s">
        <v>51</v>
      </c>
      <c r="E384" s="1" t="s">
        <v>40</v>
      </c>
      <c r="F384" s="1" t="s">
        <v>53</v>
      </c>
      <c r="G384" s="4">
        <v>45417</v>
      </c>
      <c r="H384" s="4">
        <v>45423</v>
      </c>
      <c r="I384" s="1" t="s">
        <v>85</v>
      </c>
      <c r="J384" s="1" t="s">
        <v>44</v>
      </c>
      <c r="K384" s="3">
        <v>5</v>
      </c>
      <c r="L384" s="2">
        <v>74807</v>
      </c>
      <c r="M384" s="3">
        <v>0</v>
      </c>
      <c r="N384" s="1" t="s">
        <v>31</v>
      </c>
      <c r="O384" s="1" t="s">
        <v>86</v>
      </c>
      <c r="P384" s="1" t="s">
        <v>58</v>
      </c>
      <c r="Q384" s="1" t="s">
        <v>252</v>
      </c>
      <c r="R384" s="1" t="s">
        <v>1505</v>
      </c>
      <c r="S384" s="3">
        <v>2</v>
      </c>
      <c r="T384" s="1" t="s">
        <v>61</v>
      </c>
      <c r="U384" s="3">
        <v>98</v>
      </c>
      <c r="V384" s="1" t="s">
        <v>62</v>
      </c>
      <c r="W384" s="5">
        <f>Table1[[#This Row],[Quantity]]*Table1[[#This Row],[Price]]*(1-Table1[[#This Row],[Discount %]]/100)</f>
        <v>374035</v>
      </c>
      <c r="X384">
        <f>Table1[[#This Row],[DeliveryDate]]-Table1[[#This Row],[OrderDate]]</f>
        <v>6</v>
      </c>
      <c r="Y384" t="str">
        <f>TEXT(Table1[[#This Row],[OrderDate]],"MMMM")</f>
        <v>May</v>
      </c>
      <c r="Z384" s="5">
        <f>YEAR(Table1[[#This Row],[OrderDate]])</f>
        <v>2024</v>
      </c>
    </row>
    <row r="385" spans="1:26" x14ac:dyDescent="0.3">
      <c r="A385" s="1" t="s">
        <v>1506</v>
      </c>
      <c r="B385" t="s">
        <v>411</v>
      </c>
      <c r="C385" s="3">
        <v>26</v>
      </c>
      <c r="D385" s="1" t="s">
        <v>24</v>
      </c>
      <c r="E385" s="1" t="s">
        <v>26</v>
      </c>
      <c r="F385" s="1" t="s">
        <v>53</v>
      </c>
      <c r="G385" s="4">
        <v>45400</v>
      </c>
      <c r="H385" s="4">
        <v>45410</v>
      </c>
      <c r="I385" s="1" t="s">
        <v>43</v>
      </c>
      <c r="J385" s="1" t="s">
        <v>30</v>
      </c>
      <c r="K385" s="3">
        <v>3</v>
      </c>
      <c r="L385" s="2">
        <v>79371</v>
      </c>
      <c r="M385" s="3">
        <v>5</v>
      </c>
      <c r="N385" s="1" t="s">
        <v>56</v>
      </c>
      <c r="O385" s="1" t="s">
        <v>57</v>
      </c>
      <c r="P385" s="1" t="s">
        <v>69</v>
      </c>
      <c r="Q385" s="1" t="s">
        <v>414</v>
      </c>
      <c r="R385" s="1" t="s">
        <v>1508</v>
      </c>
      <c r="S385" s="3">
        <v>1</v>
      </c>
      <c r="T385" s="1" t="s">
        <v>61</v>
      </c>
      <c r="U385" s="3">
        <v>114</v>
      </c>
      <c r="V385" s="1" t="s">
        <v>37</v>
      </c>
      <c r="W385" s="5">
        <f>Table1[[#This Row],[Quantity]]*Table1[[#This Row],[Price]]*(1-Table1[[#This Row],[Discount %]]/100)</f>
        <v>226207.34999999998</v>
      </c>
      <c r="X385">
        <f>Table1[[#This Row],[DeliveryDate]]-Table1[[#This Row],[OrderDate]]</f>
        <v>10</v>
      </c>
      <c r="Y385" t="str">
        <f>TEXT(Table1[[#This Row],[OrderDate]],"MMMM")</f>
        <v>April</v>
      </c>
      <c r="Z385" s="5">
        <f>YEAR(Table1[[#This Row],[OrderDate]])</f>
        <v>2024</v>
      </c>
    </row>
    <row r="386" spans="1:26" x14ac:dyDescent="0.3">
      <c r="A386" s="1" t="s">
        <v>1509</v>
      </c>
      <c r="B386" t="s">
        <v>141</v>
      </c>
      <c r="C386" s="3">
        <v>36</v>
      </c>
      <c r="D386" s="1" t="s">
        <v>24</v>
      </c>
      <c r="E386" s="1" t="s">
        <v>40</v>
      </c>
      <c r="F386" s="1" t="s">
        <v>65</v>
      </c>
      <c r="G386" s="4">
        <v>45294</v>
      </c>
      <c r="H386" s="4">
        <v>45304</v>
      </c>
      <c r="I386" s="1" t="s">
        <v>85</v>
      </c>
      <c r="J386" s="1" t="s">
        <v>30</v>
      </c>
      <c r="K386" s="3">
        <v>3</v>
      </c>
      <c r="L386" s="2">
        <v>34337</v>
      </c>
      <c r="M386" s="3">
        <v>10</v>
      </c>
      <c r="N386" s="1" t="s">
        <v>166</v>
      </c>
      <c r="O386" s="1" t="s">
        <v>68</v>
      </c>
      <c r="P386" s="1" t="s">
        <v>174</v>
      </c>
      <c r="Q386" s="1" t="s">
        <v>144</v>
      </c>
      <c r="R386" s="1" t="s">
        <v>1512</v>
      </c>
      <c r="S386" s="3">
        <v>2</v>
      </c>
      <c r="T386" s="1" t="s">
        <v>72</v>
      </c>
      <c r="U386" s="3">
        <v>443</v>
      </c>
      <c r="V386" s="1" t="s">
        <v>79</v>
      </c>
      <c r="W386" s="5">
        <f>Table1[[#This Row],[Quantity]]*Table1[[#This Row],[Price]]*(1-Table1[[#This Row],[Discount %]]/100)</f>
        <v>92709.900000000009</v>
      </c>
      <c r="X386">
        <f>Table1[[#This Row],[DeliveryDate]]-Table1[[#This Row],[OrderDate]]</f>
        <v>10</v>
      </c>
      <c r="Y386" t="str">
        <f>TEXT(Table1[[#This Row],[OrderDate]],"MMMM")</f>
        <v>January</v>
      </c>
      <c r="Z386" s="5">
        <f>YEAR(Table1[[#This Row],[OrderDate]])</f>
        <v>2024</v>
      </c>
    </row>
    <row r="387" spans="1:26" x14ac:dyDescent="0.3">
      <c r="A387" s="1" t="s">
        <v>1513</v>
      </c>
      <c r="B387" t="s">
        <v>23</v>
      </c>
      <c r="C387" s="3">
        <v>22</v>
      </c>
      <c r="D387" s="1" t="s">
        <v>51</v>
      </c>
      <c r="E387" s="1" t="s">
        <v>131</v>
      </c>
      <c r="F387" s="1" t="s">
        <v>82</v>
      </c>
      <c r="G387" s="4">
        <v>45226</v>
      </c>
      <c r="H387" s="4">
        <v>45231</v>
      </c>
      <c r="I387" s="1" t="s">
        <v>93</v>
      </c>
      <c r="J387" s="1" t="s">
        <v>30</v>
      </c>
      <c r="K387" s="3">
        <v>2.9447852760736195</v>
      </c>
      <c r="L387" s="2">
        <v>24278</v>
      </c>
      <c r="M387" s="3">
        <v>0</v>
      </c>
      <c r="N387" s="1" t="s">
        <v>31</v>
      </c>
      <c r="O387" s="1" t="s">
        <v>86</v>
      </c>
      <c r="P387" s="1" t="s">
        <v>69</v>
      </c>
      <c r="Q387" s="1" t="s">
        <v>34</v>
      </c>
      <c r="R387" s="1" t="s">
        <v>1515</v>
      </c>
      <c r="S387" s="3">
        <v>3</v>
      </c>
      <c r="T387" s="1" t="s">
        <v>61</v>
      </c>
      <c r="U387" s="3">
        <v>393</v>
      </c>
      <c r="V387" s="1" t="s">
        <v>62</v>
      </c>
      <c r="W387" s="5">
        <f>Table1[[#This Row],[Quantity]]*Table1[[#This Row],[Price]]*(1-Table1[[#This Row],[Discount %]]/100)</f>
        <v>71493.496932515336</v>
      </c>
      <c r="X387">
        <f>Table1[[#This Row],[DeliveryDate]]-Table1[[#This Row],[OrderDate]]</f>
        <v>5</v>
      </c>
      <c r="Y387" t="str">
        <f>TEXT(Table1[[#This Row],[OrderDate]],"MMMM")</f>
        <v>October</v>
      </c>
      <c r="Z387" s="5">
        <f>YEAR(Table1[[#This Row],[OrderDate]])</f>
        <v>2023</v>
      </c>
    </row>
    <row r="388" spans="1:26" x14ac:dyDescent="0.3">
      <c r="A388" s="1" t="s">
        <v>1516</v>
      </c>
      <c r="B388" t="s">
        <v>767</v>
      </c>
      <c r="C388" s="3">
        <v>41</v>
      </c>
      <c r="D388" s="1" t="s">
        <v>51</v>
      </c>
      <c r="E388" s="1" t="s">
        <v>40</v>
      </c>
      <c r="F388" s="1" t="s">
        <v>91</v>
      </c>
      <c r="G388" s="4">
        <v>45519</v>
      </c>
      <c r="H388" s="4">
        <v>45524</v>
      </c>
      <c r="I388" s="1" t="s">
        <v>108</v>
      </c>
      <c r="J388" s="1" t="s">
        <v>44</v>
      </c>
      <c r="K388" s="3">
        <v>5</v>
      </c>
      <c r="L388" s="2">
        <v>5469</v>
      </c>
      <c r="M388" s="3">
        <v>10</v>
      </c>
      <c r="N388" s="1" t="s">
        <v>31</v>
      </c>
      <c r="O388" s="1" t="s">
        <v>173</v>
      </c>
      <c r="P388" s="1" t="s">
        <v>69</v>
      </c>
      <c r="Q388" s="1" t="s">
        <v>769</v>
      </c>
      <c r="R388" s="1" t="s">
        <v>1517</v>
      </c>
      <c r="S388" s="3">
        <v>3</v>
      </c>
      <c r="T388" s="1" t="s">
        <v>61</v>
      </c>
      <c r="U388" s="3">
        <v>374</v>
      </c>
      <c r="V388" s="1" t="s">
        <v>79</v>
      </c>
      <c r="W388" s="5">
        <f>Table1[[#This Row],[Quantity]]*Table1[[#This Row],[Price]]*(1-Table1[[#This Row],[Discount %]]/100)</f>
        <v>24610.5</v>
      </c>
      <c r="X388">
        <f>Table1[[#This Row],[DeliveryDate]]-Table1[[#This Row],[OrderDate]]</f>
        <v>5</v>
      </c>
      <c r="Y388" t="str">
        <f>TEXT(Table1[[#This Row],[OrderDate]],"MMMM")</f>
        <v>August</v>
      </c>
      <c r="Z388" s="5">
        <f>YEAR(Table1[[#This Row],[OrderDate]])</f>
        <v>2024</v>
      </c>
    </row>
    <row r="389" spans="1:26" x14ac:dyDescent="0.3">
      <c r="A389" s="1" t="s">
        <v>1518</v>
      </c>
      <c r="B389" t="s">
        <v>729</v>
      </c>
      <c r="C389" s="3">
        <v>27</v>
      </c>
      <c r="D389" s="1" t="s">
        <v>51</v>
      </c>
      <c r="E389" s="1" t="s">
        <v>26</v>
      </c>
      <c r="F389" s="1" t="s">
        <v>65</v>
      </c>
      <c r="G389" s="4">
        <v>45379</v>
      </c>
      <c r="H389" s="4">
        <v>45382</v>
      </c>
      <c r="I389" s="1" t="s">
        <v>77</v>
      </c>
      <c r="J389" s="1" t="s">
        <v>30</v>
      </c>
      <c r="K389" s="3">
        <v>1</v>
      </c>
      <c r="L389" s="2">
        <v>34539</v>
      </c>
      <c r="M389" s="3">
        <v>15</v>
      </c>
      <c r="N389" s="1" t="s">
        <v>56</v>
      </c>
      <c r="O389" s="1" t="s">
        <v>57</v>
      </c>
      <c r="P389" s="1" t="s">
        <v>58</v>
      </c>
      <c r="Q389" s="1" t="s">
        <v>732</v>
      </c>
      <c r="R389" s="1" t="s">
        <v>1520</v>
      </c>
      <c r="S389" s="3">
        <v>1</v>
      </c>
      <c r="T389" s="1" t="s">
        <v>36</v>
      </c>
      <c r="U389" s="3">
        <v>371</v>
      </c>
      <c r="V389" s="1" t="s">
        <v>37</v>
      </c>
      <c r="W389" s="5">
        <f>Table1[[#This Row],[Quantity]]*Table1[[#This Row],[Price]]*(1-Table1[[#This Row],[Discount %]]/100)</f>
        <v>29358.149999999998</v>
      </c>
      <c r="X389">
        <f>Table1[[#This Row],[DeliveryDate]]-Table1[[#This Row],[OrderDate]]</f>
        <v>3</v>
      </c>
      <c r="Y389" t="str">
        <f>TEXT(Table1[[#This Row],[OrderDate]],"MMMM")</f>
        <v>March</v>
      </c>
      <c r="Z389" s="5">
        <f>YEAR(Table1[[#This Row],[OrderDate]])</f>
        <v>2024</v>
      </c>
    </row>
    <row r="390" spans="1:26" x14ac:dyDescent="0.3">
      <c r="A390" s="1" t="s">
        <v>1521</v>
      </c>
      <c r="B390" t="s">
        <v>90</v>
      </c>
      <c r="C390" s="3">
        <v>48</v>
      </c>
      <c r="D390" s="1" t="s">
        <v>51</v>
      </c>
      <c r="E390" s="1" t="s">
        <v>25</v>
      </c>
      <c r="F390" s="1" t="s">
        <v>53</v>
      </c>
      <c r="G390" s="4">
        <v>45170</v>
      </c>
      <c r="H390" s="4">
        <v>45179</v>
      </c>
      <c r="I390" s="1" t="s">
        <v>108</v>
      </c>
      <c r="J390" s="1" t="s">
        <v>30</v>
      </c>
      <c r="K390" s="3">
        <v>5</v>
      </c>
      <c r="L390" s="2">
        <v>46040</v>
      </c>
      <c r="M390" s="3">
        <v>10</v>
      </c>
      <c r="N390" s="1" t="s">
        <v>31</v>
      </c>
      <c r="O390" s="1" t="s">
        <v>57</v>
      </c>
      <c r="P390" s="1" t="s">
        <v>58</v>
      </c>
      <c r="Q390" s="1" t="s">
        <v>94</v>
      </c>
      <c r="R390" s="1" t="s">
        <v>1524</v>
      </c>
      <c r="S390" s="3">
        <v>3</v>
      </c>
      <c r="T390" s="1" t="s">
        <v>72</v>
      </c>
      <c r="U390" s="3">
        <v>169</v>
      </c>
      <c r="V390" s="1" t="s">
        <v>62</v>
      </c>
      <c r="W390" s="5">
        <f>Table1[[#This Row],[Quantity]]*Table1[[#This Row],[Price]]*(1-Table1[[#This Row],[Discount %]]/100)</f>
        <v>207180</v>
      </c>
      <c r="X390">
        <f>Table1[[#This Row],[DeliveryDate]]-Table1[[#This Row],[OrderDate]]</f>
        <v>9</v>
      </c>
      <c r="Y390" t="str">
        <f>TEXT(Table1[[#This Row],[OrderDate]],"MMMM")</f>
        <v>September</v>
      </c>
      <c r="Z390" s="5">
        <f>YEAR(Table1[[#This Row],[OrderDate]])</f>
        <v>2023</v>
      </c>
    </row>
    <row r="391" spans="1:26" x14ac:dyDescent="0.3">
      <c r="A391" s="1" t="s">
        <v>1525</v>
      </c>
      <c r="B391" t="s">
        <v>222</v>
      </c>
      <c r="C391" s="3">
        <v>44</v>
      </c>
      <c r="D391" s="1" t="s">
        <v>24</v>
      </c>
      <c r="E391" s="1" t="s">
        <v>26</v>
      </c>
      <c r="F391" s="1" t="s">
        <v>53</v>
      </c>
      <c r="G391" s="4">
        <v>45343</v>
      </c>
      <c r="H391" s="4">
        <v>45349</v>
      </c>
      <c r="I391" s="1" t="s">
        <v>77</v>
      </c>
      <c r="J391" s="1" t="s">
        <v>30</v>
      </c>
      <c r="K391" s="3">
        <v>1</v>
      </c>
      <c r="L391" s="2">
        <v>12707</v>
      </c>
      <c r="M391" s="3">
        <v>15</v>
      </c>
      <c r="N391" s="1" t="s">
        <v>31</v>
      </c>
      <c r="O391" s="1" t="s">
        <v>46</v>
      </c>
      <c r="P391" s="1" t="s">
        <v>58</v>
      </c>
      <c r="Q391" s="1" t="s">
        <v>225</v>
      </c>
      <c r="R391" s="1" t="s">
        <v>1527</v>
      </c>
      <c r="S391" s="3">
        <v>5</v>
      </c>
      <c r="T391" s="1" t="s">
        <v>96</v>
      </c>
      <c r="U391" s="3">
        <v>404</v>
      </c>
      <c r="V391" s="1" t="s">
        <v>79</v>
      </c>
      <c r="W391" s="5">
        <f>Table1[[#This Row],[Quantity]]*Table1[[#This Row],[Price]]*(1-Table1[[#This Row],[Discount %]]/100)</f>
        <v>10800.949999999999</v>
      </c>
      <c r="X391">
        <f>Table1[[#This Row],[DeliveryDate]]-Table1[[#This Row],[OrderDate]]</f>
        <v>6</v>
      </c>
      <c r="Y391" t="str">
        <f>TEXT(Table1[[#This Row],[OrderDate]],"MMMM")</f>
        <v>February</v>
      </c>
      <c r="Z391" s="5">
        <f>YEAR(Table1[[#This Row],[OrderDate]])</f>
        <v>2024</v>
      </c>
    </row>
    <row r="392" spans="1:26" x14ac:dyDescent="0.3">
      <c r="A392" s="1" t="s">
        <v>1528</v>
      </c>
      <c r="B392" t="s">
        <v>946</v>
      </c>
      <c r="C392" s="3">
        <v>39</v>
      </c>
      <c r="D392" s="1" t="s">
        <v>24</v>
      </c>
      <c r="E392" s="1" t="s">
        <v>52</v>
      </c>
      <c r="F392" s="1" t="s">
        <v>91</v>
      </c>
      <c r="G392" s="4">
        <v>45256</v>
      </c>
      <c r="H392" s="4">
        <v>45266</v>
      </c>
      <c r="I392" s="1" t="s">
        <v>108</v>
      </c>
      <c r="J392" s="1" t="s">
        <v>44</v>
      </c>
      <c r="K392" s="3">
        <v>2</v>
      </c>
      <c r="L392" s="2">
        <v>34375</v>
      </c>
      <c r="M392" s="3">
        <v>10</v>
      </c>
      <c r="N392" s="1" t="s">
        <v>45</v>
      </c>
      <c r="O392" s="1" t="s">
        <v>133</v>
      </c>
      <c r="P392" s="1" t="s">
        <v>33</v>
      </c>
      <c r="Q392" s="1" t="s">
        <v>983</v>
      </c>
      <c r="R392" s="1" t="s">
        <v>3415</v>
      </c>
      <c r="S392" s="3">
        <v>4</v>
      </c>
      <c r="T392" s="1" t="s">
        <v>61</v>
      </c>
      <c r="U392" s="3">
        <v>146</v>
      </c>
      <c r="V392" s="1" t="s">
        <v>62</v>
      </c>
      <c r="W392" s="5">
        <f>Table1[[#This Row],[Quantity]]*Table1[[#This Row],[Price]]*(1-Table1[[#This Row],[Discount %]]/100)</f>
        <v>61875</v>
      </c>
      <c r="X392">
        <f>Table1[[#This Row],[DeliveryDate]]-Table1[[#This Row],[OrderDate]]</f>
        <v>10</v>
      </c>
      <c r="Y392" t="str">
        <f>TEXT(Table1[[#This Row],[OrderDate]],"MMMM")</f>
        <v>November</v>
      </c>
      <c r="Z392" s="5">
        <f>YEAR(Table1[[#This Row],[OrderDate]])</f>
        <v>2023</v>
      </c>
    </row>
    <row r="393" spans="1:26" x14ac:dyDescent="0.3">
      <c r="A393" s="1" t="s">
        <v>1530</v>
      </c>
      <c r="B393" t="s">
        <v>471</v>
      </c>
      <c r="C393" s="3">
        <v>44</v>
      </c>
      <c r="D393" s="1" t="s">
        <v>24</v>
      </c>
      <c r="E393" s="1" t="s">
        <v>131</v>
      </c>
      <c r="F393" s="1" t="s">
        <v>65</v>
      </c>
      <c r="G393" s="4">
        <v>44961</v>
      </c>
      <c r="H393" s="4">
        <v>44964</v>
      </c>
      <c r="I393" s="1" t="s">
        <v>29</v>
      </c>
      <c r="J393" s="1" t="s">
        <v>30</v>
      </c>
      <c r="K393" s="3">
        <v>1</v>
      </c>
      <c r="L393" s="2">
        <v>76494</v>
      </c>
      <c r="M393" s="3">
        <v>5</v>
      </c>
      <c r="N393" s="1" t="s">
        <v>166</v>
      </c>
      <c r="O393" s="1" t="s">
        <v>68</v>
      </c>
      <c r="P393" s="1" t="s">
        <v>33</v>
      </c>
      <c r="Q393" s="1" t="s">
        <v>3415</v>
      </c>
      <c r="R393" s="1" t="s">
        <v>1531</v>
      </c>
      <c r="S393" s="3">
        <v>3</v>
      </c>
      <c r="T393" s="1" t="s">
        <v>72</v>
      </c>
      <c r="U393" s="3">
        <v>435</v>
      </c>
      <c r="V393" s="1" t="s">
        <v>37</v>
      </c>
      <c r="W393" s="5">
        <f>Table1[[#This Row],[Quantity]]*Table1[[#This Row],[Price]]*(1-Table1[[#This Row],[Discount %]]/100)</f>
        <v>72669.3</v>
      </c>
      <c r="X393">
        <f>Table1[[#This Row],[DeliveryDate]]-Table1[[#This Row],[OrderDate]]</f>
        <v>3</v>
      </c>
      <c r="Y393" t="str">
        <f>TEXT(Table1[[#This Row],[OrderDate]],"MMMM")</f>
        <v>February</v>
      </c>
      <c r="Z393" s="5">
        <f>YEAR(Table1[[#This Row],[OrderDate]])</f>
        <v>2023</v>
      </c>
    </row>
    <row r="394" spans="1:26" x14ac:dyDescent="0.3">
      <c r="A394" s="1" t="s">
        <v>1532</v>
      </c>
      <c r="B394" t="s">
        <v>333</v>
      </c>
      <c r="C394" s="3">
        <v>38</v>
      </c>
      <c r="D394" s="1" t="s">
        <v>51</v>
      </c>
      <c r="E394" s="1" t="s">
        <v>142</v>
      </c>
      <c r="F394" s="1" t="s">
        <v>53</v>
      </c>
      <c r="G394" s="4">
        <v>45356</v>
      </c>
      <c r="H394" s="4">
        <v>45362</v>
      </c>
      <c r="I394" s="1" t="s">
        <v>108</v>
      </c>
      <c r="J394" s="1" t="s">
        <v>30</v>
      </c>
      <c r="K394" s="3">
        <v>5</v>
      </c>
      <c r="L394" s="2">
        <v>14373</v>
      </c>
      <c r="M394" s="3">
        <v>5</v>
      </c>
      <c r="N394" s="1" t="s">
        <v>166</v>
      </c>
      <c r="O394" s="1" t="s">
        <v>173</v>
      </c>
      <c r="P394" s="1" t="s">
        <v>58</v>
      </c>
      <c r="Q394" s="1" t="s">
        <v>3415</v>
      </c>
      <c r="R394" s="1" t="s">
        <v>1533</v>
      </c>
      <c r="S394" s="3">
        <v>3</v>
      </c>
      <c r="T394" s="1" t="s">
        <v>36</v>
      </c>
      <c r="U394" s="3">
        <v>459</v>
      </c>
      <c r="V394" s="1" t="s">
        <v>37</v>
      </c>
      <c r="W394" s="5">
        <f>Table1[[#This Row],[Quantity]]*Table1[[#This Row],[Price]]*(1-Table1[[#This Row],[Discount %]]/100)</f>
        <v>68271.75</v>
      </c>
      <c r="X394">
        <f>Table1[[#This Row],[DeliveryDate]]-Table1[[#This Row],[OrderDate]]</f>
        <v>6</v>
      </c>
      <c r="Y394" t="str">
        <f>TEXT(Table1[[#This Row],[OrderDate]],"MMMM")</f>
        <v>March</v>
      </c>
      <c r="Z394" s="5">
        <f>YEAR(Table1[[#This Row],[OrderDate]])</f>
        <v>2024</v>
      </c>
    </row>
    <row r="395" spans="1:26" x14ac:dyDescent="0.3">
      <c r="A395" s="1" t="s">
        <v>1534</v>
      </c>
      <c r="B395" t="s">
        <v>1309</v>
      </c>
      <c r="C395" s="3">
        <v>39</v>
      </c>
      <c r="D395" s="1" t="s">
        <v>24</v>
      </c>
      <c r="E395" s="1" t="s">
        <v>99</v>
      </c>
      <c r="F395" s="1" t="s">
        <v>82</v>
      </c>
      <c r="G395" s="4">
        <v>45530</v>
      </c>
      <c r="H395" s="4">
        <v>45536</v>
      </c>
      <c r="I395" s="1" t="s">
        <v>77</v>
      </c>
      <c r="J395" s="1" t="s">
        <v>30</v>
      </c>
      <c r="K395" s="3">
        <v>4</v>
      </c>
      <c r="L395" s="2">
        <v>73215</v>
      </c>
      <c r="M395" s="3">
        <v>10</v>
      </c>
      <c r="N395" s="1" t="s">
        <v>31</v>
      </c>
      <c r="O395" s="1" t="s">
        <v>32</v>
      </c>
      <c r="P395" s="1" t="s">
        <v>58</v>
      </c>
      <c r="Q395" s="1" t="s">
        <v>1311</v>
      </c>
      <c r="R395" s="1" t="s">
        <v>1537</v>
      </c>
      <c r="S395" s="3">
        <v>4</v>
      </c>
      <c r="T395" s="1" t="s">
        <v>36</v>
      </c>
      <c r="U395" s="3">
        <v>348</v>
      </c>
      <c r="V395" s="1" t="s">
        <v>79</v>
      </c>
      <c r="W395" s="5">
        <f>Table1[[#This Row],[Quantity]]*Table1[[#This Row],[Price]]*(1-Table1[[#This Row],[Discount %]]/100)</f>
        <v>263574</v>
      </c>
      <c r="X395">
        <f>Table1[[#This Row],[DeliveryDate]]-Table1[[#This Row],[OrderDate]]</f>
        <v>6</v>
      </c>
      <c r="Y395" t="str">
        <f>TEXT(Table1[[#This Row],[OrderDate]],"MMMM")</f>
        <v>August</v>
      </c>
      <c r="Z395" s="5">
        <f>YEAR(Table1[[#This Row],[OrderDate]])</f>
        <v>2024</v>
      </c>
    </row>
    <row r="396" spans="1:26" x14ac:dyDescent="0.3">
      <c r="A396" s="1" t="s">
        <v>1538</v>
      </c>
      <c r="B396" t="s">
        <v>23</v>
      </c>
      <c r="C396" s="3">
        <v>28</v>
      </c>
      <c r="D396" s="1" t="s">
        <v>51</v>
      </c>
      <c r="E396" s="1" t="s">
        <v>131</v>
      </c>
      <c r="F396" s="1" t="s">
        <v>53</v>
      </c>
      <c r="G396" s="4">
        <v>45600</v>
      </c>
      <c r="H396" s="4">
        <v>45604</v>
      </c>
      <c r="I396" s="1" t="s">
        <v>85</v>
      </c>
      <c r="J396" s="1" t="s">
        <v>30</v>
      </c>
      <c r="K396" s="3">
        <v>5</v>
      </c>
      <c r="L396" s="2">
        <v>30439</v>
      </c>
      <c r="M396" s="3">
        <v>10</v>
      </c>
      <c r="N396" s="1" t="s">
        <v>56</v>
      </c>
      <c r="O396" s="1" t="s">
        <v>173</v>
      </c>
      <c r="P396" s="1" t="s">
        <v>69</v>
      </c>
      <c r="Q396" s="1" t="s">
        <v>34</v>
      </c>
      <c r="R396" s="1" t="s">
        <v>1542</v>
      </c>
      <c r="S396" s="3">
        <v>5</v>
      </c>
      <c r="T396" s="1" t="s">
        <v>72</v>
      </c>
      <c r="U396" s="3">
        <v>463</v>
      </c>
      <c r="V396" s="1" t="s">
        <v>79</v>
      </c>
      <c r="W396" s="5">
        <f>Table1[[#This Row],[Quantity]]*Table1[[#This Row],[Price]]*(1-Table1[[#This Row],[Discount %]]/100)</f>
        <v>136975.5</v>
      </c>
      <c r="X396">
        <f>Table1[[#This Row],[DeliveryDate]]-Table1[[#This Row],[OrderDate]]</f>
        <v>4</v>
      </c>
      <c r="Y396" t="str">
        <f>TEXT(Table1[[#This Row],[OrderDate]],"MMMM")</f>
        <v>November</v>
      </c>
      <c r="Z396" s="5">
        <f>YEAR(Table1[[#This Row],[OrderDate]])</f>
        <v>2024</v>
      </c>
    </row>
    <row r="397" spans="1:26" x14ac:dyDescent="0.3">
      <c r="A397" s="1" t="s">
        <v>1543</v>
      </c>
      <c r="B397" t="s">
        <v>285</v>
      </c>
      <c r="C397" s="3">
        <v>30</v>
      </c>
      <c r="D397" s="1" t="s">
        <v>24</v>
      </c>
      <c r="E397" s="1" t="s">
        <v>40</v>
      </c>
      <c r="F397" s="1" t="s">
        <v>53</v>
      </c>
      <c r="G397" s="4">
        <v>44998</v>
      </c>
      <c r="H397" s="4">
        <v>44999</v>
      </c>
      <c r="I397" s="1" t="s">
        <v>29</v>
      </c>
      <c r="J397" s="1" t="s">
        <v>30</v>
      </c>
      <c r="K397" s="3">
        <v>5</v>
      </c>
      <c r="L397" s="2">
        <v>53408</v>
      </c>
      <c r="M397" s="3">
        <v>10</v>
      </c>
      <c r="N397" s="1" t="s">
        <v>45</v>
      </c>
      <c r="O397" s="1" t="s">
        <v>102</v>
      </c>
      <c r="P397" s="1" t="s">
        <v>174</v>
      </c>
      <c r="Q397" s="1" t="s">
        <v>300</v>
      </c>
      <c r="R397" s="1" t="s">
        <v>1546</v>
      </c>
      <c r="S397" s="3">
        <v>2</v>
      </c>
      <c r="T397" s="1" t="s">
        <v>61</v>
      </c>
      <c r="U397" s="3">
        <v>75</v>
      </c>
      <c r="V397" s="1" t="s">
        <v>62</v>
      </c>
      <c r="W397" s="5">
        <f>Table1[[#This Row],[Quantity]]*Table1[[#This Row],[Price]]*(1-Table1[[#This Row],[Discount %]]/100)</f>
        <v>240336</v>
      </c>
      <c r="X397">
        <f>Table1[[#This Row],[DeliveryDate]]-Table1[[#This Row],[OrderDate]]</f>
        <v>1</v>
      </c>
      <c r="Y397" t="str">
        <f>TEXT(Table1[[#This Row],[OrderDate]],"MMMM")</f>
        <v>March</v>
      </c>
      <c r="Z397" s="5">
        <f>YEAR(Table1[[#This Row],[OrderDate]])</f>
        <v>2023</v>
      </c>
    </row>
    <row r="398" spans="1:26" x14ac:dyDescent="0.3">
      <c r="A398" s="1" t="s">
        <v>1547</v>
      </c>
      <c r="B398" t="s">
        <v>860</v>
      </c>
      <c r="C398" s="3">
        <v>18</v>
      </c>
      <c r="D398" s="1" t="s">
        <v>24</v>
      </c>
      <c r="E398" s="1" t="s">
        <v>25</v>
      </c>
      <c r="F398" s="1" t="s">
        <v>26</v>
      </c>
      <c r="G398" s="4">
        <v>44989</v>
      </c>
      <c r="H398" s="4">
        <v>44991</v>
      </c>
      <c r="I398" s="1" t="s">
        <v>93</v>
      </c>
      <c r="J398" s="1" t="s">
        <v>30</v>
      </c>
      <c r="K398" s="3">
        <v>5</v>
      </c>
      <c r="L398" s="2">
        <v>36368</v>
      </c>
      <c r="M398" s="3">
        <v>0</v>
      </c>
      <c r="N398" s="1" t="s">
        <v>45</v>
      </c>
      <c r="O398" s="1" t="s">
        <v>173</v>
      </c>
      <c r="P398" s="1" t="s">
        <v>69</v>
      </c>
      <c r="Q398" s="1" t="s">
        <v>862</v>
      </c>
      <c r="R398" s="1" t="s">
        <v>1550</v>
      </c>
      <c r="S398" s="3">
        <v>5</v>
      </c>
      <c r="T398" s="1" t="s">
        <v>72</v>
      </c>
      <c r="U398" s="3">
        <v>198</v>
      </c>
      <c r="V398" s="1" t="s">
        <v>37</v>
      </c>
      <c r="W398" s="5">
        <f>Table1[[#This Row],[Quantity]]*Table1[[#This Row],[Price]]*(1-Table1[[#This Row],[Discount %]]/100)</f>
        <v>181840</v>
      </c>
      <c r="X398">
        <f>Table1[[#This Row],[DeliveryDate]]-Table1[[#This Row],[OrderDate]]</f>
        <v>2</v>
      </c>
      <c r="Y398" t="str">
        <f>TEXT(Table1[[#This Row],[OrderDate]],"MMMM")</f>
        <v>March</v>
      </c>
      <c r="Z398" s="5">
        <f>YEAR(Table1[[#This Row],[OrderDate]])</f>
        <v>2023</v>
      </c>
    </row>
    <row r="399" spans="1:26" x14ac:dyDescent="0.3">
      <c r="A399" s="1" t="s">
        <v>1551</v>
      </c>
      <c r="B399" t="s">
        <v>476</v>
      </c>
      <c r="C399" s="3">
        <v>47</v>
      </c>
      <c r="D399" s="1" t="s">
        <v>51</v>
      </c>
      <c r="E399" s="1" t="s">
        <v>25</v>
      </c>
      <c r="F399" s="1" t="s">
        <v>82</v>
      </c>
      <c r="G399" s="4">
        <v>45552</v>
      </c>
      <c r="H399" s="4">
        <v>45553</v>
      </c>
      <c r="I399" s="1" t="s">
        <v>43</v>
      </c>
      <c r="J399" s="1" t="s">
        <v>30</v>
      </c>
      <c r="K399" s="3">
        <v>2.9447852760736195</v>
      </c>
      <c r="L399" s="2">
        <v>23775</v>
      </c>
      <c r="M399" s="3">
        <v>5</v>
      </c>
      <c r="N399" s="1" t="s">
        <v>166</v>
      </c>
      <c r="O399" s="1" t="s">
        <v>173</v>
      </c>
      <c r="P399" s="1" t="s">
        <v>69</v>
      </c>
      <c r="Q399" s="1" t="s">
        <v>478</v>
      </c>
      <c r="R399" s="1" t="s">
        <v>1553</v>
      </c>
      <c r="S399" s="3">
        <v>5</v>
      </c>
      <c r="T399" s="1" t="s">
        <v>72</v>
      </c>
      <c r="U399" s="3">
        <v>454</v>
      </c>
      <c r="V399" s="1" t="s">
        <v>62</v>
      </c>
      <c r="W399" s="5">
        <f>Table1[[#This Row],[Quantity]]*Table1[[#This Row],[Price]]*(1-Table1[[#This Row],[Discount %]]/100)</f>
        <v>66511.656441717787</v>
      </c>
      <c r="X399">
        <f>Table1[[#This Row],[DeliveryDate]]-Table1[[#This Row],[OrderDate]]</f>
        <v>1</v>
      </c>
      <c r="Y399" t="str">
        <f>TEXT(Table1[[#This Row],[OrderDate]],"MMMM")</f>
        <v>September</v>
      </c>
      <c r="Z399" s="5">
        <f>YEAR(Table1[[#This Row],[OrderDate]])</f>
        <v>2024</v>
      </c>
    </row>
    <row r="400" spans="1:26" x14ac:dyDescent="0.3">
      <c r="A400" s="1" t="s">
        <v>1554</v>
      </c>
      <c r="B400" t="s">
        <v>327</v>
      </c>
      <c r="C400" s="3">
        <v>42</v>
      </c>
      <c r="D400" s="1" t="s">
        <v>51</v>
      </c>
      <c r="E400" s="1" t="s">
        <v>99</v>
      </c>
      <c r="F400" s="1" t="s">
        <v>53</v>
      </c>
      <c r="G400" s="4">
        <v>45068</v>
      </c>
      <c r="H400" s="4">
        <v>45073</v>
      </c>
      <c r="I400" s="1" t="s">
        <v>29</v>
      </c>
      <c r="J400" s="1" t="s">
        <v>44</v>
      </c>
      <c r="K400" s="3">
        <v>1</v>
      </c>
      <c r="L400" s="2">
        <v>8356</v>
      </c>
      <c r="M400" s="3">
        <v>0</v>
      </c>
      <c r="N400" s="1" t="s">
        <v>45</v>
      </c>
      <c r="O400" s="1" t="s">
        <v>86</v>
      </c>
      <c r="P400" s="1" t="s">
        <v>174</v>
      </c>
      <c r="Q400" s="1" t="s">
        <v>330</v>
      </c>
      <c r="R400" s="1" t="s">
        <v>1555</v>
      </c>
      <c r="S400" s="3">
        <v>3</v>
      </c>
      <c r="T400" s="1" t="s">
        <v>61</v>
      </c>
      <c r="U400" s="3">
        <v>286</v>
      </c>
      <c r="V400" s="1" t="s">
        <v>79</v>
      </c>
      <c r="W400" s="5">
        <f>Table1[[#This Row],[Quantity]]*Table1[[#This Row],[Price]]*(1-Table1[[#This Row],[Discount %]]/100)</f>
        <v>8356</v>
      </c>
      <c r="X400">
        <f>Table1[[#This Row],[DeliveryDate]]-Table1[[#This Row],[OrderDate]]</f>
        <v>5</v>
      </c>
      <c r="Y400" t="str">
        <f>TEXT(Table1[[#This Row],[OrderDate]],"MMMM")</f>
        <v>May</v>
      </c>
      <c r="Z400" s="5">
        <f>YEAR(Table1[[#This Row],[OrderDate]])</f>
        <v>2023</v>
      </c>
    </row>
    <row r="401" spans="1:26" x14ac:dyDescent="0.3">
      <c r="A401" s="1" t="s">
        <v>1556</v>
      </c>
      <c r="B401" t="s">
        <v>182</v>
      </c>
      <c r="C401" s="3">
        <v>19</v>
      </c>
      <c r="D401" s="1" t="s">
        <v>51</v>
      </c>
      <c r="E401" s="1" t="s">
        <v>229</v>
      </c>
      <c r="F401" s="1" t="s">
        <v>53</v>
      </c>
      <c r="G401" s="4">
        <v>45046</v>
      </c>
      <c r="H401" s="4">
        <v>45049</v>
      </c>
      <c r="I401" s="1" t="s">
        <v>108</v>
      </c>
      <c r="J401" s="1" t="s">
        <v>44</v>
      </c>
      <c r="K401" s="3">
        <v>2</v>
      </c>
      <c r="L401" s="2">
        <v>67867</v>
      </c>
      <c r="M401" s="3">
        <v>10</v>
      </c>
      <c r="N401" s="1" t="s">
        <v>31</v>
      </c>
      <c r="O401" s="1" t="s">
        <v>86</v>
      </c>
      <c r="P401" s="1" t="s">
        <v>174</v>
      </c>
      <c r="Q401" s="1" t="s">
        <v>186</v>
      </c>
      <c r="R401" s="1" t="s">
        <v>1558</v>
      </c>
      <c r="S401" s="3">
        <v>5</v>
      </c>
      <c r="T401" s="1" t="s">
        <v>61</v>
      </c>
      <c r="U401" s="3">
        <v>419</v>
      </c>
      <c r="V401" s="1" t="s">
        <v>62</v>
      </c>
      <c r="W401" s="5">
        <f>Table1[[#This Row],[Quantity]]*Table1[[#This Row],[Price]]*(1-Table1[[#This Row],[Discount %]]/100)</f>
        <v>122160.6</v>
      </c>
      <c r="X401">
        <f>Table1[[#This Row],[DeliveryDate]]-Table1[[#This Row],[OrderDate]]</f>
        <v>3</v>
      </c>
      <c r="Y401" t="str">
        <f>TEXT(Table1[[#This Row],[OrderDate]],"MMMM")</f>
        <v>April</v>
      </c>
      <c r="Z401" s="5">
        <f>YEAR(Table1[[#This Row],[OrderDate]])</f>
        <v>2023</v>
      </c>
    </row>
    <row r="402" spans="1:26" x14ac:dyDescent="0.3">
      <c r="A402" s="1" t="s">
        <v>1559</v>
      </c>
      <c r="B402" t="s">
        <v>170</v>
      </c>
      <c r="C402" s="3">
        <v>52</v>
      </c>
      <c r="D402" s="1" t="s">
        <v>24</v>
      </c>
      <c r="E402" s="1" t="s">
        <v>26</v>
      </c>
      <c r="F402" s="1" t="s">
        <v>53</v>
      </c>
      <c r="G402" s="4">
        <v>45098</v>
      </c>
      <c r="H402" s="4">
        <v>45107</v>
      </c>
      <c r="I402" s="1" t="s">
        <v>77</v>
      </c>
      <c r="J402" s="1" t="s">
        <v>30</v>
      </c>
      <c r="K402" s="3">
        <v>1</v>
      </c>
      <c r="L402" s="2">
        <v>52513</v>
      </c>
      <c r="M402" s="3">
        <v>10</v>
      </c>
      <c r="N402" s="1" t="s">
        <v>56</v>
      </c>
      <c r="O402" s="1" t="s">
        <v>102</v>
      </c>
      <c r="P402" s="1" t="s">
        <v>33</v>
      </c>
      <c r="Q402" s="1" t="s">
        <v>175</v>
      </c>
      <c r="R402" s="1" t="s">
        <v>1561</v>
      </c>
      <c r="S402" s="3">
        <v>2</v>
      </c>
      <c r="T402" s="1" t="s">
        <v>96</v>
      </c>
      <c r="U402" s="3">
        <v>405</v>
      </c>
      <c r="V402" s="1" t="s">
        <v>79</v>
      </c>
      <c r="W402" s="5">
        <f>Table1[[#This Row],[Quantity]]*Table1[[#This Row],[Price]]*(1-Table1[[#This Row],[Discount %]]/100)</f>
        <v>47261.700000000004</v>
      </c>
      <c r="X402">
        <f>Table1[[#This Row],[DeliveryDate]]-Table1[[#This Row],[OrderDate]]</f>
        <v>9</v>
      </c>
      <c r="Y402" t="str">
        <f>TEXT(Table1[[#This Row],[OrderDate]],"MMMM")</f>
        <v>June</v>
      </c>
      <c r="Z402" s="5">
        <f>YEAR(Table1[[#This Row],[OrderDate]])</f>
        <v>2023</v>
      </c>
    </row>
    <row r="403" spans="1:26" x14ac:dyDescent="0.3">
      <c r="A403" s="1" t="s">
        <v>1562</v>
      </c>
      <c r="B403" t="s">
        <v>321</v>
      </c>
      <c r="C403" s="3">
        <v>41</v>
      </c>
      <c r="D403" s="1" t="s">
        <v>51</v>
      </c>
      <c r="E403" s="1" t="s">
        <v>99</v>
      </c>
      <c r="F403" s="1" t="s">
        <v>91</v>
      </c>
      <c r="G403" s="4">
        <v>45232</v>
      </c>
      <c r="H403" s="4">
        <v>45235</v>
      </c>
      <c r="I403" s="1" t="s">
        <v>93</v>
      </c>
      <c r="J403" s="1" t="s">
        <v>44</v>
      </c>
      <c r="K403" s="3">
        <v>1</v>
      </c>
      <c r="L403" s="2">
        <v>56627</v>
      </c>
      <c r="M403" s="3">
        <v>5</v>
      </c>
      <c r="N403" s="1" t="s">
        <v>56</v>
      </c>
      <c r="O403" s="1" t="s">
        <v>68</v>
      </c>
      <c r="P403" s="1" t="s">
        <v>69</v>
      </c>
      <c r="Q403" s="1" t="s">
        <v>324</v>
      </c>
      <c r="R403" s="1" t="s">
        <v>1564</v>
      </c>
      <c r="S403" s="3">
        <v>2</v>
      </c>
      <c r="T403" s="1" t="s">
        <v>72</v>
      </c>
      <c r="U403" s="3">
        <v>499</v>
      </c>
      <c r="V403" s="1" t="s">
        <v>62</v>
      </c>
      <c r="W403" s="5">
        <f>Table1[[#This Row],[Quantity]]*Table1[[#This Row],[Price]]*(1-Table1[[#This Row],[Discount %]]/100)</f>
        <v>53795.649999999994</v>
      </c>
      <c r="X403">
        <f>Table1[[#This Row],[DeliveryDate]]-Table1[[#This Row],[OrderDate]]</f>
        <v>3</v>
      </c>
      <c r="Y403" t="str">
        <f>TEXT(Table1[[#This Row],[OrderDate]],"MMMM")</f>
        <v>November</v>
      </c>
      <c r="Z403" s="5">
        <f>YEAR(Table1[[#This Row],[OrderDate]])</f>
        <v>2023</v>
      </c>
    </row>
    <row r="404" spans="1:26" x14ac:dyDescent="0.3">
      <c r="A404" s="1" t="s">
        <v>1565</v>
      </c>
      <c r="B404" t="s">
        <v>1340</v>
      </c>
      <c r="C404" s="3">
        <v>41</v>
      </c>
      <c r="D404" s="1" t="s">
        <v>24</v>
      </c>
      <c r="E404" s="1" t="s">
        <v>99</v>
      </c>
      <c r="F404" s="1" t="s">
        <v>91</v>
      </c>
      <c r="G404" s="4">
        <v>45191</v>
      </c>
      <c r="H404" s="4">
        <v>45194</v>
      </c>
      <c r="I404" s="1" t="s">
        <v>93</v>
      </c>
      <c r="J404" s="1" t="s">
        <v>30</v>
      </c>
      <c r="K404" s="3">
        <v>1</v>
      </c>
      <c r="L404" s="2">
        <v>58122</v>
      </c>
      <c r="M404" s="3">
        <v>5</v>
      </c>
      <c r="N404" s="1" t="s">
        <v>45</v>
      </c>
      <c r="O404" s="1" t="s">
        <v>68</v>
      </c>
      <c r="P404" s="1" t="s">
        <v>58</v>
      </c>
      <c r="Q404" s="1" t="s">
        <v>1342</v>
      </c>
      <c r="R404" s="1" t="s">
        <v>1566</v>
      </c>
      <c r="S404" s="3">
        <v>2</v>
      </c>
      <c r="T404" s="1" t="s">
        <v>96</v>
      </c>
      <c r="U404" s="3">
        <v>75</v>
      </c>
      <c r="V404" s="1" t="s">
        <v>37</v>
      </c>
      <c r="W404" s="5">
        <f>Table1[[#This Row],[Quantity]]*Table1[[#This Row],[Price]]*(1-Table1[[#This Row],[Discount %]]/100)</f>
        <v>55215.899999999994</v>
      </c>
      <c r="X404">
        <f>Table1[[#This Row],[DeliveryDate]]-Table1[[#This Row],[OrderDate]]</f>
        <v>3</v>
      </c>
      <c r="Y404" t="str">
        <f>TEXT(Table1[[#This Row],[OrderDate]],"MMMM")</f>
        <v>September</v>
      </c>
      <c r="Z404" s="5">
        <f>YEAR(Table1[[#This Row],[OrderDate]])</f>
        <v>2023</v>
      </c>
    </row>
    <row r="405" spans="1:26" x14ac:dyDescent="0.3">
      <c r="A405" s="1" t="s">
        <v>1567</v>
      </c>
      <c r="B405" t="s">
        <v>272</v>
      </c>
      <c r="C405" s="3">
        <v>56</v>
      </c>
      <c r="D405" s="1" t="s">
        <v>24</v>
      </c>
      <c r="E405" s="1" t="s">
        <v>229</v>
      </c>
      <c r="F405" s="1" t="s">
        <v>91</v>
      </c>
      <c r="G405" s="4">
        <v>45383</v>
      </c>
      <c r="H405" s="4">
        <v>45390</v>
      </c>
      <c r="I405" s="1" t="s">
        <v>85</v>
      </c>
      <c r="J405" s="1" t="s">
        <v>44</v>
      </c>
      <c r="K405" s="3">
        <v>3</v>
      </c>
      <c r="L405" s="2">
        <v>40206</v>
      </c>
      <c r="M405" s="3">
        <v>5</v>
      </c>
      <c r="N405" s="1" t="s">
        <v>31</v>
      </c>
      <c r="O405" s="1" t="s">
        <v>46</v>
      </c>
      <c r="P405" s="1" t="s">
        <v>58</v>
      </c>
      <c r="Q405" s="1" t="s">
        <v>3415</v>
      </c>
      <c r="R405" s="1" t="s">
        <v>3415</v>
      </c>
      <c r="S405" s="3">
        <v>4</v>
      </c>
      <c r="T405" s="1" t="s">
        <v>72</v>
      </c>
      <c r="U405" s="3">
        <v>114</v>
      </c>
      <c r="V405" s="1" t="s">
        <v>62</v>
      </c>
      <c r="W405" s="5">
        <f>Table1[[#This Row],[Quantity]]*Table1[[#This Row],[Price]]*(1-Table1[[#This Row],[Discount %]]/100)</f>
        <v>114587.09999999999</v>
      </c>
      <c r="X405">
        <f>Table1[[#This Row],[DeliveryDate]]-Table1[[#This Row],[OrderDate]]</f>
        <v>7</v>
      </c>
      <c r="Y405" t="str">
        <f>TEXT(Table1[[#This Row],[OrderDate]],"MMMM")</f>
        <v>April</v>
      </c>
      <c r="Z405" s="5">
        <f>YEAR(Table1[[#This Row],[OrderDate]])</f>
        <v>2024</v>
      </c>
    </row>
    <row r="406" spans="1:26" x14ac:dyDescent="0.3">
      <c r="A406" s="1" t="s">
        <v>1569</v>
      </c>
      <c r="B406" t="s">
        <v>498</v>
      </c>
      <c r="C406" s="3">
        <v>53</v>
      </c>
      <c r="D406" s="1" t="s">
        <v>51</v>
      </c>
      <c r="E406" s="1" t="s">
        <v>25</v>
      </c>
      <c r="F406" s="1" t="s">
        <v>53</v>
      </c>
      <c r="G406" s="4">
        <v>45384</v>
      </c>
      <c r="H406" s="4">
        <v>45391</v>
      </c>
      <c r="I406" s="1" t="s">
        <v>43</v>
      </c>
      <c r="J406" s="1" t="s">
        <v>30</v>
      </c>
      <c r="K406" s="3">
        <v>1</v>
      </c>
      <c r="L406" s="2">
        <v>43210</v>
      </c>
      <c r="M406" s="3">
        <v>10</v>
      </c>
      <c r="N406" s="1" t="s">
        <v>45</v>
      </c>
      <c r="O406" s="1" t="s">
        <v>57</v>
      </c>
      <c r="P406" s="1" t="s">
        <v>69</v>
      </c>
      <c r="Q406" s="1" t="s">
        <v>500</v>
      </c>
      <c r="R406" s="1" t="s">
        <v>1572</v>
      </c>
      <c r="S406" s="3">
        <v>3</v>
      </c>
      <c r="T406" s="1" t="s">
        <v>96</v>
      </c>
      <c r="U406" s="3">
        <v>64</v>
      </c>
      <c r="V406" s="1" t="s">
        <v>62</v>
      </c>
      <c r="W406" s="5">
        <f>Table1[[#This Row],[Quantity]]*Table1[[#This Row],[Price]]*(1-Table1[[#This Row],[Discount %]]/100)</f>
        <v>38889</v>
      </c>
      <c r="X406">
        <f>Table1[[#This Row],[DeliveryDate]]-Table1[[#This Row],[OrderDate]]</f>
        <v>7</v>
      </c>
      <c r="Y406" t="str">
        <f>TEXT(Table1[[#This Row],[OrderDate]],"MMMM")</f>
        <v>April</v>
      </c>
      <c r="Z406" s="5">
        <f>YEAR(Table1[[#This Row],[OrderDate]])</f>
        <v>2024</v>
      </c>
    </row>
    <row r="407" spans="1:26" x14ac:dyDescent="0.3">
      <c r="A407" s="1" t="s">
        <v>1573</v>
      </c>
      <c r="B407" t="s">
        <v>933</v>
      </c>
      <c r="C407" s="3">
        <v>55</v>
      </c>
      <c r="D407" s="1" t="s">
        <v>51</v>
      </c>
      <c r="E407" s="1" t="s">
        <v>52</v>
      </c>
      <c r="F407" s="1" t="s">
        <v>91</v>
      </c>
      <c r="G407" s="4">
        <v>45339</v>
      </c>
      <c r="H407" s="4">
        <v>45341</v>
      </c>
      <c r="I407" s="1" t="s">
        <v>29</v>
      </c>
      <c r="J407" s="1" t="s">
        <v>30</v>
      </c>
      <c r="K407" s="3">
        <v>1</v>
      </c>
      <c r="L407" s="2">
        <v>32907</v>
      </c>
      <c r="M407" s="3">
        <v>0</v>
      </c>
      <c r="N407" s="1" t="s">
        <v>45</v>
      </c>
      <c r="O407" s="1" t="s">
        <v>86</v>
      </c>
      <c r="P407" s="1" t="s">
        <v>174</v>
      </c>
      <c r="Q407" s="1" t="s">
        <v>935</v>
      </c>
      <c r="R407" s="1" t="s">
        <v>1574</v>
      </c>
      <c r="S407" s="3">
        <v>3</v>
      </c>
      <c r="T407" s="1" t="s">
        <v>61</v>
      </c>
      <c r="U407" s="3">
        <v>205</v>
      </c>
      <c r="V407" s="1" t="s">
        <v>62</v>
      </c>
      <c r="W407" s="5">
        <f>Table1[[#This Row],[Quantity]]*Table1[[#This Row],[Price]]*(1-Table1[[#This Row],[Discount %]]/100)</f>
        <v>32907</v>
      </c>
      <c r="X407">
        <f>Table1[[#This Row],[DeliveryDate]]-Table1[[#This Row],[OrderDate]]</f>
        <v>2</v>
      </c>
      <c r="Y407" t="str">
        <f>TEXT(Table1[[#This Row],[OrderDate]],"MMMM")</f>
        <v>February</v>
      </c>
      <c r="Z407" s="5">
        <f>YEAR(Table1[[#This Row],[OrderDate]])</f>
        <v>2024</v>
      </c>
    </row>
    <row r="408" spans="1:26" x14ac:dyDescent="0.3">
      <c r="A408" s="1" t="s">
        <v>1575</v>
      </c>
      <c r="B408" t="s">
        <v>1340</v>
      </c>
      <c r="C408" s="3">
        <v>34</v>
      </c>
      <c r="D408" s="1" t="s">
        <v>24</v>
      </c>
      <c r="E408" s="1" t="s">
        <v>40</v>
      </c>
      <c r="F408" s="1" t="s">
        <v>82</v>
      </c>
      <c r="G408" s="4">
        <v>45570</v>
      </c>
      <c r="H408" s="4">
        <v>45572</v>
      </c>
      <c r="I408" s="1" t="s">
        <v>77</v>
      </c>
      <c r="J408" s="1" t="s">
        <v>44</v>
      </c>
      <c r="K408" s="3">
        <v>4</v>
      </c>
      <c r="L408" s="2">
        <v>42109.716287215415</v>
      </c>
      <c r="M408" s="3">
        <v>10</v>
      </c>
      <c r="N408" s="1" t="s">
        <v>45</v>
      </c>
      <c r="O408" s="1" t="s">
        <v>102</v>
      </c>
      <c r="P408" s="1" t="s">
        <v>58</v>
      </c>
      <c r="Q408" s="1" t="s">
        <v>1342</v>
      </c>
      <c r="R408" s="1" t="s">
        <v>1577</v>
      </c>
      <c r="S408" s="3">
        <v>1</v>
      </c>
      <c r="T408" s="1" t="s">
        <v>72</v>
      </c>
      <c r="U408" s="3">
        <v>148</v>
      </c>
      <c r="V408" s="1" t="s">
        <v>37</v>
      </c>
      <c r="W408" s="5">
        <f>Table1[[#This Row],[Quantity]]*Table1[[#This Row],[Price]]*(1-Table1[[#This Row],[Discount %]]/100)</f>
        <v>151594.97863397549</v>
      </c>
      <c r="X408">
        <f>Table1[[#This Row],[DeliveryDate]]-Table1[[#This Row],[OrderDate]]</f>
        <v>2</v>
      </c>
      <c r="Y408" t="str">
        <f>TEXT(Table1[[#This Row],[OrderDate]],"MMMM")</f>
        <v>October</v>
      </c>
      <c r="Z408" s="5">
        <f>YEAR(Table1[[#This Row],[OrderDate]])</f>
        <v>2024</v>
      </c>
    </row>
    <row r="409" spans="1:26" x14ac:dyDescent="0.3">
      <c r="A409" s="1" t="s">
        <v>1578</v>
      </c>
      <c r="B409" t="s">
        <v>23</v>
      </c>
      <c r="C409" s="3">
        <v>37</v>
      </c>
      <c r="D409" s="1" t="s">
        <v>51</v>
      </c>
      <c r="E409" s="1" t="s">
        <v>26</v>
      </c>
      <c r="F409" s="1" t="s">
        <v>26</v>
      </c>
      <c r="G409" s="4">
        <v>45263</v>
      </c>
      <c r="H409" s="4">
        <v>45271</v>
      </c>
      <c r="I409" s="1" t="s">
        <v>108</v>
      </c>
      <c r="J409" s="1" t="s">
        <v>44</v>
      </c>
      <c r="K409" s="3">
        <v>5</v>
      </c>
      <c r="L409" s="2">
        <v>74929</v>
      </c>
      <c r="M409" s="3">
        <v>10</v>
      </c>
      <c r="N409" s="1" t="s">
        <v>166</v>
      </c>
      <c r="O409" s="1" t="s">
        <v>109</v>
      </c>
      <c r="P409" s="1" t="s">
        <v>174</v>
      </c>
      <c r="Q409" s="1" t="s">
        <v>34</v>
      </c>
      <c r="R409" s="1" t="s">
        <v>1579</v>
      </c>
      <c r="S409" s="3">
        <v>3</v>
      </c>
      <c r="T409" s="1" t="s">
        <v>96</v>
      </c>
      <c r="U409" s="3">
        <v>272</v>
      </c>
      <c r="V409" s="1" t="s">
        <v>62</v>
      </c>
      <c r="W409" s="5">
        <f>Table1[[#This Row],[Quantity]]*Table1[[#This Row],[Price]]*(1-Table1[[#This Row],[Discount %]]/100)</f>
        <v>337180.5</v>
      </c>
      <c r="X409">
        <f>Table1[[#This Row],[DeliveryDate]]-Table1[[#This Row],[OrderDate]]</f>
        <v>8</v>
      </c>
      <c r="Y409" t="str">
        <f>TEXT(Table1[[#This Row],[OrderDate]],"MMMM")</f>
        <v>December</v>
      </c>
      <c r="Z409" s="5">
        <f>YEAR(Table1[[#This Row],[OrderDate]])</f>
        <v>2023</v>
      </c>
    </row>
    <row r="410" spans="1:26" x14ac:dyDescent="0.3">
      <c r="A410" s="1" t="s">
        <v>1580</v>
      </c>
      <c r="B410" t="s">
        <v>156</v>
      </c>
      <c r="C410" s="3">
        <v>31</v>
      </c>
      <c r="D410" s="1" t="s">
        <v>51</v>
      </c>
      <c r="E410" s="1" t="s">
        <v>142</v>
      </c>
      <c r="F410" s="1" t="s">
        <v>82</v>
      </c>
      <c r="G410" s="4">
        <v>45551</v>
      </c>
      <c r="H410" s="4">
        <v>45557</v>
      </c>
      <c r="I410" s="1" t="s">
        <v>108</v>
      </c>
      <c r="J410" s="1" t="s">
        <v>44</v>
      </c>
      <c r="K410" s="3">
        <v>3</v>
      </c>
      <c r="L410" s="2">
        <v>58809</v>
      </c>
      <c r="M410" s="3">
        <v>10</v>
      </c>
      <c r="N410" s="1" t="s">
        <v>45</v>
      </c>
      <c r="O410" s="1" t="s">
        <v>133</v>
      </c>
      <c r="P410" s="1" t="s">
        <v>33</v>
      </c>
      <c r="Q410" s="1" t="s">
        <v>3415</v>
      </c>
      <c r="R410" s="1" t="s">
        <v>3415</v>
      </c>
      <c r="S410" s="3">
        <v>2</v>
      </c>
      <c r="T410" s="1" t="s">
        <v>72</v>
      </c>
      <c r="U410" s="3">
        <v>265</v>
      </c>
      <c r="V410" s="1" t="s">
        <v>79</v>
      </c>
      <c r="W410" s="5">
        <f>Table1[[#This Row],[Quantity]]*Table1[[#This Row],[Price]]*(1-Table1[[#This Row],[Discount %]]/100)</f>
        <v>158784.30000000002</v>
      </c>
      <c r="X410">
        <f>Table1[[#This Row],[DeliveryDate]]-Table1[[#This Row],[OrderDate]]</f>
        <v>6</v>
      </c>
      <c r="Y410" t="str">
        <f>TEXT(Table1[[#This Row],[OrderDate]],"MMMM")</f>
        <v>September</v>
      </c>
      <c r="Z410" s="5">
        <f>YEAR(Table1[[#This Row],[OrderDate]])</f>
        <v>2024</v>
      </c>
    </row>
    <row r="411" spans="1:26" x14ac:dyDescent="0.3">
      <c r="A411" s="1" t="s">
        <v>1584</v>
      </c>
      <c r="B411" t="s">
        <v>130</v>
      </c>
      <c r="C411" s="3">
        <v>43</v>
      </c>
      <c r="D411" s="1" t="s">
        <v>51</v>
      </c>
      <c r="E411" s="1" t="s">
        <v>52</v>
      </c>
      <c r="F411" s="1" t="s">
        <v>26</v>
      </c>
      <c r="G411" s="4">
        <v>45530</v>
      </c>
      <c r="H411" s="4">
        <v>45532</v>
      </c>
      <c r="I411" s="1" t="s">
        <v>43</v>
      </c>
      <c r="J411" s="1" t="s">
        <v>44</v>
      </c>
      <c r="K411" s="3">
        <v>4</v>
      </c>
      <c r="L411" s="2">
        <v>38543</v>
      </c>
      <c r="M411" s="3">
        <v>5</v>
      </c>
      <c r="N411" s="1" t="s">
        <v>56</v>
      </c>
      <c r="O411" s="1" t="s">
        <v>109</v>
      </c>
      <c r="P411" s="1" t="s">
        <v>58</v>
      </c>
      <c r="Q411" s="1" t="s">
        <v>1355</v>
      </c>
      <c r="R411" s="1" t="s">
        <v>1586</v>
      </c>
      <c r="S411" s="3">
        <v>4</v>
      </c>
      <c r="T411" s="1" t="s">
        <v>36</v>
      </c>
      <c r="U411" s="3">
        <v>326</v>
      </c>
      <c r="V411" s="1" t="s">
        <v>79</v>
      </c>
      <c r="W411" s="5">
        <f>Table1[[#This Row],[Quantity]]*Table1[[#This Row],[Price]]*(1-Table1[[#This Row],[Discount %]]/100)</f>
        <v>146463.4</v>
      </c>
      <c r="X411">
        <f>Table1[[#This Row],[DeliveryDate]]-Table1[[#This Row],[OrderDate]]</f>
        <v>2</v>
      </c>
      <c r="Y411" t="str">
        <f>TEXT(Table1[[#This Row],[OrderDate]],"MMMM")</f>
        <v>August</v>
      </c>
      <c r="Z411" s="5">
        <f>YEAR(Table1[[#This Row],[OrderDate]])</f>
        <v>2024</v>
      </c>
    </row>
    <row r="412" spans="1:26" x14ac:dyDescent="0.3">
      <c r="A412" s="1" t="s">
        <v>1587</v>
      </c>
      <c r="B412" t="s">
        <v>840</v>
      </c>
      <c r="C412" s="3">
        <v>27</v>
      </c>
      <c r="D412" s="1" t="s">
        <v>24</v>
      </c>
      <c r="E412" s="1" t="s">
        <v>131</v>
      </c>
      <c r="F412" s="1" t="s">
        <v>65</v>
      </c>
      <c r="G412" s="4">
        <v>45553</v>
      </c>
      <c r="H412" s="4">
        <v>45554</v>
      </c>
      <c r="I412" s="1" t="s">
        <v>43</v>
      </c>
      <c r="J412" s="1" t="s">
        <v>44</v>
      </c>
      <c r="K412" s="3">
        <v>2</v>
      </c>
      <c r="L412" s="2">
        <v>17691</v>
      </c>
      <c r="M412" s="3">
        <v>15</v>
      </c>
      <c r="N412" s="1" t="s">
        <v>31</v>
      </c>
      <c r="O412" s="1" t="s">
        <v>102</v>
      </c>
      <c r="P412" s="1" t="s">
        <v>69</v>
      </c>
      <c r="Q412" s="1" t="s">
        <v>1147</v>
      </c>
      <c r="R412" s="1" t="s">
        <v>1589</v>
      </c>
      <c r="S412" s="3">
        <v>5</v>
      </c>
      <c r="T412" s="1" t="s">
        <v>61</v>
      </c>
      <c r="U412" s="3">
        <v>495</v>
      </c>
      <c r="V412" s="1" t="s">
        <v>79</v>
      </c>
      <c r="W412" s="5">
        <f>Table1[[#This Row],[Quantity]]*Table1[[#This Row],[Price]]*(1-Table1[[#This Row],[Discount %]]/100)</f>
        <v>30074.7</v>
      </c>
      <c r="X412">
        <f>Table1[[#This Row],[DeliveryDate]]-Table1[[#This Row],[OrderDate]]</f>
        <v>1</v>
      </c>
      <c r="Y412" t="str">
        <f>TEXT(Table1[[#This Row],[OrderDate]],"MMMM")</f>
        <v>September</v>
      </c>
      <c r="Z412" s="5">
        <f>YEAR(Table1[[#This Row],[OrderDate]])</f>
        <v>2024</v>
      </c>
    </row>
    <row r="413" spans="1:26" x14ac:dyDescent="0.3">
      <c r="A413" s="1" t="s">
        <v>1590</v>
      </c>
      <c r="B413" t="s">
        <v>321</v>
      </c>
      <c r="C413" s="3">
        <v>27</v>
      </c>
      <c r="D413" s="1" t="s">
        <v>24</v>
      </c>
      <c r="E413" s="1" t="s">
        <v>26</v>
      </c>
      <c r="F413" s="1" t="s">
        <v>53</v>
      </c>
      <c r="G413" s="4">
        <v>45570</v>
      </c>
      <c r="H413" s="4">
        <v>45577</v>
      </c>
      <c r="I413" s="1" t="s">
        <v>29</v>
      </c>
      <c r="J413" s="1" t="s">
        <v>30</v>
      </c>
      <c r="K413" s="3">
        <v>4</v>
      </c>
      <c r="L413" s="2">
        <v>28425</v>
      </c>
      <c r="M413" s="3">
        <v>15</v>
      </c>
      <c r="N413" s="1" t="s">
        <v>166</v>
      </c>
      <c r="O413" s="1" t="s">
        <v>173</v>
      </c>
      <c r="P413" s="1" t="s">
        <v>69</v>
      </c>
      <c r="Q413" s="1" t="s">
        <v>324</v>
      </c>
      <c r="R413" s="1" t="s">
        <v>1591</v>
      </c>
      <c r="S413" s="3">
        <v>4</v>
      </c>
      <c r="T413" s="1" t="s">
        <v>36</v>
      </c>
      <c r="U413" s="3">
        <v>454</v>
      </c>
      <c r="V413" s="1" t="s">
        <v>37</v>
      </c>
      <c r="W413" s="5">
        <f>Table1[[#This Row],[Quantity]]*Table1[[#This Row],[Price]]*(1-Table1[[#This Row],[Discount %]]/100)</f>
        <v>96645</v>
      </c>
      <c r="X413">
        <f>Table1[[#This Row],[DeliveryDate]]-Table1[[#This Row],[OrderDate]]</f>
        <v>7</v>
      </c>
      <c r="Y413" t="str">
        <f>TEXT(Table1[[#This Row],[OrderDate]],"MMMM")</f>
        <v>October</v>
      </c>
      <c r="Z413" s="5">
        <f>YEAR(Table1[[#This Row],[OrderDate]])</f>
        <v>2024</v>
      </c>
    </row>
    <row r="414" spans="1:26" x14ac:dyDescent="0.3">
      <c r="A414" s="1" t="s">
        <v>1592</v>
      </c>
      <c r="B414" t="s">
        <v>933</v>
      </c>
      <c r="C414" s="3">
        <v>43</v>
      </c>
      <c r="D414" s="1" t="s">
        <v>51</v>
      </c>
      <c r="E414" s="1" t="s">
        <v>40</v>
      </c>
      <c r="F414" s="1" t="s">
        <v>82</v>
      </c>
      <c r="G414" s="4">
        <v>45496</v>
      </c>
      <c r="H414" s="4">
        <v>45501</v>
      </c>
      <c r="I414" s="1" t="s">
        <v>108</v>
      </c>
      <c r="J414" s="1" t="s">
        <v>30</v>
      </c>
      <c r="K414" s="3">
        <v>1</v>
      </c>
      <c r="L414" s="2">
        <v>14119</v>
      </c>
      <c r="M414" s="3">
        <v>10</v>
      </c>
      <c r="N414" s="1" t="s">
        <v>166</v>
      </c>
      <c r="O414" s="1" t="s">
        <v>86</v>
      </c>
      <c r="P414" s="1" t="s">
        <v>69</v>
      </c>
      <c r="Q414" s="1" t="s">
        <v>935</v>
      </c>
      <c r="R414" s="1" t="s">
        <v>1593</v>
      </c>
      <c r="S414" s="3">
        <v>2</v>
      </c>
      <c r="T414" s="1" t="s">
        <v>72</v>
      </c>
      <c r="U414" s="3">
        <v>308</v>
      </c>
      <c r="V414" s="1" t="s">
        <v>62</v>
      </c>
      <c r="W414" s="5">
        <f>Table1[[#This Row],[Quantity]]*Table1[[#This Row],[Price]]*(1-Table1[[#This Row],[Discount %]]/100)</f>
        <v>12707.1</v>
      </c>
      <c r="X414">
        <f>Table1[[#This Row],[DeliveryDate]]-Table1[[#This Row],[OrderDate]]</f>
        <v>5</v>
      </c>
      <c r="Y414" t="str">
        <f>TEXT(Table1[[#This Row],[OrderDate]],"MMMM")</f>
        <v>July</v>
      </c>
      <c r="Z414" s="5">
        <f>YEAR(Table1[[#This Row],[OrderDate]])</f>
        <v>2024</v>
      </c>
    </row>
    <row r="415" spans="1:26" x14ac:dyDescent="0.3">
      <c r="A415" s="1" t="s">
        <v>1594</v>
      </c>
      <c r="B415" t="s">
        <v>113</v>
      </c>
      <c r="C415" s="3">
        <v>18</v>
      </c>
      <c r="D415" s="1" t="s">
        <v>51</v>
      </c>
      <c r="E415" s="1" t="s">
        <v>229</v>
      </c>
      <c r="F415" s="1" t="s">
        <v>82</v>
      </c>
      <c r="G415" s="4">
        <v>45104</v>
      </c>
      <c r="H415" s="4">
        <v>45106</v>
      </c>
      <c r="I415" s="1" t="s">
        <v>43</v>
      </c>
      <c r="J415" s="1" t="s">
        <v>44</v>
      </c>
      <c r="K415" s="3">
        <v>2</v>
      </c>
      <c r="L415" s="2">
        <v>16440</v>
      </c>
      <c r="M415" s="3">
        <v>0</v>
      </c>
      <c r="N415" s="1" t="s">
        <v>31</v>
      </c>
      <c r="O415" s="1" t="s">
        <v>281</v>
      </c>
      <c r="P415" s="1" t="s">
        <v>69</v>
      </c>
      <c r="Q415" s="1" t="s">
        <v>116</v>
      </c>
      <c r="R415" s="1" t="s">
        <v>1596</v>
      </c>
      <c r="S415" s="3">
        <v>1</v>
      </c>
      <c r="T415" s="1" t="s">
        <v>96</v>
      </c>
      <c r="U415" s="3">
        <v>264</v>
      </c>
      <c r="V415" s="1" t="s">
        <v>79</v>
      </c>
      <c r="W415" s="5">
        <f>Table1[[#This Row],[Quantity]]*Table1[[#This Row],[Price]]*(1-Table1[[#This Row],[Discount %]]/100)</f>
        <v>32880</v>
      </c>
      <c r="X415">
        <f>Table1[[#This Row],[DeliveryDate]]-Table1[[#This Row],[OrderDate]]</f>
        <v>2</v>
      </c>
      <c r="Y415" t="str">
        <f>TEXT(Table1[[#This Row],[OrderDate]],"MMMM")</f>
        <v>June</v>
      </c>
      <c r="Z415" s="5">
        <f>YEAR(Table1[[#This Row],[OrderDate]])</f>
        <v>2023</v>
      </c>
    </row>
    <row r="416" spans="1:26" x14ac:dyDescent="0.3">
      <c r="A416" s="1" t="s">
        <v>1597</v>
      </c>
      <c r="B416" t="s">
        <v>660</v>
      </c>
      <c r="C416" s="3">
        <v>35</v>
      </c>
      <c r="D416" s="1" t="s">
        <v>51</v>
      </c>
      <c r="E416" s="1" t="s">
        <v>99</v>
      </c>
      <c r="F416" s="1" t="s">
        <v>26</v>
      </c>
      <c r="G416" s="4">
        <v>45041</v>
      </c>
      <c r="H416" s="4">
        <v>45048</v>
      </c>
      <c r="I416" s="1" t="s">
        <v>77</v>
      </c>
      <c r="J416" s="1" t="s">
        <v>30</v>
      </c>
      <c r="K416" s="3">
        <v>5</v>
      </c>
      <c r="L416" s="2">
        <v>43345</v>
      </c>
      <c r="M416" s="3">
        <v>5</v>
      </c>
      <c r="N416" s="1" t="s">
        <v>45</v>
      </c>
      <c r="O416" s="1" t="s">
        <v>46</v>
      </c>
      <c r="P416" s="1" t="s">
        <v>33</v>
      </c>
      <c r="Q416" s="1" t="s">
        <v>662</v>
      </c>
      <c r="R416" s="1" t="s">
        <v>1598</v>
      </c>
      <c r="S416" s="3">
        <v>3</v>
      </c>
      <c r="T416" s="1" t="s">
        <v>61</v>
      </c>
      <c r="U416" s="3">
        <v>239</v>
      </c>
      <c r="V416" s="1" t="s">
        <v>37</v>
      </c>
      <c r="W416" s="5">
        <f>Table1[[#This Row],[Quantity]]*Table1[[#This Row],[Price]]*(1-Table1[[#This Row],[Discount %]]/100)</f>
        <v>205888.75</v>
      </c>
      <c r="X416">
        <f>Table1[[#This Row],[DeliveryDate]]-Table1[[#This Row],[OrderDate]]</f>
        <v>7</v>
      </c>
      <c r="Y416" t="str">
        <f>TEXT(Table1[[#This Row],[OrderDate]],"MMMM")</f>
        <v>April</v>
      </c>
      <c r="Z416" s="5">
        <f>YEAR(Table1[[#This Row],[OrderDate]])</f>
        <v>2023</v>
      </c>
    </row>
    <row r="417" spans="1:26" x14ac:dyDescent="0.3">
      <c r="A417" s="1" t="s">
        <v>1599</v>
      </c>
      <c r="B417" t="s">
        <v>278</v>
      </c>
      <c r="C417" s="3">
        <v>46</v>
      </c>
      <c r="D417" s="1" t="s">
        <v>51</v>
      </c>
      <c r="E417" s="1" t="s">
        <v>40</v>
      </c>
      <c r="F417" s="1" t="s">
        <v>26</v>
      </c>
      <c r="G417" s="4">
        <v>45431</v>
      </c>
      <c r="H417" s="4">
        <v>45434</v>
      </c>
      <c r="I417" s="1" t="s">
        <v>108</v>
      </c>
      <c r="J417" s="1" t="s">
        <v>30</v>
      </c>
      <c r="K417" s="3">
        <v>5</v>
      </c>
      <c r="L417" s="2">
        <v>44993</v>
      </c>
      <c r="M417" s="3">
        <v>5</v>
      </c>
      <c r="N417" s="1" t="s">
        <v>56</v>
      </c>
      <c r="O417" s="1" t="s">
        <v>102</v>
      </c>
      <c r="P417" s="1" t="s">
        <v>69</v>
      </c>
      <c r="Q417" s="1" t="s">
        <v>282</v>
      </c>
      <c r="R417" s="1" t="s">
        <v>1601</v>
      </c>
      <c r="S417" s="3">
        <v>1</v>
      </c>
      <c r="T417" s="1" t="s">
        <v>61</v>
      </c>
      <c r="U417" s="3">
        <v>120</v>
      </c>
      <c r="V417" s="1" t="s">
        <v>62</v>
      </c>
      <c r="W417" s="5">
        <f>Table1[[#This Row],[Quantity]]*Table1[[#This Row],[Price]]*(1-Table1[[#This Row],[Discount %]]/100)</f>
        <v>213716.75</v>
      </c>
      <c r="X417">
        <f>Table1[[#This Row],[DeliveryDate]]-Table1[[#This Row],[OrderDate]]</f>
        <v>3</v>
      </c>
      <c r="Y417" t="str">
        <f>TEXT(Table1[[#This Row],[OrderDate]],"MMMM")</f>
        <v>May</v>
      </c>
      <c r="Z417" s="5">
        <f>YEAR(Table1[[#This Row],[OrderDate]])</f>
        <v>2024</v>
      </c>
    </row>
    <row r="418" spans="1:26" x14ac:dyDescent="0.3">
      <c r="A418" s="1" t="s">
        <v>1602</v>
      </c>
      <c r="B418" t="s">
        <v>850</v>
      </c>
      <c r="C418" s="3">
        <v>33</v>
      </c>
      <c r="D418" s="1" t="s">
        <v>24</v>
      </c>
      <c r="E418" s="1" t="s">
        <v>52</v>
      </c>
      <c r="F418" s="1" t="s">
        <v>82</v>
      </c>
      <c r="G418" s="4">
        <v>45014</v>
      </c>
      <c r="H418" s="4">
        <v>45023</v>
      </c>
      <c r="I418" s="1" t="s">
        <v>29</v>
      </c>
      <c r="J418" s="1" t="s">
        <v>30</v>
      </c>
      <c r="K418" s="3">
        <v>1</v>
      </c>
      <c r="L418" s="2">
        <v>42109.716287215415</v>
      </c>
      <c r="M418" s="3">
        <v>5</v>
      </c>
      <c r="N418" s="1" t="s">
        <v>56</v>
      </c>
      <c r="O418" s="1" t="s">
        <v>86</v>
      </c>
      <c r="P418" s="1" t="s">
        <v>33</v>
      </c>
      <c r="Q418" s="1" t="s">
        <v>258</v>
      </c>
      <c r="R418" s="1" t="s">
        <v>1603</v>
      </c>
      <c r="S418" s="3">
        <v>1</v>
      </c>
      <c r="T418" s="1" t="s">
        <v>72</v>
      </c>
      <c r="U418" s="3">
        <v>173</v>
      </c>
      <c r="V418" s="1" t="s">
        <v>62</v>
      </c>
      <c r="W418" s="5">
        <f>Table1[[#This Row],[Quantity]]*Table1[[#This Row],[Price]]*(1-Table1[[#This Row],[Discount %]]/100)</f>
        <v>40004.230472854644</v>
      </c>
      <c r="X418">
        <f>Table1[[#This Row],[DeliveryDate]]-Table1[[#This Row],[OrderDate]]</f>
        <v>9</v>
      </c>
      <c r="Y418" t="str">
        <f>TEXT(Table1[[#This Row],[OrderDate]],"MMMM")</f>
        <v>March</v>
      </c>
      <c r="Z418" s="5">
        <f>YEAR(Table1[[#This Row],[OrderDate]])</f>
        <v>2023</v>
      </c>
    </row>
    <row r="419" spans="1:26" x14ac:dyDescent="0.3">
      <c r="A419" s="1" t="s">
        <v>1604</v>
      </c>
      <c r="B419" t="s">
        <v>1690</v>
      </c>
      <c r="C419" s="3">
        <v>24</v>
      </c>
      <c r="D419" s="1" t="s">
        <v>24</v>
      </c>
      <c r="E419" s="1" t="s">
        <v>229</v>
      </c>
      <c r="F419" s="1" t="s">
        <v>65</v>
      </c>
      <c r="G419" s="4">
        <v>45014</v>
      </c>
      <c r="H419" s="4">
        <v>45019</v>
      </c>
      <c r="I419" s="1" t="s">
        <v>108</v>
      </c>
      <c r="J419" s="1" t="s">
        <v>44</v>
      </c>
      <c r="K419" s="3">
        <v>4</v>
      </c>
      <c r="L419" s="2">
        <v>70255</v>
      </c>
      <c r="M419" s="3">
        <v>10</v>
      </c>
      <c r="N419" s="1" t="s">
        <v>166</v>
      </c>
      <c r="O419" s="1" t="s">
        <v>46</v>
      </c>
      <c r="P419" s="1" t="s">
        <v>33</v>
      </c>
      <c r="Q419" s="1" t="s">
        <v>87</v>
      </c>
      <c r="R419" s="1" t="s">
        <v>1605</v>
      </c>
      <c r="S419" s="3">
        <v>1</v>
      </c>
      <c r="T419" s="1" t="s">
        <v>61</v>
      </c>
      <c r="U419" s="3">
        <v>101</v>
      </c>
      <c r="V419" s="1" t="s">
        <v>37</v>
      </c>
      <c r="W419" s="5">
        <f>Table1[[#This Row],[Quantity]]*Table1[[#This Row],[Price]]*(1-Table1[[#This Row],[Discount %]]/100)</f>
        <v>252918</v>
      </c>
      <c r="X419">
        <f>Table1[[#This Row],[DeliveryDate]]-Table1[[#This Row],[OrderDate]]</f>
        <v>5</v>
      </c>
      <c r="Y419" t="str">
        <f>TEXT(Table1[[#This Row],[OrderDate]],"MMMM")</f>
        <v>March</v>
      </c>
      <c r="Z419" s="5">
        <f>YEAR(Table1[[#This Row],[OrderDate]])</f>
        <v>2023</v>
      </c>
    </row>
    <row r="420" spans="1:26" x14ac:dyDescent="0.3">
      <c r="A420" s="1" t="s">
        <v>1606</v>
      </c>
      <c r="B420" t="s">
        <v>182</v>
      </c>
      <c r="C420" s="3">
        <v>48</v>
      </c>
      <c r="D420" s="1" t="s">
        <v>51</v>
      </c>
      <c r="E420" s="1" t="s">
        <v>99</v>
      </c>
      <c r="F420" s="1" t="s">
        <v>53</v>
      </c>
      <c r="G420" s="4">
        <v>45249</v>
      </c>
      <c r="H420" s="4">
        <v>45253</v>
      </c>
      <c r="I420" s="1" t="s">
        <v>108</v>
      </c>
      <c r="J420" s="1" t="s">
        <v>44</v>
      </c>
      <c r="K420" s="3">
        <v>1</v>
      </c>
      <c r="L420" s="2">
        <v>12754</v>
      </c>
      <c r="M420" s="3">
        <v>15</v>
      </c>
      <c r="N420" s="1" t="s">
        <v>56</v>
      </c>
      <c r="O420" s="1" t="s">
        <v>57</v>
      </c>
      <c r="P420" s="1" t="s">
        <v>69</v>
      </c>
      <c r="Q420" s="1" t="s">
        <v>186</v>
      </c>
      <c r="R420" s="1" t="s">
        <v>3415</v>
      </c>
      <c r="S420" s="3">
        <v>2</v>
      </c>
      <c r="T420" s="1" t="s">
        <v>61</v>
      </c>
      <c r="U420" s="3">
        <v>433</v>
      </c>
      <c r="V420" s="1" t="s">
        <v>62</v>
      </c>
      <c r="W420" s="5">
        <f>Table1[[#This Row],[Quantity]]*Table1[[#This Row],[Price]]*(1-Table1[[#This Row],[Discount %]]/100)</f>
        <v>10840.9</v>
      </c>
      <c r="X420">
        <f>Table1[[#This Row],[DeliveryDate]]-Table1[[#This Row],[OrderDate]]</f>
        <v>4</v>
      </c>
      <c r="Y420" t="str">
        <f>TEXT(Table1[[#This Row],[OrderDate]],"MMMM")</f>
        <v>November</v>
      </c>
      <c r="Z420" s="5">
        <f>YEAR(Table1[[#This Row],[OrderDate]])</f>
        <v>2023</v>
      </c>
    </row>
    <row r="421" spans="1:26" x14ac:dyDescent="0.3">
      <c r="A421" s="1" t="s">
        <v>1608</v>
      </c>
      <c r="B421" t="s">
        <v>327</v>
      </c>
      <c r="C421" s="3">
        <v>59</v>
      </c>
      <c r="D421" s="1" t="s">
        <v>24</v>
      </c>
      <c r="E421" s="1" t="s">
        <v>99</v>
      </c>
      <c r="F421" s="1" t="s">
        <v>91</v>
      </c>
      <c r="G421" s="4">
        <v>45142</v>
      </c>
      <c r="H421" s="4">
        <v>45151</v>
      </c>
      <c r="I421" s="1" t="s">
        <v>85</v>
      </c>
      <c r="J421" s="1" t="s">
        <v>44</v>
      </c>
      <c r="K421" s="3">
        <v>2</v>
      </c>
      <c r="L421" s="2">
        <v>53510</v>
      </c>
      <c r="M421" s="3">
        <v>0</v>
      </c>
      <c r="N421" s="1" t="s">
        <v>166</v>
      </c>
      <c r="O421" s="1" t="s">
        <v>46</v>
      </c>
      <c r="P421" s="1" t="s">
        <v>174</v>
      </c>
      <c r="Q421" s="1" t="s">
        <v>330</v>
      </c>
      <c r="R421" s="1" t="s">
        <v>1610</v>
      </c>
      <c r="S421" s="3">
        <v>3</v>
      </c>
      <c r="T421" s="1" t="s">
        <v>72</v>
      </c>
      <c r="U421" s="3">
        <v>52</v>
      </c>
      <c r="V421" s="1" t="s">
        <v>79</v>
      </c>
      <c r="W421" s="5">
        <f>Table1[[#This Row],[Quantity]]*Table1[[#This Row],[Price]]*(1-Table1[[#This Row],[Discount %]]/100)</f>
        <v>107020</v>
      </c>
      <c r="X421">
        <f>Table1[[#This Row],[DeliveryDate]]-Table1[[#This Row],[OrderDate]]</f>
        <v>9</v>
      </c>
      <c r="Y421" t="str">
        <f>TEXT(Table1[[#This Row],[OrderDate]],"MMMM")</f>
        <v>August</v>
      </c>
      <c r="Z421" s="5">
        <f>YEAR(Table1[[#This Row],[OrderDate]])</f>
        <v>2023</v>
      </c>
    </row>
    <row r="422" spans="1:26" x14ac:dyDescent="0.3">
      <c r="A422" s="1" t="s">
        <v>1611</v>
      </c>
      <c r="B422" t="s">
        <v>315</v>
      </c>
      <c r="C422" s="3">
        <v>22</v>
      </c>
      <c r="D422" s="1" t="s">
        <v>24</v>
      </c>
      <c r="E422" s="1" t="s">
        <v>26</v>
      </c>
      <c r="F422" s="1" t="s">
        <v>53</v>
      </c>
      <c r="G422" s="4">
        <v>44933</v>
      </c>
      <c r="H422" s="4">
        <v>44943</v>
      </c>
      <c r="I422" s="1" t="s">
        <v>77</v>
      </c>
      <c r="J422" s="1" t="s">
        <v>44</v>
      </c>
      <c r="K422" s="3">
        <v>1</v>
      </c>
      <c r="L422" s="2">
        <v>56901</v>
      </c>
      <c r="M422" s="3">
        <v>0</v>
      </c>
      <c r="N422" s="1" t="s">
        <v>45</v>
      </c>
      <c r="O422" s="1" t="s">
        <v>133</v>
      </c>
      <c r="P422" s="1" t="s">
        <v>58</v>
      </c>
      <c r="Q422" s="1" t="s">
        <v>318</v>
      </c>
      <c r="R422" s="1" t="s">
        <v>1614</v>
      </c>
      <c r="S422" s="3">
        <v>3</v>
      </c>
      <c r="T422" s="1" t="s">
        <v>96</v>
      </c>
      <c r="U422" s="3">
        <v>237</v>
      </c>
      <c r="V422" s="1" t="s">
        <v>37</v>
      </c>
      <c r="W422" s="5">
        <f>Table1[[#This Row],[Quantity]]*Table1[[#This Row],[Price]]*(1-Table1[[#This Row],[Discount %]]/100)</f>
        <v>56901</v>
      </c>
      <c r="X422">
        <f>Table1[[#This Row],[DeliveryDate]]-Table1[[#This Row],[OrderDate]]</f>
        <v>10</v>
      </c>
      <c r="Y422" t="str">
        <f>TEXT(Table1[[#This Row],[OrderDate]],"MMMM")</f>
        <v>January</v>
      </c>
      <c r="Z422" s="5">
        <f>YEAR(Table1[[#This Row],[OrderDate]])</f>
        <v>2023</v>
      </c>
    </row>
    <row r="423" spans="1:26" x14ac:dyDescent="0.3">
      <c r="A423" s="1" t="s">
        <v>1615</v>
      </c>
      <c r="B423" t="s">
        <v>113</v>
      </c>
      <c r="C423" s="3">
        <v>46</v>
      </c>
      <c r="D423" s="1" t="s">
        <v>24</v>
      </c>
      <c r="E423" s="1" t="s">
        <v>26</v>
      </c>
      <c r="F423" s="1" t="s">
        <v>53</v>
      </c>
      <c r="G423" s="4">
        <v>45508</v>
      </c>
      <c r="H423" s="4">
        <v>45515</v>
      </c>
      <c r="I423" s="1" t="s">
        <v>85</v>
      </c>
      <c r="J423" s="1" t="s">
        <v>30</v>
      </c>
      <c r="K423" s="3">
        <v>2</v>
      </c>
      <c r="L423" s="2">
        <v>58446</v>
      </c>
      <c r="M423" s="3">
        <v>15</v>
      </c>
      <c r="N423" s="1" t="s">
        <v>166</v>
      </c>
      <c r="O423" s="1" t="s">
        <v>173</v>
      </c>
      <c r="P423" s="1" t="s">
        <v>33</v>
      </c>
      <c r="Q423" s="1" t="s">
        <v>116</v>
      </c>
      <c r="R423" s="1" t="s">
        <v>1617</v>
      </c>
      <c r="S423" s="3">
        <v>5</v>
      </c>
      <c r="T423" s="1" t="s">
        <v>72</v>
      </c>
      <c r="U423" s="3">
        <v>429</v>
      </c>
      <c r="V423" s="1" t="s">
        <v>79</v>
      </c>
      <c r="W423" s="5">
        <f>Table1[[#This Row],[Quantity]]*Table1[[#This Row],[Price]]*(1-Table1[[#This Row],[Discount %]]/100)</f>
        <v>99358.2</v>
      </c>
      <c r="X423">
        <f>Table1[[#This Row],[DeliveryDate]]-Table1[[#This Row],[OrderDate]]</f>
        <v>7</v>
      </c>
      <c r="Y423" t="str">
        <f>TEXT(Table1[[#This Row],[OrderDate]],"MMMM")</f>
        <v>August</v>
      </c>
      <c r="Z423" s="5">
        <f>YEAR(Table1[[#This Row],[OrderDate]])</f>
        <v>2024</v>
      </c>
    </row>
    <row r="424" spans="1:26" x14ac:dyDescent="0.3">
      <c r="A424" s="1" t="s">
        <v>1618</v>
      </c>
      <c r="B424" t="s">
        <v>293</v>
      </c>
      <c r="C424" s="3">
        <v>34</v>
      </c>
      <c r="D424" s="1" t="s">
        <v>51</v>
      </c>
      <c r="E424" s="1" t="s">
        <v>142</v>
      </c>
      <c r="F424" s="1" t="s">
        <v>53</v>
      </c>
      <c r="G424" s="4">
        <v>45105</v>
      </c>
      <c r="H424" s="4">
        <v>45108</v>
      </c>
      <c r="I424" s="1" t="s">
        <v>77</v>
      </c>
      <c r="J424" s="1" t="s">
        <v>30</v>
      </c>
      <c r="K424" s="3">
        <v>2</v>
      </c>
      <c r="L424" s="2">
        <v>67826</v>
      </c>
      <c r="M424" s="3">
        <v>0</v>
      </c>
      <c r="N424" s="1" t="s">
        <v>56</v>
      </c>
      <c r="O424" s="1" t="s">
        <v>57</v>
      </c>
      <c r="P424" s="1" t="s">
        <v>69</v>
      </c>
      <c r="Q424" s="1" t="s">
        <v>1231</v>
      </c>
      <c r="R424" s="1" t="s">
        <v>1619</v>
      </c>
      <c r="S424" s="3">
        <v>5</v>
      </c>
      <c r="T424" s="1" t="s">
        <v>61</v>
      </c>
      <c r="U424" s="3">
        <v>440</v>
      </c>
      <c r="V424" s="1" t="s">
        <v>37</v>
      </c>
      <c r="W424" s="5">
        <f>Table1[[#This Row],[Quantity]]*Table1[[#This Row],[Price]]*(1-Table1[[#This Row],[Discount %]]/100)</f>
        <v>135652</v>
      </c>
      <c r="X424">
        <f>Table1[[#This Row],[DeliveryDate]]-Table1[[#This Row],[OrderDate]]</f>
        <v>3</v>
      </c>
      <c r="Y424" t="str">
        <f>TEXT(Table1[[#This Row],[OrderDate]],"MMMM")</f>
        <v>June</v>
      </c>
      <c r="Z424" s="5">
        <f>YEAR(Table1[[#This Row],[OrderDate]])</f>
        <v>2023</v>
      </c>
    </row>
    <row r="425" spans="1:26" x14ac:dyDescent="0.3">
      <c r="A425" s="1" t="s">
        <v>1620</v>
      </c>
      <c r="B425" t="s">
        <v>803</v>
      </c>
      <c r="C425" s="3">
        <v>41</v>
      </c>
      <c r="D425" s="1" t="s">
        <v>51</v>
      </c>
      <c r="E425" s="1" t="s">
        <v>26</v>
      </c>
      <c r="F425" s="1" t="s">
        <v>53</v>
      </c>
      <c r="G425" s="4">
        <v>45397</v>
      </c>
      <c r="H425" s="4">
        <v>45405</v>
      </c>
      <c r="I425" s="1" t="s">
        <v>93</v>
      </c>
      <c r="J425" s="1" t="s">
        <v>44</v>
      </c>
      <c r="K425" s="3">
        <v>2.9447852760736195</v>
      </c>
      <c r="L425" s="2">
        <v>65479</v>
      </c>
      <c r="M425" s="3">
        <v>5</v>
      </c>
      <c r="N425" s="1" t="s">
        <v>56</v>
      </c>
      <c r="O425" s="1" t="s">
        <v>57</v>
      </c>
      <c r="P425" s="1" t="s">
        <v>174</v>
      </c>
      <c r="Q425" s="1" t="s">
        <v>805</v>
      </c>
      <c r="R425" s="1" t="s">
        <v>1623</v>
      </c>
      <c r="S425" s="3">
        <v>2</v>
      </c>
      <c r="T425" s="1" t="s">
        <v>36</v>
      </c>
      <c r="U425" s="3">
        <v>265</v>
      </c>
      <c r="V425" s="1" t="s">
        <v>79</v>
      </c>
      <c r="W425" s="5">
        <f>Table1[[#This Row],[Quantity]]*Table1[[#This Row],[Price]]*(1-Table1[[#This Row],[Discount %]]/100)</f>
        <v>183180.51533742331</v>
      </c>
      <c r="X425">
        <f>Table1[[#This Row],[DeliveryDate]]-Table1[[#This Row],[OrderDate]]</f>
        <v>8</v>
      </c>
      <c r="Y425" t="str">
        <f>TEXT(Table1[[#This Row],[OrderDate]],"MMMM")</f>
        <v>April</v>
      </c>
      <c r="Z425" s="5">
        <f>YEAR(Table1[[#This Row],[OrderDate]])</f>
        <v>2024</v>
      </c>
    </row>
    <row r="426" spans="1:26" x14ac:dyDescent="0.3">
      <c r="A426" s="1" t="s">
        <v>1624</v>
      </c>
      <c r="B426" t="s">
        <v>141</v>
      </c>
      <c r="C426" s="3">
        <v>55</v>
      </c>
      <c r="D426" s="1" t="s">
        <v>24</v>
      </c>
      <c r="E426" s="1" t="s">
        <v>52</v>
      </c>
      <c r="F426" s="1" t="s">
        <v>53</v>
      </c>
      <c r="G426" s="4">
        <v>44998</v>
      </c>
      <c r="H426" s="4">
        <v>45004</v>
      </c>
      <c r="I426" s="1" t="s">
        <v>77</v>
      </c>
      <c r="J426" s="1" t="s">
        <v>30</v>
      </c>
      <c r="K426" s="3">
        <v>1</v>
      </c>
      <c r="L426" s="2">
        <v>30008</v>
      </c>
      <c r="M426" s="3">
        <v>5</v>
      </c>
      <c r="N426" s="1" t="s">
        <v>45</v>
      </c>
      <c r="O426" s="1" t="s">
        <v>32</v>
      </c>
      <c r="P426" s="1" t="s">
        <v>58</v>
      </c>
      <c r="Q426" s="1" t="s">
        <v>144</v>
      </c>
      <c r="R426" s="1" t="s">
        <v>1625</v>
      </c>
      <c r="S426" s="3">
        <v>4</v>
      </c>
      <c r="T426" s="1" t="s">
        <v>61</v>
      </c>
      <c r="U426" s="3">
        <v>68</v>
      </c>
      <c r="V426" s="1" t="s">
        <v>62</v>
      </c>
      <c r="W426" s="5">
        <f>Table1[[#This Row],[Quantity]]*Table1[[#This Row],[Price]]*(1-Table1[[#This Row],[Discount %]]/100)</f>
        <v>28507.599999999999</v>
      </c>
      <c r="X426">
        <f>Table1[[#This Row],[DeliveryDate]]-Table1[[#This Row],[OrderDate]]</f>
        <v>6</v>
      </c>
      <c r="Y426" t="str">
        <f>TEXT(Table1[[#This Row],[OrderDate]],"MMMM")</f>
        <v>March</v>
      </c>
      <c r="Z426" s="5">
        <f>YEAR(Table1[[#This Row],[OrderDate]])</f>
        <v>2023</v>
      </c>
    </row>
    <row r="427" spans="1:26" x14ac:dyDescent="0.3">
      <c r="A427" s="1" t="s">
        <v>1626</v>
      </c>
      <c r="B427" t="s">
        <v>1396</v>
      </c>
      <c r="C427" s="3">
        <v>27</v>
      </c>
      <c r="D427" s="1" t="s">
        <v>51</v>
      </c>
      <c r="E427" s="1" t="s">
        <v>99</v>
      </c>
      <c r="F427" s="1" t="s">
        <v>82</v>
      </c>
      <c r="G427" s="4">
        <v>45415</v>
      </c>
      <c r="H427" s="4">
        <v>45425</v>
      </c>
      <c r="I427" s="1" t="s">
        <v>43</v>
      </c>
      <c r="J427" s="1" t="s">
        <v>44</v>
      </c>
      <c r="K427" s="3">
        <v>2</v>
      </c>
      <c r="L427" s="2">
        <v>23065</v>
      </c>
      <c r="M427" s="3">
        <v>10</v>
      </c>
      <c r="N427" s="1" t="s">
        <v>31</v>
      </c>
      <c r="O427" s="1" t="s">
        <v>173</v>
      </c>
      <c r="P427" s="1" t="s">
        <v>174</v>
      </c>
      <c r="Q427" s="1" t="s">
        <v>3415</v>
      </c>
      <c r="R427" s="1" t="s">
        <v>1628</v>
      </c>
      <c r="S427" s="3">
        <v>3</v>
      </c>
      <c r="T427" s="1" t="s">
        <v>96</v>
      </c>
      <c r="U427" s="3">
        <v>470</v>
      </c>
      <c r="V427" s="1" t="s">
        <v>79</v>
      </c>
      <c r="W427" s="5">
        <f>Table1[[#This Row],[Quantity]]*Table1[[#This Row],[Price]]*(1-Table1[[#This Row],[Discount %]]/100)</f>
        <v>41517</v>
      </c>
      <c r="X427">
        <f>Table1[[#This Row],[DeliveryDate]]-Table1[[#This Row],[OrderDate]]</f>
        <v>10</v>
      </c>
      <c r="Y427" t="str">
        <f>TEXT(Table1[[#This Row],[OrderDate]],"MMMM")</f>
        <v>May</v>
      </c>
      <c r="Z427" s="5">
        <f>YEAR(Table1[[#This Row],[OrderDate]])</f>
        <v>2024</v>
      </c>
    </row>
    <row r="428" spans="1:26" x14ac:dyDescent="0.3">
      <c r="A428" s="1" t="s">
        <v>1629</v>
      </c>
      <c r="B428" t="s">
        <v>156</v>
      </c>
      <c r="C428" s="3">
        <v>31</v>
      </c>
      <c r="D428" s="1" t="s">
        <v>24</v>
      </c>
      <c r="E428" s="1" t="s">
        <v>52</v>
      </c>
      <c r="F428" s="1" t="s">
        <v>82</v>
      </c>
      <c r="G428" s="4">
        <v>45579</v>
      </c>
      <c r="H428" s="4">
        <v>45589</v>
      </c>
      <c r="I428" s="1" t="s">
        <v>85</v>
      </c>
      <c r="J428" s="1" t="s">
        <v>30</v>
      </c>
      <c r="K428" s="3">
        <v>4</v>
      </c>
      <c r="L428" s="2">
        <v>39227</v>
      </c>
      <c r="M428" s="3">
        <v>5</v>
      </c>
      <c r="N428" s="1" t="s">
        <v>45</v>
      </c>
      <c r="O428" s="1" t="s">
        <v>86</v>
      </c>
      <c r="P428" s="1" t="s">
        <v>33</v>
      </c>
      <c r="Q428" s="1" t="s">
        <v>159</v>
      </c>
      <c r="R428" s="1" t="s">
        <v>1630</v>
      </c>
      <c r="S428" s="3">
        <v>5</v>
      </c>
      <c r="T428" s="1" t="s">
        <v>61</v>
      </c>
      <c r="U428" s="3">
        <v>58</v>
      </c>
      <c r="V428" s="1" t="s">
        <v>62</v>
      </c>
      <c r="W428" s="5">
        <f>Table1[[#This Row],[Quantity]]*Table1[[#This Row],[Price]]*(1-Table1[[#This Row],[Discount %]]/100)</f>
        <v>149062.6</v>
      </c>
      <c r="X428">
        <f>Table1[[#This Row],[DeliveryDate]]-Table1[[#This Row],[OrderDate]]</f>
        <v>10</v>
      </c>
      <c r="Y428" t="str">
        <f>TEXT(Table1[[#This Row],[OrderDate]],"MMMM")</f>
        <v>October</v>
      </c>
      <c r="Z428" s="5">
        <f>YEAR(Table1[[#This Row],[OrderDate]])</f>
        <v>2024</v>
      </c>
    </row>
    <row r="429" spans="1:26" x14ac:dyDescent="0.3">
      <c r="A429" s="1" t="s">
        <v>1631</v>
      </c>
      <c r="B429" t="s">
        <v>702</v>
      </c>
      <c r="C429" s="3">
        <v>29</v>
      </c>
      <c r="D429" s="1" t="s">
        <v>51</v>
      </c>
      <c r="E429" s="1" t="s">
        <v>40</v>
      </c>
      <c r="F429" s="1" t="s">
        <v>53</v>
      </c>
      <c r="G429" s="4">
        <v>45175</v>
      </c>
      <c r="H429" s="4">
        <v>45181</v>
      </c>
      <c r="I429" s="1" t="s">
        <v>29</v>
      </c>
      <c r="J429" s="1" t="s">
        <v>44</v>
      </c>
      <c r="K429" s="3">
        <v>4</v>
      </c>
      <c r="L429" s="2">
        <v>60151</v>
      </c>
      <c r="M429" s="3">
        <v>5</v>
      </c>
      <c r="N429" s="1" t="s">
        <v>31</v>
      </c>
      <c r="O429" s="1" t="s">
        <v>102</v>
      </c>
      <c r="P429" s="1" t="s">
        <v>58</v>
      </c>
      <c r="Q429" s="1" t="s">
        <v>916</v>
      </c>
      <c r="R429" s="1" t="s">
        <v>1633</v>
      </c>
      <c r="S429" s="3">
        <v>2</v>
      </c>
      <c r="T429" s="1" t="s">
        <v>36</v>
      </c>
      <c r="U429" s="3">
        <v>444</v>
      </c>
      <c r="V429" s="1" t="s">
        <v>62</v>
      </c>
      <c r="W429" s="5">
        <f>Table1[[#This Row],[Quantity]]*Table1[[#This Row],[Price]]*(1-Table1[[#This Row],[Discount %]]/100)</f>
        <v>228573.8</v>
      </c>
      <c r="X429">
        <f>Table1[[#This Row],[DeliveryDate]]-Table1[[#This Row],[OrderDate]]</f>
        <v>6</v>
      </c>
      <c r="Y429" t="str">
        <f>TEXT(Table1[[#This Row],[OrderDate]],"MMMM")</f>
        <v>September</v>
      </c>
      <c r="Z429" s="5">
        <f>YEAR(Table1[[#This Row],[OrderDate]])</f>
        <v>2023</v>
      </c>
    </row>
    <row r="430" spans="1:26" x14ac:dyDescent="0.3">
      <c r="A430" s="1" t="s">
        <v>1634</v>
      </c>
      <c r="B430" t="s">
        <v>684</v>
      </c>
      <c r="C430" s="3">
        <v>41</v>
      </c>
      <c r="D430" s="1" t="s">
        <v>24</v>
      </c>
      <c r="E430" s="1" t="s">
        <v>40</v>
      </c>
      <c r="F430" s="1" t="s">
        <v>53</v>
      </c>
      <c r="G430" s="4">
        <v>45280</v>
      </c>
      <c r="H430" s="4">
        <v>45284</v>
      </c>
      <c r="I430" s="1" t="s">
        <v>43</v>
      </c>
      <c r="J430" s="1" t="s">
        <v>44</v>
      </c>
      <c r="K430" s="3">
        <v>5</v>
      </c>
      <c r="L430" s="2">
        <v>77660</v>
      </c>
      <c r="M430" s="3">
        <v>0</v>
      </c>
      <c r="N430" s="1" t="s">
        <v>45</v>
      </c>
      <c r="O430" s="1" t="s">
        <v>57</v>
      </c>
      <c r="P430" s="1" t="s">
        <v>33</v>
      </c>
      <c r="Q430" s="1" t="s">
        <v>785</v>
      </c>
      <c r="R430" s="1" t="s">
        <v>1636</v>
      </c>
      <c r="S430" s="3">
        <v>3</v>
      </c>
      <c r="T430" s="1" t="s">
        <v>61</v>
      </c>
      <c r="U430" s="3">
        <v>57</v>
      </c>
      <c r="V430" s="1" t="s">
        <v>37</v>
      </c>
      <c r="W430" s="5">
        <f>Table1[[#This Row],[Quantity]]*Table1[[#This Row],[Price]]*(1-Table1[[#This Row],[Discount %]]/100)</f>
        <v>388300</v>
      </c>
      <c r="X430">
        <f>Table1[[#This Row],[DeliveryDate]]-Table1[[#This Row],[OrderDate]]</f>
        <v>4</v>
      </c>
      <c r="Y430" t="str">
        <f>TEXT(Table1[[#This Row],[OrderDate]],"MMMM")</f>
        <v>December</v>
      </c>
      <c r="Z430" s="5">
        <f>YEAR(Table1[[#This Row],[OrderDate]])</f>
        <v>2023</v>
      </c>
    </row>
    <row r="431" spans="1:26" x14ac:dyDescent="0.3">
      <c r="A431" s="1" t="s">
        <v>1637</v>
      </c>
      <c r="B431" t="s">
        <v>471</v>
      </c>
      <c r="C431" s="3">
        <v>46</v>
      </c>
      <c r="D431" s="1" t="s">
        <v>51</v>
      </c>
      <c r="E431" s="1" t="s">
        <v>229</v>
      </c>
      <c r="F431" s="1" t="s">
        <v>91</v>
      </c>
      <c r="G431" s="4">
        <v>45022</v>
      </c>
      <c r="H431" s="4">
        <v>45028</v>
      </c>
      <c r="I431" s="1" t="s">
        <v>108</v>
      </c>
      <c r="J431" s="1" t="s">
        <v>44</v>
      </c>
      <c r="K431" s="3">
        <v>4</v>
      </c>
      <c r="L431" s="2">
        <v>41212</v>
      </c>
      <c r="M431" s="3">
        <v>15</v>
      </c>
      <c r="N431" s="1" t="s">
        <v>45</v>
      </c>
      <c r="O431" s="1" t="s">
        <v>281</v>
      </c>
      <c r="P431" s="1" t="s">
        <v>33</v>
      </c>
      <c r="Q431" s="1" t="s">
        <v>495</v>
      </c>
      <c r="R431" s="1" t="s">
        <v>1639</v>
      </c>
      <c r="S431" s="3">
        <v>5</v>
      </c>
      <c r="T431" s="1" t="s">
        <v>96</v>
      </c>
      <c r="U431" s="3">
        <v>142</v>
      </c>
      <c r="V431" s="1" t="s">
        <v>37</v>
      </c>
      <c r="W431" s="5">
        <f>Table1[[#This Row],[Quantity]]*Table1[[#This Row],[Price]]*(1-Table1[[#This Row],[Discount %]]/100)</f>
        <v>140120.79999999999</v>
      </c>
      <c r="X431">
        <f>Table1[[#This Row],[DeliveryDate]]-Table1[[#This Row],[OrderDate]]</f>
        <v>6</v>
      </c>
      <c r="Y431" t="str">
        <f>TEXT(Table1[[#This Row],[OrderDate]],"MMMM")</f>
        <v>April</v>
      </c>
      <c r="Z431" s="5">
        <f>YEAR(Table1[[#This Row],[OrderDate]])</f>
        <v>2023</v>
      </c>
    </row>
    <row r="432" spans="1:26" x14ac:dyDescent="0.3">
      <c r="A432" s="1" t="s">
        <v>1640</v>
      </c>
      <c r="B432" t="s">
        <v>689</v>
      </c>
      <c r="C432" s="3">
        <v>36</v>
      </c>
      <c r="D432" s="1" t="s">
        <v>51</v>
      </c>
      <c r="E432" s="1" t="s">
        <v>25</v>
      </c>
      <c r="F432" s="1" t="s">
        <v>91</v>
      </c>
      <c r="G432" s="4">
        <v>45114</v>
      </c>
      <c r="H432" s="4">
        <v>45116</v>
      </c>
      <c r="I432" s="1" t="s">
        <v>93</v>
      </c>
      <c r="J432" s="1" t="s">
        <v>30</v>
      </c>
      <c r="K432" s="3">
        <v>1</v>
      </c>
      <c r="L432" s="2">
        <v>64063</v>
      </c>
      <c r="M432" s="3">
        <v>10</v>
      </c>
      <c r="N432" s="1" t="s">
        <v>45</v>
      </c>
      <c r="O432" s="1" t="s">
        <v>109</v>
      </c>
      <c r="P432" s="1" t="s">
        <v>58</v>
      </c>
      <c r="Q432" s="1" t="s">
        <v>1105</v>
      </c>
      <c r="R432" s="1" t="s">
        <v>1641</v>
      </c>
      <c r="S432" s="3">
        <v>3</v>
      </c>
      <c r="T432" s="1" t="s">
        <v>36</v>
      </c>
      <c r="U432" s="3">
        <v>177</v>
      </c>
      <c r="V432" s="1" t="s">
        <v>37</v>
      </c>
      <c r="W432" s="5">
        <f>Table1[[#This Row],[Quantity]]*Table1[[#This Row],[Price]]*(1-Table1[[#This Row],[Discount %]]/100)</f>
        <v>57656.700000000004</v>
      </c>
      <c r="X432">
        <f>Table1[[#This Row],[DeliveryDate]]-Table1[[#This Row],[OrderDate]]</f>
        <v>2</v>
      </c>
      <c r="Y432" t="str">
        <f>TEXT(Table1[[#This Row],[OrderDate]],"MMMM")</f>
        <v>July</v>
      </c>
      <c r="Z432" s="5">
        <f>YEAR(Table1[[#This Row],[OrderDate]])</f>
        <v>2023</v>
      </c>
    </row>
    <row r="433" spans="1:26" x14ac:dyDescent="0.3">
      <c r="A433" s="1" t="s">
        <v>1642</v>
      </c>
      <c r="B433" t="s">
        <v>141</v>
      </c>
      <c r="C433" s="3">
        <v>27</v>
      </c>
      <c r="D433" s="1" t="s">
        <v>51</v>
      </c>
      <c r="E433" s="1" t="s">
        <v>40</v>
      </c>
      <c r="F433" s="1" t="s">
        <v>26</v>
      </c>
      <c r="G433" s="4">
        <v>45303</v>
      </c>
      <c r="H433" s="4">
        <v>45306</v>
      </c>
      <c r="I433" s="1" t="s">
        <v>77</v>
      </c>
      <c r="J433" s="1" t="s">
        <v>44</v>
      </c>
      <c r="K433" s="3">
        <v>1</v>
      </c>
      <c r="L433" s="2">
        <v>37134</v>
      </c>
      <c r="M433" s="3">
        <v>10</v>
      </c>
      <c r="N433" s="1" t="s">
        <v>56</v>
      </c>
      <c r="O433" s="1" t="s">
        <v>173</v>
      </c>
      <c r="P433" s="1" t="s">
        <v>58</v>
      </c>
      <c r="Q433" s="1" t="s">
        <v>144</v>
      </c>
      <c r="R433" s="1" t="s">
        <v>1644</v>
      </c>
      <c r="S433" s="3">
        <v>1</v>
      </c>
      <c r="T433" s="1" t="s">
        <v>96</v>
      </c>
      <c r="U433" s="3">
        <v>255</v>
      </c>
      <c r="V433" s="1" t="s">
        <v>62</v>
      </c>
      <c r="W433" s="5">
        <f>Table1[[#This Row],[Quantity]]*Table1[[#This Row],[Price]]*(1-Table1[[#This Row],[Discount %]]/100)</f>
        <v>33420.6</v>
      </c>
      <c r="X433">
        <f>Table1[[#This Row],[DeliveryDate]]-Table1[[#This Row],[OrderDate]]</f>
        <v>3</v>
      </c>
      <c r="Y433" t="str">
        <f>TEXT(Table1[[#This Row],[OrderDate]],"MMMM")</f>
        <v>January</v>
      </c>
      <c r="Z433" s="5">
        <f>YEAR(Table1[[#This Row],[OrderDate]])</f>
        <v>2024</v>
      </c>
    </row>
    <row r="434" spans="1:26" x14ac:dyDescent="0.3">
      <c r="A434" s="1" t="s">
        <v>1645</v>
      </c>
      <c r="B434" t="s">
        <v>645</v>
      </c>
      <c r="C434" s="3">
        <v>41</v>
      </c>
      <c r="D434" s="1" t="s">
        <v>24</v>
      </c>
      <c r="E434" s="1" t="s">
        <v>40</v>
      </c>
      <c r="F434" s="1" t="s">
        <v>53</v>
      </c>
      <c r="G434" s="4">
        <v>44957</v>
      </c>
      <c r="H434" s="4">
        <v>44965</v>
      </c>
      <c r="I434" s="1" t="s">
        <v>29</v>
      </c>
      <c r="J434" s="1" t="s">
        <v>30</v>
      </c>
      <c r="K434" s="3">
        <v>3</v>
      </c>
      <c r="L434" s="2">
        <v>52195</v>
      </c>
      <c r="M434" s="3">
        <v>10</v>
      </c>
      <c r="N434" s="1" t="s">
        <v>45</v>
      </c>
      <c r="O434" s="1" t="s">
        <v>86</v>
      </c>
      <c r="P434" s="1" t="s">
        <v>33</v>
      </c>
      <c r="Q434" s="1" t="s">
        <v>647</v>
      </c>
      <c r="R434" s="1" t="s">
        <v>1647</v>
      </c>
      <c r="S434" s="3">
        <v>4</v>
      </c>
      <c r="T434" s="1" t="s">
        <v>96</v>
      </c>
      <c r="U434" s="3">
        <v>258</v>
      </c>
      <c r="V434" s="1" t="s">
        <v>37</v>
      </c>
      <c r="W434" s="5">
        <f>Table1[[#This Row],[Quantity]]*Table1[[#This Row],[Price]]*(1-Table1[[#This Row],[Discount %]]/100)</f>
        <v>140926.5</v>
      </c>
      <c r="X434">
        <f>Table1[[#This Row],[DeliveryDate]]-Table1[[#This Row],[OrderDate]]</f>
        <v>8</v>
      </c>
      <c r="Y434" t="str">
        <f>TEXT(Table1[[#This Row],[OrderDate]],"MMMM")</f>
        <v>January</v>
      </c>
      <c r="Z434" s="5">
        <f>YEAR(Table1[[#This Row],[OrderDate]])</f>
        <v>2023</v>
      </c>
    </row>
    <row r="435" spans="1:26" x14ac:dyDescent="0.3">
      <c r="A435" s="1" t="s">
        <v>1648</v>
      </c>
      <c r="B435" t="s">
        <v>156</v>
      </c>
      <c r="C435" s="3">
        <v>37</v>
      </c>
      <c r="D435" s="1" t="s">
        <v>24</v>
      </c>
      <c r="E435" s="1" t="s">
        <v>142</v>
      </c>
      <c r="F435" s="1" t="s">
        <v>53</v>
      </c>
      <c r="G435" s="4">
        <v>44953</v>
      </c>
      <c r="H435" s="4">
        <v>44954</v>
      </c>
      <c r="I435" s="1" t="s">
        <v>77</v>
      </c>
      <c r="J435" s="1" t="s">
        <v>44</v>
      </c>
      <c r="K435" s="3">
        <v>2</v>
      </c>
      <c r="L435" s="2">
        <v>42109.716287215415</v>
      </c>
      <c r="M435" s="3">
        <v>15</v>
      </c>
      <c r="N435" s="1" t="s">
        <v>166</v>
      </c>
      <c r="O435" s="1" t="s">
        <v>86</v>
      </c>
      <c r="P435" s="1" t="s">
        <v>58</v>
      </c>
      <c r="Q435" s="1" t="s">
        <v>3415</v>
      </c>
      <c r="R435" s="1" t="s">
        <v>1650</v>
      </c>
      <c r="S435" s="3">
        <v>4</v>
      </c>
      <c r="T435" s="1" t="s">
        <v>72</v>
      </c>
      <c r="U435" s="3">
        <v>335</v>
      </c>
      <c r="V435" s="1" t="s">
        <v>79</v>
      </c>
      <c r="W435" s="5">
        <f>Table1[[#This Row],[Quantity]]*Table1[[#This Row],[Price]]*(1-Table1[[#This Row],[Discount %]]/100)</f>
        <v>71586.517688266205</v>
      </c>
      <c r="X435">
        <f>Table1[[#This Row],[DeliveryDate]]-Table1[[#This Row],[OrderDate]]</f>
        <v>1</v>
      </c>
      <c r="Y435" t="str">
        <f>TEXT(Table1[[#This Row],[OrderDate]],"MMMM")</f>
        <v>January</v>
      </c>
      <c r="Z435" s="5">
        <f>YEAR(Table1[[#This Row],[OrderDate]])</f>
        <v>2023</v>
      </c>
    </row>
    <row r="436" spans="1:26" x14ac:dyDescent="0.3">
      <c r="A436" s="1" t="s">
        <v>1651</v>
      </c>
      <c r="B436" t="s">
        <v>141</v>
      </c>
      <c r="C436" s="3">
        <v>22</v>
      </c>
      <c r="D436" s="1" t="s">
        <v>51</v>
      </c>
      <c r="E436" s="1" t="s">
        <v>40</v>
      </c>
      <c r="F436" s="1" t="s">
        <v>91</v>
      </c>
      <c r="G436" s="4">
        <v>45277</v>
      </c>
      <c r="H436" s="4">
        <v>45284</v>
      </c>
      <c r="I436" s="1" t="s">
        <v>85</v>
      </c>
      <c r="J436" s="1" t="s">
        <v>44</v>
      </c>
      <c r="K436" s="3">
        <v>3</v>
      </c>
      <c r="L436" s="2">
        <v>24296</v>
      </c>
      <c r="M436" s="3">
        <v>0</v>
      </c>
      <c r="N436" s="1" t="s">
        <v>56</v>
      </c>
      <c r="O436" s="1" t="s">
        <v>57</v>
      </c>
      <c r="P436" s="1" t="s">
        <v>33</v>
      </c>
      <c r="Q436" s="1" t="s">
        <v>144</v>
      </c>
      <c r="R436" s="1" t="s">
        <v>1652</v>
      </c>
      <c r="S436" s="3">
        <v>3</v>
      </c>
      <c r="T436" s="1" t="s">
        <v>36</v>
      </c>
      <c r="U436" s="3">
        <v>348</v>
      </c>
      <c r="V436" s="1" t="s">
        <v>62</v>
      </c>
      <c r="W436" s="5">
        <f>Table1[[#This Row],[Quantity]]*Table1[[#This Row],[Price]]*(1-Table1[[#This Row],[Discount %]]/100)</f>
        <v>72888</v>
      </c>
      <c r="X436">
        <f>Table1[[#This Row],[DeliveryDate]]-Table1[[#This Row],[OrderDate]]</f>
        <v>7</v>
      </c>
      <c r="Y436" t="str">
        <f>TEXT(Table1[[#This Row],[OrderDate]],"MMMM")</f>
        <v>December</v>
      </c>
      <c r="Z436" s="5">
        <f>YEAR(Table1[[#This Row],[OrderDate]])</f>
        <v>2023</v>
      </c>
    </row>
    <row r="437" spans="1:26" x14ac:dyDescent="0.3">
      <c r="A437" s="1" t="s">
        <v>1653</v>
      </c>
      <c r="B437" t="s">
        <v>606</v>
      </c>
      <c r="C437" s="3">
        <v>27</v>
      </c>
      <c r="D437" s="1" t="s">
        <v>51</v>
      </c>
      <c r="E437" s="1" t="s">
        <v>131</v>
      </c>
      <c r="F437" s="1" t="s">
        <v>65</v>
      </c>
      <c r="G437" s="4">
        <v>45216</v>
      </c>
      <c r="H437" s="4">
        <v>45222</v>
      </c>
      <c r="I437" s="1" t="s">
        <v>43</v>
      </c>
      <c r="J437" s="1" t="s">
        <v>30</v>
      </c>
      <c r="K437" s="3">
        <v>3</v>
      </c>
      <c r="L437" s="2">
        <v>45493</v>
      </c>
      <c r="M437" s="3">
        <v>0</v>
      </c>
      <c r="N437" s="1" t="s">
        <v>56</v>
      </c>
      <c r="O437" s="1" t="s">
        <v>281</v>
      </c>
      <c r="P437" s="1" t="s">
        <v>174</v>
      </c>
      <c r="Q437" s="1" t="s">
        <v>608</v>
      </c>
      <c r="R437" s="1" t="s">
        <v>1654</v>
      </c>
      <c r="S437" s="3">
        <v>1</v>
      </c>
      <c r="T437" s="1" t="s">
        <v>96</v>
      </c>
      <c r="U437" s="3">
        <v>367</v>
      </c>
      <c r="V437" s="1" t="s">
        <v>37</v>
      </c>
      <c r="W437" s="5">
        <f>Table1[[#This Row],[Quantity]]*Table1[[#This Row],[Price]]*(1-Table1[[#This Row],[Discount %]]/100)</f>
        <v>136479</v>
      </c>
      <c r="X437">
        <f>Table1[[#This Row],[DeliveryDate]]-Table1[[#This Row],[OrderDate]]</f>
        <v>6</v>
      </c>
      <c r="Y437" t="str">
        <f>TEXT(Table1[[#This Row],[OrderDate]],"MMMM")</f>
        <v>October</v>
      </c>
      <c r="Z437" s="5">
        <f>YEAR(Table1[[#This Row],[OrderDate]])</f>
        <v>2023</v>
      </c>
    </row>
    <row r="438" spans="1:26" x14ac:dyDescent="0.3">
      <c r="A438" s="1" t="s">
        <v>1655</v>
      </c>
      <c r="B438" t="s">
        <v>466</v>
      </c>
      <c r="C438" s="3">
        <v>33</v>
      </c>
      <c r="D438" s="1" t="s">
        <v>24</v>
      </c>
      <c r="E438" s="1" t="s">
        <v>229</v>
      </c>
      <c r="F438" s="1" t="s">
        <v>65</v>
      </c>
      <c r="G438" s="4">
        <v>45529</v>
      </c>
      <c r="H438" s="4">
        <v>45538</v>
      </c>
      <c r="I438" s="1" t="s">
        <v>85</v>
      </c>
      <c r="J438" s="1" t="s">
        <v>44</v>
      </c>
      <c r="K438" s="3">
        <v>1</v>
      </c>
      <c r="L438" s="2">
        <v>28806</v>
      </c>
      <c r="M438" s="3">
        <v>15</v>
      </c>
      <c r="N438" s="1" t="s">
        <v>45</v>
      </c>
      <c r="O438" s="1" t="s">
        <v>281</v>
      </c>
      <c r="P438" s="1" t="s">
        <v>58</v>
      </c>
      <c r="Q438" s="1" t="s">
        <v>468</v>
      </c>
      <c r="R438" s="1" t="s">
        <v>1657</v>
      </c>
      <c r="S438" s="3">
        <v>5</v>
      </c>
      <c r="T438" s="1" t="s">
        <v>72</v>
      </c>
      <c r="U438" s="3">
        <v>83</v>
      </c>
      <c r="V438" s="1" t="s">
        <v>37</v>
      </c>
      <c r="W438" s="5">
        <f>Table1[[#This Row],[Quantity]]*Table1[[#This Row],[Price]]*(1-Table1[[#This Row],[Discount %]]/100)</f>
        <v>24485.1</v>
      </c>
      <c r="X438">
        <f>Table1[[#This Row],[DeliveryDate]]-Table1[[#This Row],[OrderDate]]</f>
        <v>9</v>
      </c>
      <c r="Y438" t="str">
        <f>TEXT(Table1[[#This Row],[OrderDate]],"MMMM")</f>
        <v>August</v>
      </c>
      <c r="Z438" s="5">
        <f>YEAR(Table1[[#This Row],[OrderDate]])</f>
        <v>2024</v>
      </c>
    </row>
    <row r="439" spans="1:26" x14ac:dyDescent="0.3">
      <c r="A439" s="1" t="s">
        <v>1658</v>
      </c>
      <c r="B439" t="s">
        <v>333</v>
      </c>
      <c r="C439" s="3">
        <v>21</v>
      </c>
      <c r="D439" s="1" t="s">
        <v>24</v>
      </c>
      <c r="E439" s="1" t="s">
        <v>131</v>
      </c>
      <c r="F439" s="1" t="s">
        <v>65</v>
      </c>
      <c r="G439" s="4">
        <v>45528</v>
      </c>
      <c r="H439" s="4">
        <v>45534</v>
      </c>
      <c r="I439" s="1" t="s">
        <v>93</v>
      </c>
      <c r="J439" s="1" t="s">
        <v>44</v>
      </c>
      <c r="K439" s="3">
        <v>2.9447852760736195</v>
      </c>
      <c r="L439" s="2">
        <v>78904</v>
      </c>
      <c r="M439" s="3">
        <v>5</v>
      </c>
      <c r="N439" s="1" t="s">
        <v>166</v>
      </c>
      <c r="O439" s="1" t="s">
        <v>86</v>
      </c>
      <c r="P439" s="1" t="s">
        <v>174</v>
      </c>
      <c r="Q439" s="1" t="s">
        <v>3415</v>
      </c>
      <c r="R439" s="1" t="s">
        <v>1660</v>
      </c>
      <c r="S439" s="3">
        <v>5</v>
      </c>
      <c r="T439" s="1" t="s">
        <v>61</v>
      </c>
      <c r="U439" s="3">
        <v>237</v>
      </c>
      <c r="V439" s="1" t="s">
        <v>79</v>
      </c>
      <c r="W439" s="5">
        <f>Table1[[#This Row],[Quantity]]*Table1[[#This Row],[Price]]*(1-Table1[[#This Row],[Discount %]]/100)</f>
        <v>220737.57055214723</v>
      </c>
      <c r="X439">
        <f>Table1[[#This Row],[DeliveryDate]]-Table1[[#This Row],[OrderDate]]</f>
        <v>6</v>
      </c>
      <c r="Y439" t="str">
        <f>TEXT(Table1[[#This Row],[OrderDate]],"MMMM")</f>
        <v>August</v>
      </c>
      <c r="Z439" s="5">
        <f>YEAR(Table1[[#This Row],[OrderDate]])</f>
        <v>2024</v>
      </c>
    </row>
    <row r="440" spans="1:26" x14ac:dyDescent="0.3">
      <c r="A440" s="1" t="s">
        <v>1661</v>
      </c>
      <c r="B440" t="s">
        <v>1443</v>
      </c>
      <c r="C440" s="3">
        <v>38</v>
      </c>
      <c r="D440" s="1" t="s">
        <v>51</v>
      </c>
      <c r="E440" s="1" t="s">
        <v>52</v>
      </c>
      <c r="F440" s="1" t="s">
        <v>82</v>
      </c>
      <c r="G440" s="4">
        <v>45089</v>
      </c>
      <c r="H440" s="4">
        <v>45096</v>
      </c>
      <c r="I440" s="1" t="s">
        <v>43</v>
      </c>
      <c r="J440" s="1" t="s">
        <v>44</v>
      </c>
      <c r="K440" s="3">
        <v>5</v>
      </c>
      <c r="L440" s="2">
        <v>18711</v>
      </c>
      <c r="M440" s="3">
        <v>10</v>
      </c>
      <c r="N440" s="1" t="s">
        <v>45</v>
      </c>
      <c r="O440" s="1" t="s">
        <v>68</v>
      </c>
      <c r="P440" s="1" t="s">
        <v>69</v>
      </c>
      <c r="Q440" s="1" t="s">
        <v>1444</v>
      </c>
      <c r="R440" s="1" t="s">
        <v>1662</v>
      </c>
      <c r="S440" s="3">
        <v>3</v>
      </c>
      <c r="T440" s="1" t="s">
        <v>36</v>
      </c>
      <c r="U440" s="3">
        <v>301</v>
      </c>
      <c r="V440" s="1" t="s">
        <v>79</v>
      </c>
      <c r="W440" s="5">
        <f>Table1[[#This Row],[Quantity]]*Table1[[#This Row],[Price]]*(1-Table1[[#This Row],[Discount %]]/100)</f>
        <v>84199.5</v>
      </c>
      <c r="X440">
        <f>Table1[[#This Row],[DeliveryDate]]-Table1[[#This Row],[OrderDate]]</f>
        <v>7</v>
      </c>
      <c r="Y440" t="str">
        <f>TEXT(Table1[[#This Row],[OrderDate]],"MMMM")</f>
        <v>June</v>
      </c>
      <c r="Z440" s="5">
        <f>YEAR(Table1[[#This Row],[OrderDate]])</f>
        <v>2023</v>
      </c>
    </row>
    <row r="441" spans="1:26" x14ac:dyDescent="0.3">
      <c r="A441" s="1" t="s">
        <v>1663</v>
      </c>
      <c r="B441" t="s">
        <v>424</v>
      </c>
      <c r="C441" s="3">
        <v>25</v>
      </c>
      <c r="D441" s="1" t="s">
        <v>51</v>
      </c>
      <c r="E441" s="1" t="s">
        <v>142</v>
      </c>
      <c r="F441" s="1" t="s">
        <v>91</v>
      </c>
      <c r="G441" s="4">
        <v>45482</v>
      </c>
      <c r="H441" s="4">
        <v>45483</v>
      </c>
      <c r="I441" s="1" t="s">
        <v>108</v>
      </c>
      <c r="J441" s="1" t="s">
        <v>30</v>
      </c>
      <c r="K441" s="3">
        <v>3</v>
      </c>
      <c r="L441" s="2">
        <v>9820</v>
      </c>
      <c r="M441" s="3">
        <v>0</v>
      </c>
      <c r="N441" s="1" t="s">
        <v>31</v>
      </c>
      <c r="O441" s="1" t="s">
        <v>46</v>
      </c>
      <c r="P441" s="1" t="s">
        <v>174</v>
      </c>
      <c r="Q441" s="1" t="s">
        <v>427</v>
      </c>
      <c r="R441" s="1" t="s">
        <v>1664</v>
      </c>
      <c r="S441" s="3">
        <v>2</v>
      </c>
      <c r="T441" s="1" t="s">
        <v>61</v>
      </c>
      <c r="U441" s="3">
        <v>215</v>
      </c>
      <c r="V441" s="1" t="s">
        <v>79</v>
      </c>
      <c r="W441" s="5">
        <f>Table1[[#This Row],[Quantity]]*Table1[[#This Row],[Price]]*(1-Table1[[#This Row],[Discount %]]/100)</f>
        <v>29460</v>
      </c>
      <c r="X441">
        <f>Table1[[#This Row],[DeliveryDate]]-Table1[[#This Row],[OrderDate]]</f>
        <v>1</v>
      </c>
      <c r="Y441" t="str">
        <f>TEXT(Table1[[#This Row],[OrderDate]],"MMMM")</f>
        <v>July</v>
      </c>
      <c r="Z441" s="5">
        <f>YEAR(Table1[[#This Row],[OrderDate]])</f>
        <v>2024</v>
      </c>
    </row>
    <row r="442" spans="1:26" x14ac:dyDescent="0.3">
      <c r="A442" s="1" t="s">
        <v>1665</v>
      </c>
      <c r="B442" t="s">
        <v>136</v>
      </c>
      <c r="C442" s="3">
        <v>57</v>
      </c>
      <c r="D442" s="1" t="s">
        <v>51</v>
      </c>
      <c r="E442" s="1" t="s">
        <v>40</v>
      </c>
      <c r="F442" s="1" t="s">
        <v>82</v>
      </c>
      <c r="G442" s="4">
        <v>45609</v>
      </c>
      <c r="H442" s="4">
        <v>45613</v>
      </c>
      <c r="I442" s="1" t="s">
        <v>108</v>
      </c>
      <c r="J442" s="1" t="s">
        <v>44</v>
      </c>
      <c r="K442" s="3">
        <v>2.9447852760736195</v>
      </c>
      <c r="L442" s="2">
        <v>64087</v>
      </c>
      <c r="M442" s="3">
        <v>0</v>
      </c>
      <c r="N442" s="1" t="s">
        <v>56</v>
      </c>
      <c r="O442" s="1" t="s">
        <v>57</v>
      </c>
      <c r="P442" s="1" t="s">
        <v>69</v>
      </c>
      <c r="Q442" s="1" t="s">
        <v>269</v>
      </c>
      <c r="R442" s="1" t="s">
        <v>1667</v>
      </c>
      <c r="S442" s="3">
        <v>4</v>
      </c>
      <c r="T442" s="1" t="s">
        <v>36</v>
      </c>
      <c r="U442" s="3">
        <v>356</v>
      </c>
      <c r="V442" s="1" t="s">
        <v>79</v>
      </c>
      <c r="W442" s="5">
        <f>Table1[[#This Row],[Quantity]]*Table1[[#This Row],[Price]]*(1-Table1[[#This Row],[Discount %]]/100)</f>
        <v>188722.45398773006</v>
      </c>
      <c r="X442">
        <f>Table1[[#This Row],[DeliveryDate]]-Table1[[#This Row],[OrderDate]]</f>
        <v>4</v>
      </c>
      <c r="Y442" t="str">
        <f>TEXT(Table1[[#This Row],[OrderDate]],"MMMM")</f>
        <v>November</v>
      </c>
      <c r="Z442" s="5">
        <f>YEAR(Table1[[#This Row],[OrderDate]])</f>
        <v>2024</v>
      </c>
    </row>
    <row r="443" spans="1:26" x14ac:dyDescent="0.3">
      <c r="A443" s="1" t="s">
        <v>1668</v>
      </c>
      <c r="B443" t="s">
        <v>645</v>
      </c>
      <c r="C443" s="3">
        <v>25</v>
      </c>
      <c r="D443" s="1" t="s">
        <v>24</v>
      </c>
      <c r="E443" s="1" t="s">
        <v>99</v>
      </c>
      <c r="F443" s="1" t="s">
        <v>91</v>
      </c>
      <c r="G443" s="4">
        <v>45006</v>
      </c>
      <c r="H443" s="4">
        <v>45008</v>
      </c>
      <c r="I443" s="1" t="s">
        <v>85</v>
      </c>
      <c r="J443" s="1" t="s">
        <v>44</v>
      </c>
      <c r="K443" s="3">
        <v>2.9447852760736195</v>
      </c>
      <c r="L443" s="2">
        <v>61744</v>
      </c>
      <c r="M443" s="3">
        <v>15</v>
      </c>
      <c r="N443" s="1" t="s">
        <v>166</v>
      </c>
      <c r="O443" s="1" t="s">
        <v>86</v>
      </c>
      <c r="P443" s="1" t="s">
        <v>174</v>
      </c>
      <c r="Q443" s="1" t="s">
        <v>647</v>
      </c>
      <c r="R443" s="1" t="s">
        <v>1669</v>
      </c>
      <c r="S443" s="3">
        <v>4</v>
      </c>
      <c r="T443" s="1" t="s">
        <v>96</v>
      </c>
      <c r="U443" s="3">
        <v>355</v>
      </c>
      <c r="V443" s="1" t="s">
        <v>37</v>
      </c>
      <c r="W443" s="5">
        <f>Table1[[#This Row],[Quantity]]*Table1[[#This Row],[Price]]*(1-Table1[[#This Row],[Discount %]]/100)</f>
        <v>154549.39877300611</v>
      </c>
      <c r="X443">
        <f>Table1[[#This Row],[DeliveryDate]]-Table1[[#This Row],[OrderDate]]</f>
        <v>2</v>
      </c>
      <c r="Y443" t="str">
        <f>TEXT(Table1[[#This Row],[OrderDate]],"MMMM")</f>
        <v>March</v>
      </c>
      <c r="Z443" s="5">
        <f>YEAR(Table1[[#This Row],[OrderDate]])</f>
        <v>2023</v>
      </c>
    </row>
    <row r="444" spans="1:26" x14ac:dyDescent="0.3">
      <c r="A444" s="1" t="s">
        <v>1670</v>
      </c>
      <c r="B444" t="s">
        <v>74</v>
      </c>
      <c r="C444" s="3">
        <v>57</v>
      </c>
      <c r="D444" s="1" t="s">
        <v>24</v>
      </c>
      <c r="E444" s="1" t="s">
        <v>25</v>
      </c>
      <c r="F444" s="1" t="s">
        <v>82</v>
      </c>
      <c r="G444" s="4">
        <v>45547</v>
      </c>
      <c r="H444" s="4">
        <v>45553</v>
      </c>
      <c r="I444" s="1" t="s">
        <v>77</v>
      </c>
      <c r="J444" s="1" t="s">
        <v>44</v>
      </c>
      <c r="K444" s="3">
        <v>2</v>
      </c>
      <c r="L444" s="2">
        <v>29169</v>
      </c>
      <c r="M444" s="3">
        <v>5</v>
      </c>
      <c r="N444" s="1" t="s">
        <v>166</v>
      </c>
      <c r="O444" s="1" t="s">
        <v>173</v>
      </c>
      <c r="P444" s="1" t="s">
        <v>69</v>
      </c>
      <c r="Q444" s="1" t="s">
        <v>78</v>
      </c>
      <c r="R444" s="1" t="s">
        <v>1672</v>
      </c>
      <c r="S444" s="3">
        <v>2</v>
      </c>
      <c r="T444" s="1" t="s">
        <v>61</v>
      </c>
      <c r="U444" s="3">
        <v>255</v>
      </c>
      <c r="V444" s="1" t="s">
        <v>62</v>
      </c>
      <c r="W444" s="5">
        <f>Table1[[#This Row],[Quantity]]*Table1[[#This Row],[Price]]*(1-Table1[[#This Row],[Discount %]]/100)</f>
        <v>55421.1</v>
      </c>
      <c r="X444">
        <f>Table1[[#This Row],[DeliveryDate]]-Table1[[#This Row],[OrderDate]]</f>
        <v>6</v>
      </c>
      <c r="Y444" t="str">
        <f>TEXT(Table1[[#This Row],[OrderDate]],"MMMM")</f>
        <v>September</v>
      </c>
      <c r="Z444" s="5">
        <f>YEAR(Table1[[#This Row],[OrderDate]])</f>
        <v>2024</v>
      </c>
    </row>
    <row r="445" spans="1:26" x14ac:dyDescent="0.3">
      <c r="A445" s="1" t="s">
        <v>1673</v>
      </c>
      <c r="B445" t="s">
        <v>382</v>
      </c>
      <c r="C445" s="3">
        <v>21</v>
      </c>
      <c r="D445" s="1" t="s">
        <v>51</v>
      </c>
      <c r="E445" s="1" t="s">
        <v>99</v>
      </c>
      <c r="F445" s="1" t="s">
        <v>53</v>
      </c>
      <c r="G445" s="4">
        <v>45259</v>
      </c>
      <c r="H445" s="4">
        <v>45266</v>
      </c>
      <c r="I445" s="1" t="s">
        <v>29</v>
      </c>
      <c r="J445" s="1" t="s">
        <v>30</v>
      </c>
      <c r="K445" s="3">
        <v>1</v>
      </c>
      <c r="L445" s="2">
        <v>26130</v>
      </c>
      <c r="M445" s="3">
        <v>15</v>
      </c>
      <c r="N445" s="1" t="s">
        <v>166</v>
      </c>
      <c r="O445" s="1" t="s">
        <v>173</v>
      </c>
      <c r="P445" s="1" t="s">
        <v>58</v>
      </c>
      <c r="Q445" s="1" t="s">
        <v>385</v>
      </c>
      <c r="R445" s="1" t="s">
        <v>1675</v>
      </c>
      <c r="S445" s="3">
        <v>3</v>
      </c>
      <c r="T445" s="1" t="s">
        <v>96</v>
      </c>
      <c r="U445" s="3">
        <v>162</v>
      </c>
      <c r="V445" s="1" t="s">
        <v>62</v>
      </c>
      <c r="W445" s="5">
        <f>Table1[[#This Row],[Quantity]]*Table1[[#This Row],[Price]]*(1-Table1[[#This Row],[Discount %]]/100)</f>
        <v>22210.5</v>
      </c>
      <c r="X445">
        <f>Table1[[#This Row],[DeliveryDate]]-Table1[[#This Row],[OrderDate]]</f>
        <v>7</v>
      </c>
      <c r="Y445" t="str">
        <f>TEXT(Table1[[#This Row],[OrderDate]],"MMMM")</f>
        <v>November</v>
      </c>
      <c r="Z445" s="5">
        <f>YEAR(Table1[[#This Row],[OrderDate]])</f>
        <v>2023</v>
      </c>
    </row>
    <row r="446" spans="1:26" x14ac:dyDescent="0.3">
      <c r="A446" s="1" t="s">
        <v>1676</v>
      </c>
      <c r="B446" t="s">
        <v>315</v>
      </c>
      <c r="C446" s="3">
        <v>55</v>
      </c>
      <c r="D446" s="1" t="s">
        <v>51</v>
      </c>
      <c r="E446" s="1" t="s">
        <v>131</v>
      </c>
      <c r="F446" s="1" t="s">
        <v>53</v>
      </c>
      <c r="G446" s="4">
        <v>45170</v>
      </c>
      <c r="H446" s="4">
        <v>45173</v>
      </c>
      <c r="I446" s="1" t="s">
        <v>93</v>
      </c>
      <c r="J446" s="1" t="s">
        <v>30</v>
      </c>
      <c r="K446" s="3">
        <v>3</v>
      </c>
      <c r="L446" s="2">
        <v>8712</v>
      </c>
      <c r="M446" s="3">
        <v>0</v>
      </c>
      <c r="N446" s="1" t="s">
        <v>56</v>
      </c>
      <c r="O446" s="1" t="s">
        <v>173</v>
      </c>
      <c r="P446" s="1" t="s">
        <v>33</v>
      </c>
      <c r="Q446" s="1" t="s">
        <v>318</v>
      </c>
      <c r="R446" s="1" t="s">
        <v>1677</v>
      </c>
      <c r="S446" s="3">
        <v>1</v>
      </c>
      <c r="T446" s="1" t="s">
        <v>96</v>
      </c>
      <c r="U446" s="3">
        <v>186</v>
      </c>
      <c r="V446" s="1" t="s">
        <v>79</v>
      </c>
      <c r="W446" s="5">
        <f>Table1[[#This Row],[Quantity]]*Table1[[#This Row],[Price]]*(1-Table1[[#This Row],[Discount %]]/100)</f>
        <v>26136</v>
      </c>
      <c r="X446">
        <f>Table1[[#This Row],[DeliveryDate]]-Table1[[#This Row],[OrderDate]]</f>
        <v>3</v>
      </c>
      <c r="Y446" t="str">
        <f>TEXT(Table1[[#This Row],[OrderDate]],"MMMM")</f>
        <v>September</v>
      </c>
      <c r="Z446" s="5">
        <f>YEAR(Table1[[#This Row],[OrderDate]])</f>
        <v>2023</v>
      </c>
    </row>
    <row r="447" spans="1:26" x14ac:dyDescent="0.3">
      <c r="A447" s="1" t="s">
        <v>1678</v>
      </c>
      <c r="B447" t="s">
        <v>547</v>
      </c>
      <c r="C447" s="3">
        <v>26</v>
      </c>
      <c r="D447" s="1" t="s">
        <v>24</v>
      </c>
      <c r="E447" s="1" t="s">
        <v>131</v>
      </c>
      <c r="F447" s="1" t="s">
        <v>65</v>
      </c>
      <c r="G447" s="4">
        <v>45197</v>
      </c>
      <c r="H447" s="4">
        <v>45199</v>
      </c>
      <c r="I447" s="1" t="s">
        <v>77</v>
      </c>
      <c r="J447" s="1" t="s">
        <v>44</v>
      </c>
      <c r="K447" s="3">
        <v>4</v>
      </c>
      <c r="L447" s="2">
        <v>75718</v>
      </c>
      <c r="M447" s="3">
        <v>5</v>
      </c>
      <c r="N447" s="1" t="s">
        <v>56</v>
      </c>
      <c r="O447" s="1" t="s">
        <v>46</v>
      </c>
      <c r="P447" s="1" t="s">
        <v>174</v>
      </c>
      <c r="Q447" s="1" t="s">
        <v>3415</v>
      </c>
      <c r="R447" s="1" t="s">
        <v>1679</v>
      </c>
      <c r="S447" s="3">
        <v>3</v>
      </c>
      <c r="T447" s="1" t="s">
        <v>36</v>
      </c>
      <c r="U447" s="3">
        <v>55</v>
      </c>
      <c r="V447" s="1" t="s">
        <v>62</v>
      </c>
      <c r="W447" s="5">
        <f>Table1[[#This Row],[Quantity]]*Table1[[#This Row],[Price]]*(1-Table1[[#This Row],[Discount %]]/100)</f>
        <v>287728.39999999997</v>
      </c>
      <c r="X447">
        <f>Table1[[#This Row],[DeliveryDate]]-Table1[[#This Row],[OrderDate]]</f>
        <v>2</v>
      </c>
      <c r="Y447" t="str">
        <f>TEXT(Table1[[#This Row],[OrderDate]],"MMMM")</f>
        <v>September</v>
      </c>
      <c r="Z447" s="5">
        <f>YEAR(Table1[[#This Row],[OrderDate]])</f>
        <v>2023</v>
      </c>
    </row>
    <row r="448" spans="1:26" x14ac:dyDescent="0.3">
      <c r="A448" s="1" t="s">
        <v>1680</v>
      </c>
      <c r="B448" t="s">
        <v>946</v>
      </c>
      <c r="C448" s="3">
        <v>52</v>
      </c>
      <c r="D448" s="1" t="s">
        <v>51</v>
      </c>
      <c r="E448" s="1" t="s">
        <v>52</v>
      </c>
      <c r="F448" s="1" t="s">
        <v>53</v>
      </c>
      <c r="G448" s="4">
        <v>45412</v>
      </c>
      <c r="H448" s="4">
        <v>45422</v>
      </c>
      <c r="I448" s="1" t="s">
        <v>29</v>
      </c>
      <c r="J448" s="1" t="s">
        <v>30</v>
      </c>
      <c r="K448" s="3">
        <v>3</v>
      </c>
      <c r="L448" s="2">
        <v>6673</v>
      </c>
      <c r="M448" s="3">
        <v>5</v>
      </c>
      <c r="N448" s="1" t="s">
        <v>45</v>
      </c>
      <c r="O448" s="1" t="s">
        <v>86</v>
      </c>
      <c r="P448" s="1" t="s">
        <v>58</v>
      </c>
      <c r="Q448" s="1" t="s">
        <v>3415</v>
      </c>
      <c r="R448" s="1" t="s">
        <v>1682</v>
      </c>
      <c r="S448" s="3">
        <v>1</v>
      </c>
      <c r="T448" s="1" t="s">
        <v>96</v>
      </c>
      <c r="U448" s="3">
        <v>97</v>
      </c>
      <c r="V448" s="1" t="s">
        <v>37</v>
      </c>
      <c r="W448" s="5">
        <f>Table1[[#This Row],[Quantity]]*Table1[[#This Row],[Price]]*(1-Table1[[#This Row],[Discount %]]/100)</f>
        <v>19018.05</v>
      </c>
      <c r="X448">
        <f>Table1[[#This Row],[DeliveryDate]]-Table1[[#This Row],[OrderDate]]</f>
        <v>10</v>
      </c>
      <c r="Y448" t="str">
        <f>TEXT(Table1[[#This Row],[OrderDate]],"MMMM")</f>
        <v>April</v>
      </c>
      <c r="Z448" s="5">
        <f>YEAR(Table1[[#This Row],[OrderDate]])</f>
        <v>2024</v>
      </c>
    </row>
    <row r="449" spans="1:26" x14ac:dyDescent="0.3">
      <c r="A449" s="1" t="s">
        <v>1683</v>
      </c>
      <c r="B449" t="s">
        <v>285</v>
      </c>
      <c r="C449" s="3">
        <v>33</v>
      </c>
      <c r="D449" s="1" t="s">
        <v>51</v>
      </c>
      <c r="E449" s="1" t="s">
        <v>40</v>
      </c>
      <c r="F449" s="1" t="s">
        <v>82</v>
      </c>
      <c r="G449" s="4">
        <v>45167</v>
      </c>
      <c r="H449" s="4">
        <v>45174</v>
      </c>
      <c r="I449" s="1" t="s">
        <v>77</v>
      </c>
      <c r="J449" s="1" t="s">
        <v>30</v>
      </c>
      <c r="K449" s="3">
        <v>1</v>
      </c>
      <c r="L449" s="2">
        <v>46163</v>
      </c>
      <c r="M449" s="3">
        <v>5</v>
      </c>
      <c r="N449" s="1" t="s">
        <v>45</v>
      </c>
      <c r="O449" s="1" t="s">
        <v>68</v>
      </c>
      <c r="P449" s="1" t="s">
        <v>174</v>
      </c>
      <c r="Q449" s="1" t="s">
        <v>3415</v>
      </c>
      <c r="R449" s="1" t="s">
        <v>1684</v>
      </c>
      <c r="S449" s="3">
        <v>2</v>
      </c>
      <c r="T449" s="1" t="s">
        <v>36</v>
      </c>
      <c r="U449" s="3">
        <v>451</v>
      </c>
      <c r="V449" s="1" t="s">
        <v>37</v>
      </c>
      <c r="W449" s="5">
        <f>Table1[[#This Row],[Quantity]]*Table1[[#This Row],[Price]]*(1-Table1[[#This Row],[Discount %]]/100)</f>
        <v>43854.85</v>
      </c>
      <c r="X449">
        <f>Table1[[#This Row],[DeliveryDate]]-Table1[[#This Row],[OrderDate]]</f>
        <v>7</v>
      </c>
      <c r="Y449" t="str">
        <f>TEXT(Table1[[#This Row],[OrderDate]],"MMMM")</f>
        <v>August</v>
      </c>
      <c r="Z449" s="5">
        <f>YEAR(Table1[[#This Row],[OrderDate]])</f>
        <v>2023</v>
      </c>
    </row>
    <row r="450" spans="1:26" x14ac:dyDescent="0.3">
      <c r="A450" s="1" t="s">
        <v>1685</v>
      </c>
      <c r="B450" t="s">
        <v>1686</v>
      </c>
      <c r="C450" s="3">
        <v>52</v>
      </c>
      <c r="D450" s="1" t="s">
        <v>24</v>
      </c>
      <c r="E450" s="1" t="s">
        <v>131</v>
      </c>
      <c r="F450" s="1" t="s">
        <v>91</v>
      </c>
      <c r="G450" s="4">
        <v>45385</v>
      </c>
      <c r="H450" s="4">
        <v>45390</v>
      </c>
      <c r="I450" s="1" t="s">
        <v>29</v>
      </c>
      <c r="J450" s="1" t="s">
        <v>30</v>
      </c>
      <c r="K450" s="3">
        <v>1</v>
      </c>
      <c r="L450" s="2">
        <v>42371</v>
      </c>
      <c r="M450" s="3">
        <v>0</v>
      </c>
      <c r="N450" s="1" t="s">
        <v>56</v>
      </c>
      <c r="O450" s="1" t="s">
        <v>46</v>
      </c>
      <c r="P450" s="1" t="s">
        <v>33</v>
      </c>
      <c r="Q450" s="1" t="s">
        <v>1687</v>
      </c>
      <c r="R450" s="1" t="s">
        <v>1688</v>
      </c>
      <c r="S450" s="3">
        <v>4</v>
      </c>
      <c r="T450" s="1" t="s">
        <v>96</v>
      </c>
      <c r="U450" s="3">
        <v>164</v>
      </c>
      <c r="V450" s="1" t="s">
        <v>37</v>
      </c>
      <c r="W450" s="5">
        <f>Table1[[#This Row],[Quantity]]*Table1[[#This Row],[Price]]*(1-Table1[[#This Row],[Discount %]]/100)</f>
        <v>42371</v>
      </c>
      <c r="X450">
        <f>Table1[[#This Row],[DeliveryDate]]-Table1[[#This Row],[OrderDate]]</f>
        <v>5</v>
      </c>
      <c r="Y450" t="str">
        <f>TEXT(Table1[[#This Row],[OrderDate]],"MMMM")</f>
        <v>April</v>
      </c>
      <c r="Z450" s="5">
        <f>YEAR(Table1[[#This Row],[OrderDate]])</f>
        <v>2024</v>
      </c>
    </row>
    <row r="451" spans="1:26" x14ac:dyDescent="0.3">
      <c r="A451" s="1" t="s">
        <v>1689</v>
      </c>
      <c r="B451" t="s">
        <v>1690</v>
      </c>
      <c r="C451" s="3">
        <v>41</v>
      </c>
      <c r="D451" s="1" t="s">
        <v>24</v>
      </c>
      <c r="E451" s="1" t="s">
        <v>131</v>
      </c>
      <c r="F451" s="1" t="s">
        <v>53</v>
      </c>
      <c r="G451" s="4">
        <v>45618</v>
      </c>
      <c r="H451" s="4">
        <v>45627</v>
      </c>
      <c r="I451" s="1" t="s">
        <v>29</v>
      </c>
      <c r="J451" s="1" t="s">
        <v>30</v>
      </c>
      <c r="K451" s="3">
        <v>4</v>
      </c>
      <c r="L451" s="2">
        <v>50804</v>
      </c>
      <c r="M451" s="3">
        <v>5</v>
      </c>
      <c r="N451" s="1" t="s">
        <v>45</v>
      </c>
      <c r="O451" s="1" t="s">
        <v>173</v>
      </c>
      <c r="P451" s="1" t="s">
        <v>33</v>
      </c>
      <c r="Q451" s="1" t="s">
        <v>87</v>
      </c>
      <c r="R451" s="1" t="s">
        <v>1692</v>
      </c>
      <c r="S451" s="3">
        <v>4</v>
      </c>
      <c r="T451" s="1" t="s">
        <v>36</v>
      </c>
      <c r="U451" s="3">
        <v>323</v>
      </c>
      <c r="V451" s="1" t="s">
        <v>79</v>
      </c>
      <c r="W451" s="5">
        <f>Table1[[#This Row],[Quantity]]*Table1[[#This Row],[Price]]*(1-Table1[[#This Row],[Discount %]]/100)</f>
        <v>193055.19999999998</v>
      </c>
      <c r="X451">
        <f>Table1[[#This Row],[DeliveryDate]]-Table1[[#This Row],[OrderDate]]</f>
        <v>9</v>
      </c>
      <c r="Y451" t="str">
        <f>TEXT(Table1[[#This Row],[OrderDate]],"MMMM")</f>
        <v>November</v>
      </c>
      <c r="Z451" s="5">
        <f>YEAR(Table1[[#This Row],[OrderDate]])</f>
        <v>2024</v>
      </c>
    </row>
    <row r="452" spans="1:26" x14ac:dyDescent="0.3">
      <c r="A452" s="1" t="s">
        <v>1693</v>
      </c>
      <c r="B452" t="s">
        <v>261</v>
      </c>
      <c r="C452" s="3">
        <v>27</v>
      </c>
      <c r="D452" s="1" t="s">
        <v>24</v>
      </c>
      <c r="E452" s="1" t="s">
        <v>142</v>
      </c>
      <c r="F452" s="1" t="s">
        <v>53</v>
      </c>
      <c r="G452" s="4">
        <v>45127</v>
      </c>
      <c r="H452" s="4">
        <v>45131</v>
      </c>
      <c r="I452" s="1" t="s">
        <v>93</v>
      </c>
      <c r="J452" s="1" t="s">
        <v>44</v>
      </c>
      <c r="K452" s="3">
        <v>2.9447852760736195</v>
      </c>
      <c r="L452" s="2">
        <v>21829</v>
      </c>
      <c r="M452" s="3">
        <v>10</v>
      </c>
      <c r="N452" s="1" t="s">
        <v>56</v>
      </c>
      <c r="O452" s="1" t="s">
        <v>32</v>
      </c>
      <c r="P452" s="1" t="s">
        <v>33</v>
      </c>
      <c r="Q452" s="1" t="s">
        <v>264</v>
      </c>
      <c r="R452" s="1" t="s">
        <v>1696</v>
      </c>
      <c r="S452" s="3">
        <v>3</v>
      </c>
      <c r="T452" s="1" t="s">
        <v>72</v>
      </c>
      <c r="U452" s="3">
        <v>248</v>
      </c>
      <c r="V452" s="1" t="s">
        <v>62</v>
      </c>
      <c r="W452" s="5">
        <f>Table1[[#This Row],[Quantity]]*Table1[[#This Row],[Price]]*(1-Table1[[#This Row],[Discount %]]/100)</f>
        <v>57853.546012269937</v>
      </c>
      <c r="X452">
        <f>Table1[[#This Row],[DeliveryDate]]-Table1[[#This Row],[OrderDate]]</f>
        <v>4</v>
      </c>
      <c r="Y452" t="str">
        <f>TEXT(Table1[[#This Row],[OrderDate]],"MMMM")</f>
        <v>July</v>
      </c>
      <c r="Z452" s="5">
        <f>YEAR(Table1[[#This Row],[OrderDate]])</f>
        <v>2023</v>
      </c>
    </row>
    <row r="453" spans="1:26" x14ac:dyDescent="0.3">
      <c r="A453" s="1" t="s">
        <v>1697</v>
      </c>
      <c r="B453" t="s">
        <v>344</v>
      </c>
      <c r="C453" s="3">
        <v>48</v>
      </c>
      <c r="D453" s="1" t="s">
        <v>24</v>
      </c>
      <c r="E453" s="1" t="s">
        <v>26</v>
      </c>
      <c r="F453" s="1" t="s">
        <v>53</v>
      </c>
      <c r="G453" s="4">
        <v>45437</v>
      </c>
      <c r="H453" s="4">
        <v>45440</v>
      </c>
      <c r="I453" s="1" t="s">
        <v>85</v>
      </c>
      <c r="J453" s="1" t="s">
        <v>44</v>
      </c>
      <c r="K453" s="3">
        <v>4</v>
      </c>
      <c r="L453" s="2">
        <v>20425</v>
      </c>
      <c r="M453" s="3">
        <v>10</v>
      </c>
      <c r="N453" s="1" t="s">
        <v>45</v>
      </c>
      <c r="O453" s="1" t="s">
        <v>173</v>
      </c>
      <c r="P453" s="1" t="s">
        <v>33</v>
      </c>
      <c r="Q453" s="1" t="s">
        <v>347</v>
      </c>
      <c r="R453" s="1" t="s">
        <v>1698</v>
      </c>
      <c r="S453" s="3">
        <v>1</v>
      </c>
      <c r="T453" s="1" t="s">
        <v>72</v>
      </c>
      <c r="U453" s="3">
        <v>160</v>
      </c>
      <c r="V453" s="1" t="s">
        <v>37</v>
      </c>
      <c r="W453" s="5">
        <f>Table1[[#This Row],[Quantity]]*Table1[[#This Row],[Price]]*(1-Table1[[#This Row],[Discount %]]/100)</f>
        <v>73530</v>
      </c>
      <c r="X453">
        <f>Table1[[#This Row],[DeliveryDate]]-Table1[[#This Row],[OrderDate]]</f>
        <v>3</v>
      </c>
      <c r="Y453" t="str">
        <f>TEXT(Table1[[#This Row],[OrderDate]],"MMMM")</f>
        <v>May</v>
      </c>
      <c r="Z453" s="5">
        <f>YEAR(Table1[[#This Row],[OrderDate]])</f>
        <v>2024</v>
      </c>
    </row>
    <row r="454" spans="1:26" x14ac:dyDescent="0.3">
      <c r="A454" s="1" t="s">
        <v>1699</v>
      </c>
      <c r="B454" t="s">
        <v>321</v>
      </c>
      <c r="C454" s="3">
        <v>47</v>
      </c>
      <c r="D454" s="1" t="s">
        <v>24</v>
      </c>
      <c r="E454" s="1" t="s">
        <v>52</v>
      </c>
      <c r="F454" s="1" t="s">
        <v>91</v>
      </c>
      <c r="G454" s="4">
        <v>45427</v>
      </c>
      <c r="H454" s="4">
        <v>45431</v>
      </c>
      <c r="I454" s="1" t="s">
        <v>108</v>
      </c>
      <c r="J454" s="1" t="s">
        <v>44</v>
      </c>
      <c r="K454" s="3">
        <v>2</v>
      </c>
      <c r="L454" s="2">
        <v>14817</v>
      </c>
      <c r="M454" s="3">
        <v>5</v>
      </c>
      <c r="N454" s="1" t="s">
        <v>166</v>
      </c>
      <c r="O454" s="1" t="s">
        <v>32</v>
      </c>
      <c r="P454" s="1" t="s">
        <v>69</v>
      </c>
      <c r="Q454" s="1" t="s">
        <v>324</v>
      </c>
      <c r="R454" s="1" t="s">
        <v>1700</v>
      </c>
      <c r="S454" s="3">
        <v>5</v>
      </c>
      <c r="T454" s="1" t="s">
        <v>61</v>
      </c>
      <c r="U454" s="3">
        <v>255</v>
      </c>
      <c r="V454" s="1" t="s">
        <v>62</v>
      </c>
      <c r="W454" s="5">
        <f>Table1[[#This Row],[Quantity]]*Table1[[#This Row],[Price]]*(1-Table1[[#This Row],[Discount %]]/100)</f>
        <v>28152.3</v>
      </c>
      <c r="X454">
        <f>Table1[[#This Row],[DeliveryDate]]-Table1[[#This Row],[OrderDate]]</f>
        <v>4</v>
      </c>
      <c r="Y454" t="str">
        <f>TEXT(Table1[[#This Row],[OrderDate]],"MMMM")</f>
        <v>May</v>
      </c>
      <c r="Z454" s="5">
        <f>YEAR(Table1[[#This Row],[OrderDate]])</f>
        <v>2024</v>
      </c>
    </row>
    <row r="455" spans="1:26" x14ac:dyDescent="0.3">
      <c r="A455" s="1" t="s">
        <v>1701</v>
      </c>
      <c r="B455" t="s">
        <v>170</v>
      </c>
      <c r="C455" s="3">
        <v>37</v>
      </c>
      <c r="D455" s="1" t="s">
        <v>51</v>
      </c>
      <c r="E455" s="1" t="s">
        <v>142</v>
      </c>
      <c r="F455" s="1" t="s">
        <v>26</v>
      </c>
      <c r="G455" s="4">
        <v>45194</v>
      </c>
      <c r="H455" s="4">
        <v>45203</v>
      </c>
      <c r="I455" s="1" t="s">
        <v>85</v>
      </c>
      <c r="J455" s="1" t="s">
        <v>30</v>
      </c>
      <c r="K455" s="3">
        <v>5</v>
      </c>
      <c r="L455" s="2">
        <v>65200</v>
      </c>
      <c r="M455" s="3">
        <v>5</v>
      </c>
      <c r="N455" s="1" t="s">
        <v>31</v>
      </c>
      <c r="O455" s="1" t="s">
        <v>173</v>
      </c>
      <c r="P455" s="1" t="s">
        <v>174</v>
      </c>
      <c r="Q455" s="1" t="s">
        <v>175</v>
      </c>
      <c r="R455" s="1" t="s">
        <v>1702</v>
      </c>
      <c r="S455" s="3">
        <v>3</v>
      </c>
      <c r="T455" s="1" t="s">
        <v>96</v>
      </c>
      <c r="U455" s="3">
        <v>54</v>
      </c>
      <c r="V455" s="1" t="s">
        <v>79</v>
      </c>
      <c r="W455" s="5">
        <f>Table1[[#This Row],[Quantity]]*Table1[[#This Row],[Price]]*(1-Table1[[#This Row],[Discount %]]/100)</f>
        <v>309700</v>
      </c>
      <c r="X455">
        <f>Table1[[#This Row],[DeliveryDate]]-Table1[[#This Row],[OrderDate]]</f>
        <v>9</v>
      </c>
      <c r="Y455" t="str">
        <f>TEXT(Table1[[#This Row],[OrderDate]],"MMMM")</f>
        <v>September</v>
      </c>
      <c r="Z455" s="5">
        <f>YEAR(Table1[[#This Row],[OrderDate]])</f>
        <v>2023</v>
      </c>
    </row>
    <row r="456" spans="1:26" x14ac:dyDescent="0.3">
      <c r="A456" s="1" t="s">
        <v>1703</v>
      </c>
      <c r="B456" t="s">
        <v>650</v>
      </c>
      <c r="C456" s="3">
        <v>43</v>
      </c>
      <c r="D456" s="1" t="s">
        <v>51</v>
      </c>
      <c r="E456" s="1" t="s">
        <v>229</v>
      </c>
      <c r="F456" s="1" t="s">
        <v>82</v>
      </c>
      <c r="G456" s="4">
        <v>45508</v>
      </c>
      <c r="H456" s="4">
        <v>45510</v>
      </c>
      <c r="I456" s="1" t="s">
        <v>93</v>
      </c>
      <c r="J456" s="1" t="s">
        <v>30</v>
      </c>
      <c r="K456" s="3">
        <v>2</v>
      </c>
      <c r="L456" s="2">
        <v>54481</v>
      </c>
      <c r="M456" s="3">
        <v>15</v>
      </c>
      <c r="N456" s="1" t="s">
        <v>166</v>
      </c>
      <c r="O456" s="1" t="s">
        <v>173</v>
      </c>
      <c r="P456" s="1" t="s">
        <v>58</v>
      </c>
      <c r="Q456" s="1" t="s">
        <v>653</v>
      </c>
      <c r="R456" s="1" t="s">
        <v>1704</v>
      </c>
      <c r="S456" s="3">
        <v>4</v>
      </c>
      <c r="T456" s="1" t="s">
        <v>72</v>
      </c>
      <c r="U456" s="3">
        <v>206</v>
      </c>
      <c r="V456" s="1" t="s">
        <v>37</v>
      </c>
      <c r="W456" s="5">
        <f>Table1[[#This Row],[Quantity]]*Table1[[#This Row],[Price]]*(1-Table1[[#This Row],[Discount %]]/100)</f>
        <v>92617.7</v>
      </c>
      <c r="X456">
        <f>Table1[[#This Row],[DeliveryDate]]-Table1[[#This Row],[OrderDate]]</f>
        <v>2</v>
      </c>
      <c r="Y456" t="str">
        <f>TEXT(Table1[[#This Row],[OrderDate]],"MMMM")</f>
        <v>August</v>
      </c>
      <c r="Z456" s="5">
        <f>YEAR(Table1[[#This Row],[OrderDate]])</f>
        <v>2024</v>
      </c>
    </row>
    <row r="457" spans="1:26" x14ac:dyDescent="0.3">
      <c r="A457" s="1" t="s">
        <v>1705</v>
      </c>
      <c r="B457" t="s">
        <v>64</v>
      </c>
      <c r="C457" s="3">
        <v>34</v>
      </c>
      <c r="D457" s="1" t="s">
        <v>51</v>
      </c>
      <c r="E457" s="1" t="s">
        <v>40</v>
      </c>
      <c r="F457" s="1" t="s">
        <v>65</v>
      </c>
      <c r="G457" s="4">
        <v>45294</v>
      </c>
      <c r="H457" s="4">
        <v>45301</v>
      </c>
      <c r="I457" s="1" t="s">
        <v>29</v>
      </c>
      <c r="J457" s="1" t="s">
        <v>44</v>
      </c>
      <c r="K457" s="3">
        <v>2</v>
      </c>
      <c r="L457" s="2">
        <v>33826</v>
      </c>
      <c r="M457" s="3">
        <v>5</v>
      </c>
      <c r="N457" s="1" t="s">
        <v>45</v>
      </c>
      <c r="O457" s="1" t="s">
        <v>68</v>
      </c>
      <c r="P457" s="1" t="s">
        <v>69</v>
      </c>
      <c r="Q457" s="1" t="s">
        <v>70</v>
      </c>
      <c r="R457" s="1" t="s">
        <v>1707</v>
      </c>
      <c r="S457" s="3">
        <v>5</v>
      </c>
      <c r="T457" s="1" t="s">
        <v>72</v>
      </c>
      <c r="U457" s="3">
        <v>344</v>
      </c>
      <c r="V457" s="1" t="s">
        <v>79</v>
      </c>
      <c r="W457" s="5">
        <f>Table1[[#This Row],[Quantity]]*Table1[[#This Row],[Price]]*(1-Table1[[#This Row],[Discount %]]/100)</f>
        <v>64269.399999999994</v>
      </c>
      <c r="X457">
        <f>Table1[[#This Row],[DeliveryDate]]-Table1[[#This Row],[OrderDate]]</f>
        <v>7</v>
      </c>
      <c r="Y457" t="str">
        <f>TEXT(Table1[[#This Row],[OrderDate]],"MMMM")</f>
        <v>January</v>
      </c>
      <c r="Z457" s="5">
        <f>YEAR(Table1[[#This Row],[OrderDate]])</f>
        <v>2024</v>
      </c>
    </row>
    <row r="458" spans="1:26" x14ac:dyDescent="0.3">
      <c r="A458" s="1" t="s">
        <v>1708</v>
      </c>
      <c r="B458" t="s">
        <v>113</v>
      </c>
      <c r="C458" s="3">
        <v>22</v>
      </c>
      <c r="D458" s="1" t="s">
        <v>24</v>
      </c>
      <c r="E458" s="1" t="s">
        <v>40</v>
      </c>
      <c r="F458" s="1" t="s">
        <v>53</v>
      </c>
      <c r="G458" s="4">
        <v>45517</v>
      </c>
      <c r="H458" s="4">
        <v>45524</v>
      </c>
      <c r="I458" s="1" t="s">
        <v>29</v>
      </c>
      <c r="J458" s="1" t="s">
        <v>44</v>
      </c>
      <c r="K458" s="3">
        <v>3</v>
      </c>
      <c r="L458" s="2">
        <v>57854</v>
      </c>
      <c r="M458" s="3">
        <v>10</v>
      </c>
      <c r="N458" s="1" t="s">
        <v>45</v>
      </c>
      <c r="O458" s="1" t="s">
        <v>133</v>
      </c>
      <c r="P458" s="1" t="s">
        <v>174</v>
      </c>
      <c r="Q458" s="1" t="s">
        <v>116</v>
      </c>
      <c r="R458" s="1" t="s">
        <v>1709</v>
      </c>
      <c r="S458" s="3">
        <v>2</v>
      </c>
      <c r="T458" s="1" t="s">
        <v>36</v>
      </c>
      <c r="U458" s="3">
        <v>399</v>
      </c>
      <c r="V458" s="1" t="s">
        <v>79</v>
      </c>
      <c r="W458" s="5">
        <f>Table1[[#This Row],[Quantity]]*Table1[[#This Row],[Price]]*(1-Table1[[#This Row],[Discount %]]/100)</f>
        <v>156205.80000000002</v>
      </c>
      <c r="X458">
        <f>Table1[[#This Row],[DeliveryDate]]-Table1[[#This Row],[OrderDate]]</f>
        <v>7</v>
      </c>
      <c r="Y458" t="str">
        <f>TEXT(Table1[[#This Row],[OrderDate]],"MMMM")</f>
        <v>August</v>
      </c>
      <c r="Z458" s="5">
        <f>YEAR(Table1[[#This Row],[OrderDate]])</f>
        <v>2024</v>
      </c>
    </row>
    <row r="459" spans="1:26" x14ac:dyDescent="0.3">
      <c r="A459" s="1" t="s">
        <v>1710</v>
      </c>
      <c r="B459" t="s">
        <v>361</v>
      </c>
      <c r="C459" s="3">
        <v>31</v>
      </c>
      <c r="D459" s="1" t="s">
        <v>24</v>
      </c>
      <c r="E459" s="1" t="s">
        <v>25</v>
      </c>
      <c r="F459" s="1" t="s">
        <v>53</v>
      </c>
      <c r="G459" s="4">
        <v>45095</v>
      </c>
      <c r="H459" s="4">
        <v>45096</v>
      </c>
      <c r="I459" s="1" t="s">
        <v>43</v>
      </c>
      <c r="J459" s="1" t="s">
        <v>44</v>
      </c>
      <c r="K459" s="3">
        <v>1</v>
      </c>
      <c r="L459" s="2">
        <v>42109.716287215415</v>
      </c>
      <c r="M459" s="3">
        <v>10</v>
      </c>
      <c r="N459" s="1" t="s">
        <v>166</v>
      </c>
      <c r="O459" s="1" t="s">
        <v>133</v>
      </c>
      <c r="P459" s="1" t="s">
        <v>174</v>
      </c>
      <c r="Q459" s="1" t="s">
        <v>3415</v>
      </c>
      <c r="R459" s="1" t="s">
        <v>1712</v>
      </c>
      <c r="S459" s="3">
        <v>2</v>
      </c>
      <c r="T459" s="1" t="s">
        <v>96</v>
      </c>
      <c r="U459" s="3">
        <v>458</v>
      </c>
      <c r="V459" s="1" t="s">
        <v>37</v>
      </c>
      <c r="W459" s="5">
        <f>Table1[[#This Row],[Quantity]]*Table1[[#This Row],[Price]]*(1-Table1[[#This Row],[Discount %]]/100)</f>
        <v>37898.744658493873</v>
      </c>
      <c r="X459">
        <f>Table1[[#This Row],[DeliveryDate]]-Table1[[#This Row],[OrderDate]]</f>
        <v>1</v>
      </c>
      <c r="Y459" t="str">
        <f>TEXT(Table1[[#This Row],[OrderDate]],"MMMM")</f>
        <v>June</v>
      </c>
      <c r="Z459" s="5">
        <f>YEAR(Table1[[#This Row],[OrderDate]])</f>
        <v>2023</v>
      </c>
    </row>
    <row r="460" spans="1:26" x14ac:dyDescent="0.3">
      <c r="A460" s="1" t="s">
        <v>1713</v>
      </c>
      <c r="B460" t="s">
        <v>946</v>
      </c>
      <c r="C460" s="3">
        <v>54</v>
      </c>
      <c r="D460" s="1" t="s">
        <v>24</v>
      </c>
      <c r="E460" s="1" t="s">
        <v>52</v>
      </c>
      <c r="F460" s="1" t="s">
        <v>65</v>
      </c>
      <c r="G460" s="4">
        <v>45597</v>
      </c>
      <c r="H460" s="4">
        <v>45598</v>
      </c>
      <c r="I460" s="1" t="s">
        <v>93</v>
      </c>
      <c r="J460" s="1" t="s">
        <v>30</v>
      </c>
      <c r="K460" s="3">
        <v>2.9447852760736195</v>
      </c>
      <c r="L460" s="2">
        <v>42063</v>
      </c>
      <c r="M460" s="3">
        <v>15</v>
      </c>
      <c r="N460" s="1" t="s">
        <v>31</v>
      </c>
      <c r="O460" s="1" t="s">
        <v>281</v>
      </c>
      <c r="P460" s="1" t="s">
        <v>174</v>
      </c>
      <c r="Q460" s="1" t="s">
        <v>983</v>
      </c>
      <c r="R460" s="1" t="s">
        <v>1715</v>
      </c>
      <c r="S460" s="3">
        <v>2</v>
      </c>
      <c r="T460" s="1" t="s">
        <v>96</v>
      </c>
      <c r="U460" s="3">
        <v>129</v>
      </c>
      <c r="V460" s="1" t="s">
        <v>37</v>
      </c>
      <c r="W460" s="5">
        <f>Table1[[#This Row],[Quantity]]*Table1[[#This Row],[Price]]*(1-Table1[[#This Row],[Discount %]]/100)</f>
        <v>105286.52760736196</v>
      </c>
      <c r="X460">
        <f>Table1[[#This Row],[DeliveryDate]]-Table1[[#This Row],[OrderDate]]</f>
        <v>1</v>
      </c>
      <c r="Y460" t="str">
        <f>TEXT(Table1[[#This Row],[OrderDate]],"MMMM")</f>
        <v>November</v>
      </c>
      <c r="Z460" s="5">
        <f>YEAR(Table1[[#This Row],[OrderDate]])</f>
        <v>2024</v>
      </c>
    </row>
    <row r="461" spans="1:26" x14ac:dyDescent="0.3">
      <c r="A461" s="1" t="s">
        <v>1716</v>
      </c>
      <c r="B461" t="s">
        <v>840</v>
      </c>
      <c r="C461" s="3">
        <v>18</v>
      </c>
      <c r="D461" s="1" t="s">
        <v>24</v>
      </c>
      <c r="E461" s="1" t="s">
        <v>25</v>
      </c>
      <c r="F461" s="1" t="s">
        <v>65</v>
      </c>
      <c r="G461" s="4">
        <v>44942</v>
      </c>
      <c r="H461" s="4">
        <v>44943</v>
      </c>
      <c r="I461" s="1" t="s">
        <v>77</v>
      </c>
      <c r="J461" s="1" t="s">
        <v>44</v>
      </c>
      <c r="K461" s="3">
        <v>4</v>
      </c>
      <c r="L461" s="2">
        <v>13379</v>
      </c>
      <c r="M461" s="3">
        <v>0</v>
      </c>
      <c r="N461" s="1" t="s">
        <v>45</v>
      </c>
      <c r="O461" s="1" t="s">
        <v>32</v>
      </c>
      <c r="P461" s="1" t="s">
        <v>174</v>
      </c>
      <c r="Q461" s="1" t="s">
        <v>1147</v>
      </c>
      <c r="R461" s="1" t="s">
        <v>1717</v>
      </c>
      <c r="S461" s="3">
        <v>2</v>
      </c>
      <c r="T461" s="1" t="s">
        <v>36</v>
      </c>
      <c r="U461" s="3">
        <v>81</v>
      </c>
      <c r="V461" s="1" t="s">
        <v>62</v>
      </c>
      <c r="W461" s="5">
        <f>Table1[[#This Row],[Quantity]]*Table1[[#This Row],[Price]]*(1-Table1[[#This Row],[Discount %]]/100)</f>
        <v>53516</v>
      </c>
      <c r="X461">
        <f>Table1[[#This Row],[DeliveryDate]]-Table1[[#This Row],[OrderDate]]</f>
        <v>1</v>
      </c>
      <c r="Y461" t="str">
        <f>TEXT(Table1[[#This Row],[OrderDate]],"MMMM")</f>
        <v>January</v>
      </c>
      <c r="Z461" s="5">
        <f>YEAR(Table1[[#This Row],[OrderDate]])</f>
        <v>2023</v>
      </c>
    </row>
    <row r="462" spans="1:26" x14ac:dyDescent="0.3">
      <c r="A462" s="1" t="s">
        <v>1718</v>
      </c>
      <c r="B462" t="s">
        <v>222</v>
      </c>
      <c r="C462" s="3">
        <v>18</v>
      </c>
      <c r="D462" s="1" t="s">
        <v>24</v>
      </c>
      <c r="E462" s="1" t="s">
        <v>131</v>
      </c>
      <c r="F462" s="1" t="s">
        <v>91</v>
      </c>
      <c r="G462" s="4">
        <v>45108</v>
      </c>
      <c r="H462" s="4">
        <v>45115</v>
      </c>
      <c r="I462" s="1" t="s">
        <v>93</v>
      </c>
      <c r="J462" s="1" t="s">
        <v>44</v>
      </c>
      <c r="K462" s="3">
        <v>5</v>
      </c>
      <c r="L462" s="2">
        <v>39681</v>
      </c>
      <c r="M462" s="3">
        <v>15</v>
      </c>
      <c r="N462" s="1" t="s">
        <v>56</v>
      </c>
      <c r="O462" s="1" t="s">
        <v>32</v>
      </c>
      <c r="P462" s="1" t="s">
        <v>174</v>
      </c>
      <c r="Q462" s="1" t="s">
        <v>225</v>
      </c>
      <c r="R462" s="1" t="s">
        <v>1720</v>
      </c>
      <c r="S462" s="3">
        <v>2</v>
      </c>
      <c r="T462" s="1" t="s">
        <v>36</v>
      </c>
      <c r="U462" s="3">
        <v>332</v>
      </c>
      <c r="V462" s="1" t="s">
        <v>37</v>
      </c>
      <c r="W462" s="5">
        <f>Table1[[#This Row],[Quantity]]*Table1[[#This Row],[Price]]*(1-Table1[[#This Row],[Discount %]]/100)</f>
        <v>168644.25</v>
      </c>
      <c r="X462">
        <f>Table1[[#This Row],[DeliveryDate]]-Table1[[#This Row],[OrderDate]]</f>
        <v>7</v>
      </c>
      <c r="Y462" t="str">
        <f>TEXT(Table1[[#This Row],[OrderDate]],"MMMM")</f>
        <v>July</v>
      </c>
      <c r="Z462" s="5">
        <f>YEAR(Table1[[#This Row],[OrderDate]])</f>
        <v>2023</v>
      </c>
    </row>
    <row r="463" spans="1:26" x14ac:dyDescent="0.3">
      <c r="A463" s="1" t="s">
        <v>1721</v>
      </c>
      <c r="B463" t="s">
        <v>617</v>
      </c>
      <c r="C463" s="3">
        <v>56</v>
      </c>
      <c r="D463" s="1" t="s">
        <v>24</v>
      </c>
      <c r="E463" s="1" t="s">
        <v>25</v>
      </c>
      <c r="F463" s="1" t="s">
        <v>53</v>
      </c>
      <c r="G463" s="4">
        <v>45450</v>
      </c>
      <c r="H463" s="4">
        <v>45457</v>
      </c>
      <c r="I463" s="1" t="s">
        <v>85</v>
      </c>
      <c r="J463" s="1" t="s">
        <v>30</v>
      </c>
      <c r="K463" s="3">
        <v>1</v>
      </c>
      <c r="L463" s="2">
        <v>47773</v>
      </c>
      <c r="M463" s="3">
        <v>5</v>
      </c>
      <c r="N463" s="1" t="s">
        <v>166</v>
      </c>
      <c r="O463" s="1" t="s">
        <v>46</v>
      </c>
      <c r="P463" s="1" t="s">
        <v>69</v>
      </c>
      <c r="Q463" s="1" t="s">
        <v>620</v>
      </c>
      <c r="R463" s="1" t="s">
        <v>1724</v>
      </c>
      <c r="S463" s="3">
        <v>5</v>
      </c>
      <c r="T463" s="1" t="s">
        <v>96</v>
      </c>
      <c r="U463" s="3">
        <v>112</v>
      </c>
      <c r="V463" s="1" t="s">
        <v>62</v>
      </c>
      <c r="W463" s="5">
        <f>Table1[[#This Row],[Quantity]]*Table1[[#This Row],[Price]]*(1-Table1[[#This Row],[Discount %]]/100)</f>
        <v>45384.35</v>
      </c>
      <c r="X463">
        <f>Table1[[#This Row],[DeliveryDate]]-Table1[[#This Row],[OrderDate]]</f>
        <v>7</v>
      </c>
      <c r="Y463" t="str">
        <f>TEXT(Table1[[#This Row],[OrderDate]],"MMMM")</f>
        <v>June</v>
      </c>
      <c r="Z463" s="5">
        <f>YEAR(Table1[[#This Row],[OrderDate]])</f>
        <v>2024</v>
      </c>
    </row>
    <row r="464" spans="1:26" x14ac:dyDescent="0.3">
      <c r="A464" s="1" t="s">
        <v>1725</v>
      </c>
      <c r="B464" t="s">
        <v>503</v>
      </c>
      <c r="C464" s="3">
        <v>36</v>
      </c>
      <c r="D464" s="1" t="s">
        <v>51</v>
      </c>
      <c r="E464" s="1" t="s">
        <v>99</v>
      </c>
      <c r="F464" s="1" t="s">
        <v>26</v>
      </c>
      <c r="G464" s="4">
        <v>44939</v>
      </c>
      <c r="H464" s="4">
        <v>44948</v>
      </c>
      <c r="I464" s="1" t="s">
        <v>43</v>
      </c>
      <c r="J464" s="1" t="s">
        <v>44</v>
      </c>
      <c r="K464" s="3">
        <v>1</v>
      </c>
      <c r="L464" s="2">
        <v>5569</v>
      </c>
      <c r="M464" s="3">
        <v>5</v>
      </c>
      <c r="N464" s="1" t="s">
        <v>45</v>
      </c>
      <c r="O464" s="1" t="s">
        <v>102</v>
      </c>
      <c r="P464" s="1" t="s">
        <v>58</v>
      </c>
      <c r="Q464" s="1" t="s">
        <v>506</v>
      </c>
      <c r="R464" s="1" t="s">
        <v>3415</v>
      </c>
      <c r="S464" s="3">
        <v>3</v>
      </c>
      <c r="T464" s="1" t="s">
        <v>36</v>
      </c>
      <c r="U464" s="3">
        <v>303</v>
      </c>
      <c r="V464" s="1" t="s">
        <v>62</v>
      </c>
      <c r="W464" s="5">
        <f>Table1[[#This Row],[Quantity]]*Table1[[#This Row],[Price]]*(1-Table1[[#This Row],[Discount %]]/100)</f>
        <v>5290.55</v>
      </c>
      <c r="X464">
        <f>Table1[[#This Row],[DeliveryDate]]-Table1[[#This Row],[OrderDate]]</f>
        <v>9</v>
      </c>
      <c r="Y464" t="str">
        <f>TEXT(Table1[[#This Row],[OrderDate]],"MMMM")</f>
        <v>January</v>
      </c>
      <c r="Z464" s="5">
        <f>YEAR(Table1[[#This Row],[OrderDate]])</f>
        <v>2023</v>
      </c>
    </row>
    <row r="465" spans="1:26" x14ac:dyDescent="0.3">
      <c r="A465" s="1" t="s">
        <v>1726</v>
      </c>
      <c r="B465" t="s">
        <v>503</v>
      </c>
      <c r="C465" s="3">
        <v>34</v>
      </c>
      <c r="D465" s="1" t="s">
        <v>24</v>
      </c>
      <c r="E465" s="1" t="s">
        <v>52</v>
      </c>
      <c r="F465" s="1" t="s">
        <v>53</v>
      </c>
      <c r="G465" s="4">
        <v>45504</v>
      </c>
      <c r="H465" s="4">
        <v>45508</v>
      </c>
      <c r="I465" s="1" t="s">
        <v>43</v>
      </c>
      <c r="J465" s="1" t="s">
        <v>30</v>
      </c>
      <c r="K465" s="3">
        <v>1</v>
      </c>
      <c r="L465" s="2">
        <v>13127</v>
      </c>
      <c r="M465" s="3">
        <v>10</v>
      </c>
      <c r="N465" s="1" t="s">
        <v>31</v>
      </c>
      <c r="O465" s="1" t="s">
        <v>133</v>
      </c>
      <c r="P465" s="1" t="s">
        <v>69</v>
      </c>
      <c r="Q465" s="1" t="s">
        <v>506</v>
      </c>
      <c r="R465" s="1" t="s">
        <v>1727</v>
      </c>
      <c r="S465" s="3">
        <v>4</v>
      </c>
      <c r="T465" s="1" t="s">
        <v>72</v>
      </c>
      <c r="U465" s="3">
        <v>493</v>
      </c>
      <c r="V465" s="1" t="s">
        <v>62</v>
      </c>
      <c r="W465" s="5">
        <f>Table1[[#This Row],[Quantity]]*Table1[[#This Row],[Price]]*(1-Table1[[#This Row],[Discount %]]/100)</f>
        <v>11814.300000000001</v>
      </c>
      <c r="X465">
        <f>Table1[[#This Row],[DeliveryDate]]-Table1[[#This Row],[OrderDate]]</f>
        <v>4</v>
      </c>
      <c r="Y465" t="str">
        <f>TEXT(Table1[[#This Row],[OrderDate]],"MMMM")</f>
        <v>July</v>
      </c>
      <c r="Z465" s="5">
        <f>YEAR(Table1[[#This Row],[OrderDate]])</f>
        <v>2024</v>
      </c>
    </row>
    <row r="466" spans="1:26" x14ac:dyDescent="0.3">
      <c r="A466" s="1" t="s">
        <v>1728</v>
      </c>
      <c r="B466" t="s">
        <v>457</v>
      </c>
      <c r="C466" s="3">
        <v>59</v>
      </c>
      <c r="D466" s="1" t="s">
        <v>51</v>
      </c>
      <c r="E466" s="1" t="s">
        <v>99</v>
      </c>
      <c r="F466" s="1" t="s">
        <v>65</v>
      </c>
      <c r="G466" s="4">
        <v>45402</v>
      </c>
      <c r="H466" s="4">
        <v>45409</v>
      </c>
      <c r="I466" s="1" t="s">
        <v>77</v>
      </c>
      <c r="J466" s="1" t="s">
        <v>30</v>
      </c>
      <c r="K466" s="3">
        <v>1</v>
      </c>
      <c r="L466" s="2">
        <v>42044</v>
      </c>
      <c r="M466" s="3">
        <v>0</v>
      </c>
      <c r="N466" s="1" t="s">
        <v>45</v>
      </c>
      <c r="O466" s="1" t="s">
        <v>86</v>
      </c>
      <c r="P466" s="1" t="s">
        <v>174</v>
      </c>
      <c r="Q466" s="1" t="s">
        <v>595</v>
      </c>
      <c r="R466" s="1" t="s">
        <v>1729</v>
      </c>
      <c r="S466" s="3">
        <v>1</v>
      </c>
      <c r="T466" s="1" t="s">
        <v>61</v>
      </c>
      <c r="U466" s="3">
        <v>397</v>
      </c>
      <c r="V466" s="1" t="s">
        <v>37</v>
      </c>
      <c r="W466" s="5">
        <f>Table1[[#This Row],[Quantity]]*Table1[[#This Row],[Price]]*(1-Table1[[#This Row],[Discount %]]/100)</f>
        <v>42044</v>
      </c>
      <c r="X466">
        <f>Table1[[#This Row],[DeliveryDate]]-Table1[[#This Row],[OrderDate]]</f>
        <v>7</v>
      </c>
      <c r="Y466" t="str">
        <f>TEXT(Table1[[#This Row],[OrderDate]],"MMMM")</f>
        <v>April</v>
      </c>
      <c r="Z466" s="5">
        <f>YEAR(Table1[[#This Row],[OrderDate]])</f>
        <v>2024</v>
      </c>
    </row>
    <row r="467" spans="1:26" x14ac:dyDescent="0.3">
      <c r="A467" s="1" t="s">
        <v>1730</v>
      </c>
      <c r="B467" t="s">
        <v>440</v>
      </c>
      <c r="C467" s="3">
        <v>43</v>
      </c>
      <c r="D467" s="1" t="s">
        <v>24</v>
      </c>
      <c r="E467" s="1" t="s">
        <v>52</v>
      </c>
      <c r="F467" s="1" t="s">
        <v>82</v>
      </c>
      <c r="G467" s="4">
        <v>45386</v>
      </c>
      <c r="H467" s="4">
        <v>45389</v>
      </c>
      <c r="I467" s="1" t="s">
        <v>108</v>
      </c>
      <c r="J467" s="1" t="s">
        <v>44</v>
      </c>
      <c r="K467" s="3">
        <v>3</v>
      </c>
      <c r="L467" s="2">
        <v>79740</v>
      </c>
      <c r="M467" s="3">
        <v>5</v>
      </c>
      <c r="N467" s="1" t="s">
        <v>45</v>
      </c>
      <c r="O467" s="1" t="s">
        <v>68</v>
      </c>
      <c r="P467" s="1" t="s">
        <v>69</v>
      </c>
      <c r="Q467" s="1" t="s">
        <v>437</v>
      </c>
      <c r="R467" s="1" t="s">
        <v>1732</v>
      </c>
      <c r="S467" s="3">
        <v>4</v>
      </c>
      <c r="T467" s="1" t="s">
        <v>96</v>
      </c>
      <c r="U467" s="3">
        <v>162</v>
      </c>
      <c r="V467" s="1" t="s">
        <v>37</v>
      </c>
      <c r="W467" s="5">
        <f>Table1[[#This Row],[Quantity]]*Table1[[#This Row],[Price]]*(1-Table1[[#This Row],[Discount %]]/100)</f>
        <v>227259</v>
      </c>
      <c r="X467">
        <f>Table1[[#This Row],[DeliveryDate]]-Table1[[#This Row],[OrderDate]]</f>
        <v>3</v>
      </c>
      <c r="Y467" t="str">
        <f>TEXT(Table1[[#This Row],[OrderDate]],"MMMM")</f>
        <v>April</v>
      </c>
      <c r="Z467" s="5">
        <f>YEAR(Table1[[#This Row],[OrderDate]])</f>
        <v>2024</v>
      </c>
    </row>
    <row r="468" spans="1:26" x14ac:dyDescent="0.3">
      <c r="A468" s="1" t="s">
        <v>1733</v>
      </c>
      <c r="B468" t="s">
        <v>327</v>
      </c>
      <c r="C468" s="3">
        <v>57</v>
      </c>
      <c r="D468" s="1" t="s">
        <v>51</v>
      </c>
      <c r="E468" s="1" t="s">
        <v>25</v>
      </c>
      <c r="F468" s="1" t="s">
        <v>82</v>
      </c>
      <c r="G468" s="4">
        <v>44982</v>
      </c>
      <c r="H468" s="4">
        <v>44983</v>
      </c>
      <c r="I468" s="1" t="s">
        <v>85</v>
      </c>
      <c r="J468" s="1" t="s">
        <v>44</v>
      </c>
      <c r="K468" s="3">
        <v>5</v>
      </c>
      <c r="L468" s="2">
        <v>42109.716287215415</v>
      </c>
      <c r="M468" s="3">
        <v>10</v>
      </c>
      <c r="N468" s="1" t="s">
        <v>45</v>
      </c>
      <c r="O468" s="1" t="s">
        <v>86</v>
      </c>
      <c r="P468" s="1" t="s">
        <v>174</v>
      </c>
      <c r="Q468" s="1" t="s">
        <v>330</v>
      </c>
      <c r="R468" s="1" t="s">
        <v>1736</v>
      </c>
      <c r="S468" s="3">
        <v>3</v>
      </c>
      <c r="T468" s="1" t="s">
        <v>36</v>
      </c>
      <c r="U468" s="3">
        <v>451</v>
      </c>
      <c r="V468" s="1" t="s">
        <v>62</v>
      </c>
      <c r="W468" s="5">
        <f>Table1[[#This Row],[Quantity]]*Table1[[#This Row],[Price]]*(1-Table1[[#This Row],[Discount %]]/100)</f>
        <v>189493.72329246937</v>
      </c>
      <c r="X468">
        <f>Table1[[#This Row],[DeliveryDate]]-Table1[[#This Row],[OrderDate]]</f>
        <v>1</v>
      </c>
      <c r="Y468" t="str">
        <f>TEXT(Table1[[#This Row],[OrderDate]],"MMMM")</f>
        <v>February</v>
      </c>
      <c r="Z468" s="5">
        <f>YEAR(Table1[[#This Row],[OrderDate]])</f>
        <v>2023</v>
      </c>
    </row>
    <row r="469" spans="1:26" x14ac:dyDescent="0.3">
      <c r="A469" s="1" t="s">
        <v>1737</v>
      </c>
      <c r="B469" t="s">
        <v>361</v>
      </c>
      <c r="C469" s="3">
        <v>53</v>
      </c>
      <c r="D469" s="1" t="s">
        <v>24</v>
      </c>
      <c r="E469" s="1" t="s">
        <v>52</v>
      </c>
      <c r="F469" s="1" t="s">
        <v>82</v>
      </c>
      <c r="G469" s="4">
        <v>45049</v>
      </c>
      <c r="H469" s="4">
        <v>45053</v>
      </c>
      <c r="I469" s="1" t="s">
        <v>85</v>
      </c>
      <c r="J469" s="1" t="s">
        <v>30</v>
      </c>
      <c r="K469" s="3">
        <v>1</v>
      </c>
      <c r="L469" s="2">
        <v>12607</v>
      </c>
      <c r="M469" s="3">
        <v>5</v>
      </c>
      <c r="N469" s="1" t="s">
        <v>56</v>
      </c>
      <c r="O469" s="1" t="s">
        <v>68</v>
      </c>
      <c r="P469" s="1" t="s">
        <v>174</v>
      </c>
      <c r="Q469" s="1" t="s">
        <v>3415</v>
      </c>
      <c r="R469" s="1" t="s">
        <v>1738</v>
      </c>
      <c r="S469" s="3">
        <v>5</v>
      </c>
      <c r="T469" s="1" t="s">
        <v>36</v>
      </c>
      <c r="U469" s="3">
        <v>300</v>
      </c>
      <c r="V469" s="1" t="s">
        <v>62</v>
      </c>
      <c r="W469" s="5">
        <f>Table1[[#This Row],[Quantity]]*Table1[[#This Row],[Price]]*(1-Table1[[#This Row],[Discount %]]/100)</f>
        <v>11976.65</v>
      </c>
      <c r="X469">
        <f>Table1[[#This Row],[DeliveryDate]]-Table1[[#This Row],[OrderDate]]</f>
        <v>4</v>
      </c>
      <c r="Y469" t="str">
        <f>TEXT(Table1[[#This Row],[OrderDate]],"MMMM")</f>
        <v>May</v>
      </c>
      <c r="Z469" s="5">
        <f>YEAR(Table1[[#This Row],[OrderDate]])</f>
        <v>2023</v>
      </c>
    </row>
    <row r="470" spans="1:26" x14ac:dyDescent="0.3">
      <c r="A470" s="1" t="s">
        <v>1739</v>
      </c>
      <c r="B470" t="s">
        <v>461</v>
      </c>
      <c r="C470" s="3">
        <v>22</v>
      </c>
      <c r="D470" s="1" t="s">
        <v>24</v>
      </c>
      <c r="E470" s="1" t="s">
        <v>52</v>
      </c>
      <c r="F470" s="1" t="s">
        <v>82</v>
      </c>
      <c r="G470" s="4">
        <v>45283</v>
      </c>
      <c r="H470" s="4">
        <v>45290</v>
      </c>
      <c r="I470" s="1" t="s">
        <v>85</v>
      </c>
      <c r="J470" s="1" t="s">
        <v>44</v>
      </c>
      <c r="K470" s="3">
        <v>3</v>
      </c>
      <c r="L470" s="2">
        <v>29894</v>
      </c>
      <c r="M470" s="3">
        <v>5</v>
      </c>
      <c r="N470" s="1" t="s">
        <v>56</v>
      </c>
      <c r="O470" s="1" t="s">
        <v>173</v>
      </c>
      <c r="P470" s="1" t="s">
        <v>174</v>
      </c>
      <c r="Q470" s="1" t="s">
        <v>563</v>
      </c>
      <c r="R470" s="1" t="s">
        <v>1742</v>
      </c>
      <c r="S470" s="3">
        <v>3</v>
      </c>
      <c r="T470" s="1" t="s">
        <v>36</v>
      </c>
      <c r="U470" s="3">
        <v>350</v>
      </c>
      <c r="V470" s="1" t="s">
        <v>62</v>
      </c>
      <c r="W470" s="5">
        <f>Table1[[#This Row],[Quantity]]*Table1[[#This Row],[Price]]*(1-Table1[[#This Row],[Discount %]]/100)</f>
        <v>85197.9</v>
      </c>
      <c r="X470">
        <f>Table1[[#This Row],[DeliveryDate]]-Table1[[#This Row],[OrderDate]]</f>
        <v>7</v>
      </c>
      <c r="Y470" t="str">
        <f>TEXT(Table1[[#This Row],[OrderDate]],"MMMM")</f>
        <v>December</v>
      </c>
      <c r="Z470" s="5">
        <f>YEAR(Table1[[#This Row],[OrderDate]])</f>
        <v>2023</v>
      </c>
    </row>
    <row r="471" spans="1:26" x14ac:dyDescent="0.3">
      <c r="A471" s="1" t="s">
        <v>1743</v>
      </c>
      <c r="B471" t="s">
        <v>850</v>
      </c>
      <c r="C471" s="3">
        <v>26</v>
      </c>
      <c r="D471" s="1" t="s">
        <v>51</v>
      </c>
      <c r="E471" s="1" t="s">
        <v>99</v>
      </c>
      <c r="F471" s="1" t="s">
        <v>26</v>
      </c>
      <c r="G471" s="4">
        <v>45388</v>
      </c>
      <c r="H471" s="4">
        <v>45392</v>
      </c>
      <c r="I471" s="1" t="s">
        <v>85</v>
      </c>
      <c r="J471" s="1" t="s">
        <v>30</v>
      </c>
      <c r="K471" s="3">
        <v>2</v>
      </c>
      <c r="L471" s="2">
        <v>55628</v>
      </c>
      <c r="M471" s="3">
        <v>10</v>
      </c>
      <c r="N471" s="1" t="s">
        <v>166</v>
      </c>
      <c r="O471" s="1" t="s">
        <v>109</v>
      </c>
      <c r="P471" s="1" t="s">
        <v>69</v>
      </c>
      <c r="Q471" s="1" t="s">
        <v>3415</v>
      </c>
      <c r="R471" s="1" t="s">
        <v>1746</v>
      </c>
      <c r="S471" s="3">
        <v>1</v>
      </c>
      <c r="T471" s="1" t="s">
        <v>61</v>
      </c>
      <c r="U471" s="3">
        <v>87</v>
      </c>
      <c r="V471" s="1" t="s">
        <v>37</v>
      </c>
      <c r="W471" s="5">
        <f>Table1[[#This Row],[Quantity]]*Table1[[#This Row],[Price]]*(1-Table1[[#This Row],[Discount %]]/100)</f>
        <v>100130.40000000001</v>
      </c>
      <c r="X471">
        <f>Table1[[#This Row],[DeliveryDate]]-Table1[[#This Row],[OrderDate]]</f>
        <v>4</v>
      </c>
      <c r="Y471" t="str">
        <f>TEXT(Table1[[#This Row],[OrderDate]],"MMMM")</f>
        <v>April</v>
      </c>
      <c r="Z471" s="5">
        <f>YEAR(Table1[[#This Row],[OrderDate]])</f>
        <v>2024</v>
      </c>
    </row>
    <row r="472" spans="1:26" x14ac:dyDescent="0.3">
      <c r="A472" s="1" t="s">
        <v>1747</v>
      </c>
      <c r="B472" t="s">
        <v>611</v>
      </c>
      <c r="C472" s="3">
        <v>25</v>
      </c>
      <c r="D472" s="1" t="s">
        <v>51</v>
      </c>
      <c r="E472" s="1" t="s">
        <v>52</v>
      </c>
      <c r="F472" s="1" t="s">
        <v>26</v>
      </c>
      <c r="G472" s="4">
        <v>45037</v>
      </c>
      <c r="H472" s="4">
        <v>45040</v>
      </c>
      <c r="I472" s="1" t="s">
        <v>108</v>
      </c>
      <c r="J472" s="1" t="s">
        <v>30</v>
      </c>
      <c r="K472" s="3">
        <v>5</v>
      </c>
      <c r="L472" s="2">
        <v>38562</v>
      </c>
      <c r="M472" s="3">
        <v>5</v>
      </c>
      <c r="N472" s="1" t="s">
        <v>56</v>
      </c>
      <c r="O472" s="1" t="s">
        <v>173</v>
      </c>
      <c r="P472" s="1" t="s">
        <v>33</v>
      </c>
      <c r="Q472" s="1" t="s">
        <v>614</v>
      </c>
      <c r="R472" s="1" t="s">
        <v>1748</v>
      </c>
      <c r="S472" s="3">
        <v>1</v>
      </c>
      <c r="T472" s="1" t="s">
        <v>96</v>
      </c>
      <c r="U472" s="3">
        <v>76</v>
      </c>
      <c r="V472" s="1" t="s">
        <v>79</v>
      </c>
      <c r="W472" s="5">
        <f>Table1[[#This Row],[Quantity]]*Table1[[#This Row],[Price]]*(1-Table1[[#This Row],[Discount %]]/100)</f>
        <v>183169.5</v>
      </c>
      <c r="X472">
        <f>Table1[[#This Row],[DeliveryDate]]-Table1[[#This Row],[OrderDate]]</f>
        <v>3</v>
      </c>
      <c r="Y472" t="str">
        <f>TEXT(Table1[[#This Row],[OrderDate]],"MMMM")</f>
        <v>April</v>
      </c>
      <c r="Z472" s="5">
        <f>YEAR(Table1[[#This Row],[OrderDate]])</f>
        <v>2023</v>
      </c>
    </row>
    <row r="473" spans="1:26" x14ac:dyDescent="0.3">
      <c r="A473" s="1" t="s">
        <v>1749</v>
      </c>
      <c r="B473" t="s">
        <v>1008</v>
      </c>
      <c r="C473" s="3">
        <v>55</v>
      </c>
      <c r="D473" s="1" t="s">
        <v>24</v>
      </c>
      <c r="E473" s="1" t="s">
        <v>26</v>
      </c>
      <c r="F473" s="1" t="s">
        <v>82</v>
      </c>
      <c r="G473" s="4">
        <v>45126</v>
      </c>
      <c r="H473" s="4">
        <v>45130</v>
      </c>
      <c r="I473" s="1" t="s">
        <v>77</v>
      </c>
      <c r="J473" s="1" t="s">
        <v>30</v>
      </c>
      <c r="K473" s="3">
        <v>1</v>
      </c>
      <c r="L473" s="2">
        <v>26356</v>
      </c>
      <c r="M473" s="3">
        <v>10</v>
      </c>
      <c r="N473" s="1" t="s">
        <v>31</v>
      </c>
      <c r="O473" s="1" t="s">
        <v>86</v>
      </c>
      <c r="P473" s="1" t="s">
        <v>69</v>
      </c>
      <c r="Q473" s="1" t="s">
        <v>1011</v>
      </c>
      <c r="R473" s="1" t="s">
        <v>1751</v>
      </c>
      <c r="S473" s="3">
        <v>4</v>
      </c>
      <c r="T473" s="1" t="s">
        <v>36</v>
      </c>
      <c r="U473" s="3">
        <v>493</v>
      </c>
      <c r="V473" s="1" t="s">
        <v>62</v>
      </c>
      <c r="W473" s="5">
        <f>Table1[[#This Row],[Quantity]]*Table1[[#This Row],[Price]]*(1-Table1[[#This Row],[Discount %]]/100)</f>
        <v>23720.400000000001</v>
      </c>
      <c r="X473">
        <f>Table1[[#This Row],[DeliveryDate]]-Table1[[#This Row],[OrderDate]]</f>
        <v>4</v>
      </c>
      <c r="Y473" t="str">
        <f>TEXT(Table1[[#This Row],[OrderDate]],"MMMM")</f>
        <v>July</v>
      </c>
      <c r="Z473" s="5">
        <f>YEAR(Table1[[#This Row],[OrderDate]])</f>
        <v>2023</v>
      </c>
    </row>
    <row r="474" spans="1:26" x14ac:dyDescent="0.3">
      <c r="A474" s="1" t="s">
        <v>1752</v>
      </c>
      <c r="B474" t="s">
        <v>617</v>
      </c>
      <c r="C474" s="3">
        <v>41</v>
      </c>
      <c r="D474" s="1" t="s">
        <v>24</v>
      </c>
      <c r="E474" s="1" t="s">
        <v>26</v>
      </c>
      <c r="F474" s="1" t="s">
        <v>82</v>
      </c>
      <c r="G474" s="4">
        <v>45609</v>
      </c>
      <c r="H474" s="4">
        <v>45613</v>
      </c>
      <c r="I474" s="1" t="s">
        <v>77</v>
      </c>
      <c r="J474" s="1" t="s">
        <v>30</v>
      </c>
      <c r="K474" s="3">
        <v>1</v>
      </c>
      <c r="L474" s="2">
        <v>24389</v>
      </c>
      <c r="M474" s="3">
        <v>10</v>
      </c>
      <c r="N474" s="1" t="s">
        <v>56</v>
      </c>
      <c r="O474" s="1" t="s">
        <v>173</v>
      </c>
      <c r="P474" s="1" t="s">
        <v>174</v>
      </c>
      <c r="Q474" s="1" t="s">
        <v>620</v>
      </c>
      <c r="R474" s="1" t="s">
        <v>1753</v>
      </c>
      <c r="S474" s="3">
        <v>5</v>
      </c>
      <c r="T474" s="1" t="s">
        <v>36</v>
      </c>
      <c r="U474" s="3">
        <v>282</v>
      </c>
      <c r="V474" s="1" t="s">
        <v>79</v>
      </c>
      <c r="W474" s="5">
        <f>Table1[[#This Row],[Quantity]]*Table1[[#This Row],[Price]]*(1-Table1[[#This Row],[Discount %]]/100)</f>
        <v>21950.100000000002</v>
      </c>
      <c r="X474">
        <f>Table1[[#This Row],[DeliveryDate]]-Table1[[#This Row],[OrderDate]]</f>
        <v>4</v>
      </c>
      <c r="Y474" t="str">
        <f>TEXT(Table1[[#This Row],[OrderDate]],"MMMM")</f>
        <v>November</v>
      </c>
      <c r="Z474" s="5">
        <f>YEAR(Table1[[#This Row],[OrderDate]])</f>
        <v>2024</v>
      </c>
    </row>
    <row r="475" spans="1:26" x14ac:dyDescent="0.3">
      <c r="A475" s="1" t="s">
        <v>1754</v>
      </c>
      <c r="B475" t="s">
        <v>193</v>
      </c>
      <c r="C475" s="3">
        <v>52</v>
      </c>
      <c r="D475" s="1" t="s">
        <v>51</v>
      </c>
      <c r="E475" s="1" t="s">
        <v>142</v>
      </c>
      <c r="F475" s="1" t="s">
        <v>65</v>
      </c>
      <c r="G475" s="4">
        <v>44950</v>
      </c>
      <c r="H475" s="4">
        <v>44959</v>
      </c>
      <c r="I475" s="1" t="s">
        <v>108</v>
      </c>
      <c r="J475" s="1" t="s">
        <v>44</v>
      </c>
      <c r="K475" s="3">
        <v>1</v>
      </c>
      <c r="L475" s="2">
        <v>42416</v>
      </c>
      <c r="M475" s="3">
        <v>10</v>
      </c>
      <c r="N475" s="1" t="s">
        <v>166</v>
      </c>
      <c r="O475" s="1" t="s">
        <v>86</v>
      </c>
      <c r="P475" s="1" t="s">
        <v>58</v>
      </c>
      <c r="Q475" s="1" t="s">
        <v>195</v>
      </c>
      <c r="R475" s="1" t="s">
        <v>1757</v>
      </c>
      <c r="S475" s="3">
        <v>3</v>
      </c>
      <c r="T475" s="1" t="s">
        <v>61</v>
      </c>
      <c r="U475" s="3">
        <v>58</v>
      </c>
      <c r="V475" s="1" t="s">
        <v>62</v>
      </c>
      <c r="W475" s="5">
        <f>Table1[[#This Row],[Quantity]]*Table1[[#This Row],[Price]]*(1-Table1[[#This Row],[Discount %]]/100)</f>
        <v>38174.400000000001</v>
      </c>
      <c r="X475">
        <f>Table1[[#This Row],[DeliveryDate]]-Table1[[#This Row],[OrderDate]]</f>
        <v>9</v>
      </c>
      <c r="Y475" t="str">
        <f>TEXT(Table1[[#This Row],[OrderDate]],"MMMM")</f>
        <v>January</v>
      </c>
      <c r="Z475" s="5">
        <f>YEAR(Table1[[#This Row],[OrderDate]])</f>
        <v>2023</v>
      </c>
    </row>
    <row r="476" spans="1:26" x14ac:dyDescent="0.3">
      <c r="A476" s="1" t="s">
        <v>1758</v>
      </c>
      <c r="B476" t="s">
        <v>1309</v>
      </c>
      <c r="C476" s="3">
        <v>54</v>
      </c>
      <c r="D476" s="1" t="s">
        <v>51</v>
      </c>
      <c r="E476" s="1" t="s">
        <v>142</v>
      </c>
      <c r="F476" s="1" t="s">
        <v>65</v>
      </c>
      <c r="G476" s="4">
        <v>45258</v>
      </c>
      <c r="H476" s="4">
        <v>45260</v>
      </c>
      <c r="I476" s="1" t="s">
        <v>77</v>
      </c>
      <c r="J476" s="1" t="s">
        <v>30</v>
      </c>
      <c r="K476" s="3">
        <v>4</v>
      </c>
      <c r="L476" s="2">
        <v>60750</v>
      </c>
      <c r="M476" s="3">
        <v>10</v>
      </c>
      <c r="N476" s="1" t="s">
        <v>45</v>
      </c>
      <c r="O476" s="1" t="s">
        <v>173</v>
      </c>
      <c r="P476" s="1" t="s">
        <v>33</v>
      </c>
      <c r="Q476" s="1" t="s">
        <v>1311</v>
      </c>
      <c r="R476" s="1" t="s">
        <v>1761</v>
      </c>
      <c r="S476" s="3">
        <v>3</v>
      </c>
      <c r="T476" s="1" t="s">
        <v>96</v>
      </c>
      <c r="U476" s="3">
        <v>481</v>
      </c>
      <c r="V476" s="1" t="s">
        <v>37</v>
      </c>
      <c r="W476" s="5">
        <f>Table1[[#This Row],[Quantity]]*Table1[[#This Row],[Price]]*(1-Table1[[#This Row],[Discount %]]/100)</f>
        <v>218700</v>
      </c>
      <c r="X476">
        <f>Table1[[#This Row],[DeliveryDate]]-Table1[[#This Row],[OrderDate]]</f>
        <v>2</v>
      </c>
      <c r="Y476" t="str">
        <f>TEXT(Table1[[#This Row],[OrderDate]],"MMMM")</f>
        <v>November</v>
      </c>
      <c r="Z476" s="5">
        <f>YEAR(Table1[[#This Row],[OrderDate]])</f>
        <v>2023</v>
      </c>
    </row>
    <row r="477" spans="1:26" x14ac:dyDescent="0.3">
      <c r="A477" s="1" t="s">
        <v>1762</v>
      </c>
      <c r="B477" t="s">
        <v>105</v>
      </c>
      <c r="C477" s="3">
        <v>26</v>
      </c>
      <c r="D477" s="1" t="s">
        <v>51</v>
      </c>
      <c r="E477" s="1" t="s">
        <v>131</v>
      </c>
      <c r="F477" s="1" t="s">
        <v>26</v>
      </c>
      <c r="G477" s="4">
        <v>45439</v>
      </c>
      <c r="H477" s="4">
        <v>45440</v>
      </c>
      <c r="I477" s="1" t="s">
        <v>108</v>
      </c>
      <c r="J477" s="1" t="s">
        <v>30</v>
      </c>
      <c r="K477" s="3">
        <v>3</v>
      </c>
      <c r="L477" s="2">
        <v>47792</v>
      </c>
      <c r="M477" s="3">
        <v>5</v>
      </c>
      <c r="N477" s="1" t="s">
        <v>31</v>
      </c>
      <c r="O477" s="1" t="s">
        <v>173</v>
      </c>
      <c r="P477" s="1" t="s">
        <v>33</v>
      </c>
      <c r="Q477" s="1" t="s">
        <v>110</v>
      </c>
      <c r="R477" s="1" t="s">
        <v>1764</v>
      </c>
      <c r="S477" s="3">
        <v>5</v>
      </c>
      <c r="T477" s="1" t="s">
        <v>96</v>
      </c>
      <c r="U477" s="3">
        <v>136</v>
      </c>
      <c r="V477" s="1" t="s">
        <v>79</v>
      </c>
      <c r="W477" s="5">
        <f>Table1[[#This Row],[Quantity]]*Table1[[#This Row],[Price]]*(1-Table1[[#This Row],[Discount %]]/100)</f>
        <v>136207.19999999998</v>
      </c>
      <c r="X477">
        <f>Table1[[#This Row],[DeliveryDate]]-Table1[[#This Row],[OrderDate]]</f>
        <v>1</v>
      </c>
      <c r="Y477" t="str">
        <f>TEXT(Table1[[#This Row],[OrderDate]],"MMMM")</f>
        <v>May</v>
      </c>
      <c r="Z477" s="5">
        <f>YEAR(Table1[[#This Row],[OrderDate]])</f>
        <v>2024</v>
      </c>
    </row>
    <row r="478" spans="1:26" x14ac:dyDescent="0.3">
      <c r="A478" s="1" t="s">
        <v>1765</v>
      </c>
      <c r="B478" t="s">
        <v>527</v>
      </c>
      <c r="C478" s="3">
        <v>19</v>
      </c>
      <c r="D478" s="1" t="s">
        <v>24</v>
      </c>
      <c r="E478" s="1" t="s">
        <v>52</v>
      </c>
      <c r="F478" s="1" t="s">
        <v>91</v>
      </c>
      <c r="G478" s="4">
        <v>44935</v>
      </c>
      <c r="H478" s="4">
        <v>44940</v>
      </c>
      <c r="I478" s="1" t="s">
        <v>29</v>
      </c>
      <c r="J478" s="1" t="s">
        <v>30</v>
      </c>
      <c r="K478" s="3">
        <v>3</v>
      </c>
      <c r="L478" s="2">
        <v>5214</v>
      </c>
      <c r="M478" s="3">
        <v>10</v>
      </c>
      <c r="N478" s="1" t="s">
        <v>56</v>
      </c>
      <c r="O478" s="1" t="s">
        <v>57</v>
      </c>
      <c r="P478" s="1" t="s">
        <v>69</v>
      </c>
      <c r="Q478" s="1" t="s">
        <v>530</v>
      </c>
      <c r="R478" s="1" t="s">
        <v>1766</v>
      </c>
      <c r="S478" s="3">
        <v>3</v>
      </c>
      <c r="T478" s="1" t="s">
        <v>72</v>
      </c>
      <c r="U478" s="3">
        <v>492</v>
      </c>
      <c r="V478" s="1" t="s">
        <v>37</v>
      </c>
      <c r="W478" s="5">
        <f>Table1[[#This Row],[Quantity]]*Table1[[#This Row],[Price]]*(1-Table1[[#This Row],[Discount %]]/100)</f>
        <v>14077.800000000001</v>
      </c>
      <c r="X478">
        <f>Table1[[#This Row],[DeliveryDate]]-Table1[[#This Row],[OrderDate]]</f>
        <v>5</v>
      </c>
      <c r="Y478" t="str">
        <f>TEXT(Table1[[#This Row],[OrderDate]],"MMMM")</f>
        <v>January</v>
      </c>
      <c r="Z478" s="5">
        <f>YEAR(Table1[[#This Row],[OrderDate]])</f>
        <v>2023</v>
      </c>
    </row>
    <row r="479" spans="1:26" x14ac:dyDescent="0.3">
      <c r="A479" s="1" t="s">
        <v>1767</v>
      </c>
      <c r="B479" t="s">
        <v>589</v>
      </c>
      <c r="C479" s="3">
        <v>47</v>
      </c>
      <c r="D479" s="1" t="s">
        <v>51</v>
      </c>
      <c r="E479" s="1" t="s">
        <v>25</v>
      </c>
      <c r="F479" s="1" t="s">
        <v>91</v>
      </c>
      <c r="G479" s="4">
        <v>45391</v>
      </c>
      <c r="H479" s="4">
        <v>45396</v>
      </c>
      <c r="I479" s="1" t="s">
        <v>85</v>
      </c>
      <c r="J479" s="1" t="s">
        <v>30</v>
      </c>
      <c r="K479" s="3">
        <v>4</v>
      </c>
      <c r="L479" s="2">
        <v>65267</v>
      </c>
      <c r="M479" s="3">
        <v>5</v>
      </c>
      <c r="N479" s="1" t="s">
        <v>56</v>
      </c>
      <c r="O479" s="1" t="s">
        <v>68</v>
      </c>
      <c r="P479" s="1" t="s">
        <v>58</v>
      </c>
      <c r="Q479" s="1" t="s">
        <v>591</v>
      </c>
      <c r="R479" s="1" t="s">
        <v>1769</v>
      </c>
      <c r="S479" s="3">
        <v>5</v>
      </c>
      <c r="T479" s="1" t="s">
        <v>61</v>
      </c>
      <c r="U479" s="3">
        <v>226</v>
      </c>
      <c r="V479" s="1" t="s">
        <v>79</v>
      </c>
      <c r="W479" s="5">
        <f>Table1[[#This Row],[Quantity]]*Table1[[#This Row],[Price]]*(1-Table1[[#This Row],[Discount %]]/100)</f>
        <v>248014.59999999998</v>
      </c>
      <c r="X479">
        <f>Table1[[#This Row],[DeliveryDate]]-Table1[[#This Row],[OrderDate]]</f>
        <v>5</v>
      </c>
      <c r="Y479" t="str">
        <f>TEXT(Table1[[#This Row],[OrderDate]],"MMMM")</f>
        <v>April</v>
      </c>
      <c r="Z479" s="5">
        <f>YEAR(Table1[[#This Row],[OrderDate]])</f>
        <v>2024</v>
      </c>
    </row>
    <row r="480" spans="1:26" x14ac:dyDescent="0.3">
      <c r="A480" s="1" t="s">
        <v>1770</v>
      </c>
      <c r="B480" t="s">
        <v>684</v>
      </c>
      <c r="C480" s="3">
        <v>28</v>
      </c>
      <c r="D480" s="1" t="s">
        <v>24</v>
      </c>
      <c r="E480" s="1" t="s">
        <v>25</v>
      </c>
      <c r="F480" s="1" t="s">
        <v>53</v>
      </c>
      <c r="G480" s="4">
        <v>45085</v>
      </c>
      <c r="H480" s="4">
        <v>45089</v>
      </c>
      <c r="I480" s="1" t="s">
        <v>93</v>
      </c>
      <c r="J480" s="1" t="s">
        <v>44</v>
      </c>
      <c r="K480" s="3">
        <v>1</v>
      </c>
      <c r="L480" s="2">
        <v>62623</v>
      </c>
      <c r="M480" s="3">
        <v>15</v>
      </c>
      <c r="N480" s="1" t="s">
        <v>31</v>
      </c>
      <c r="O480" s="1" t="s">
        <v>68</v>
      </c>
      <c r="P480" s="1" t="s">
        <v>33</v>
      </c>
      <c r="Q480" s="1" t="s">
        <v>785</v>
      </c>
      <c r="R480" s="1" t="s">
        <v>1771</v>
      </c>
      <c r="S480" s="3">
        <v>4</v>
      </c>
      <c r="T480" s="1" t="s">
        <v>96</v>
      </c>
      <c r="U480" s="3">
        <v>414</v>
      </c>
      <c r="V480" s="1" t="s">
        <v>37</v>
      </c>
      <c r="W480" s="5">
        <f>Table1[[#This Row],[Quantity]]*Table1[[#This Row],[Price]]*(1-Table1[[#This Row],[Discount %]]/100)</f>
        <v>53229.549999999996</v>
      </c>
      <c r="X480">
        <f>Table1[[#This Row],[DeliveryDate]]-Table1[[#This Row],[OrderDate]]</f>
        <v>4</v>
      </c>
      <c r="Y480" t="str">
        <f>TEXT(Table1[[#This Row],[OrderDate]],"MMMM")</f>
        <v>June</v>
      </c>
      <c r="Z480" s="5">
        <f>YEAR(Table1[[#This Row],[OrderDate]])</f>
        <v>2023</v>
      </c>
    </row>
    <row r="481" spans="1:26" x14ac:dyDescent="0.3">
      <c r="A481" s="1" t="s">
        <v>1772</v>
      </c>
      <c r="B481" t="s">
        <v>261</v>
      </c>
      <c r="C481" s="3">
        <v>40</v>
      </c>
      <c r="D481" s="1" t="s">
        <v>24</v>
      </c>
      <c r="E481" s="1" t="s">
        <v>99</v>
      </c>
      <c r="F481" s="1" t="s">
        <v>82</v>
      </c>
      <c r="G481" s="4">
        <v>45542</v>
      </c>
      <c r="H481" s="4">
        <v>45545</v>
      </c>
      <c r="I481" s="1" t="s">
        <v>29</v>
      </c>
      <c r="J481" s="1" t="s">
        <v>30</v>
      </c>
      <c r="K481" s="3">
        <v>5</v>
      </c>
      <c r="L481" s="2">
        <v>36332</v>
      </c>
      <c r="M481" s="3">
        <v>5</v>
      </c>
      <c r="N481" s="1" t="s">
        <v>45</v>
      </c>
      <c r="O481" s="1" t="s">
        <v>46</v>
      </c>
      <c r="P481" s="1" t="s">
        <v>69</v>
      </c>
      <c r="Q481" s="1" t="s">
        <v>264</v>
      </c>
      <c r="R481" s="1" t="s">
        <v>3415</v>
      </c>
      <c r="S481" s="3">
        <v>1</v>
      </c>
      <c r="T481" s="1" t="s">
        <v>61</v>
      </c>
      <c r="U481" s="3">
        <v>137</v>
      </c>
      <c r="V481" s="1" t="s">
        <v>79</v>
      </c>
      <c r="W481" s="5">
        <f>Table1[[#This Row],[Quantity]]*Table1[[#This Row],[Price]]*(1-Table1[[#This Row],[Discount %]]/100)</f>
        <v>172577</v>
      </c>
      <c r="X481">
        <f>Table1[[#This Row],[DeliveryDate]]-Table1[[#This Row],[OrderDate]]</f>
        <v>3</v>
      </c>
      <c r="Y481" t="str">
        <f>TEXT(Table1[[#This Row],[OrderDate]],"MMMM")</f>
        <v>September</v>
      </c>
      <c r="Z481" s="5">
        <f>YEAR(Table1[[#This Row],[OrderDate]])</f>
        <v>2024</v>
      </c>
    </row>
    <row r="482" spans="1:26" x14ac:dyDescent="0.3">
      <c r="A482" s="1" t="s">
        <v>1774</v>
      </c>
      <c r="B482" t="s">
        <v>333</v>
      </c>
      <c r="C482" s="3">
        <v>50</v>
      </c>
      <c r="D482" s="1" t="s">
        <v>24</v>
      </c>
      <c r="E482" s="1" t="s">
        <v>40</v>
      </c>
      <c r="F482" s="1" t="s">
        <v>65</v>
      </c>
      <c r="G482" s="4">
        <v>45528</v>
      </c>
      <c r="H482" s="4">
        <v>45536</v>
      </c>
      <c r="I482" s="1" t="s">
        <v>43</v>
      </c>
      <c r="J482" s="1" t="s">
        <v>44</v>
      </c>
      <c r="K482" s="3">
        <v>1</v>
      </c>
      <c r="L482" s="2">
        <v>56891</v>
      </c>
      <c r="M482" s="3">
        <v>10</v>
      </c>
      <c r="N482" s="1" t="s">
        <v>56</v>
      </c>
      <c r="O482" s="1" t="s">
        <v>109</v>
      </c>
      <c r="P482" s="1" t="s">
        <v>58</v>
      </c>
      <c r="Q482" s="1" t="s">
        <v>336</v>
      </c>
      <c r="R482" s="1" t="s">
        <v>1776</v>
      </c>
      <c r="S482" s="3">
        <v>1</v>
      </c>
      <c r="T482" s="1" t="s">
        <v>72</v>
      </c>
      <c r="U482" s="3">
        <v>278</v>
      </c>
      <c r="V482" s="1" t="s">
        <v>37</v>
      </c>
      <c r="W482" s="5">
        <f>Table1[[#This Row],[Quantity]]*Table1[[#This Row],[Price]]*(1-Table1[[#This Row],[Discount %]]/100)</f>
        <v>51201.9</v>
      </c>
      <c r="X482">
        <f>Table1[[#This Row],[DeliveryDate]]-Table1[[#This Row],[OrderDate]]</f>
        <v>8</v>
      </c>
      <c r="Y482" t="str">
        <f>TEXT(Table1[[#This Row],[OrderDate]],"MMMM")</f>
        <v>August</v>
      </c>
      <c r="Z482" s="5">
        <f>YEAR(Table1[[#This Row],[OrderDate]])</f>
        <v>2024</v>
      </c>
    </row>
    <row r="483" spans="1:26" x14ac:dyDescent="0.3">
      <c r="A483" s="1" t="s">
        <v>1777</v>
      </c>
      <c r="B483" t="s">
        <v>105</v>
      </c>
      <c r="C483" s="3">
        <v>59</v>
      </c>
      <c r="D483" s="1" t="s">
        <v>24</v>
      </c>
      <c r="E483" s="1" t="s">
        <v>40</v>
      </c>
      <c r="F483" s="1" t="s">
        <v>91</v>
      </c>
      <c r="G483" s="4">
        <v>45567</v>
      </c>
      <c r="H483" s="4">
        <v>45577</v>
      </c>
      <c r="I483" s="1" t="s">
        <v>43</v>
      </c>
      <c r="J483" s="1" t="s">
        <v>44</v>
      </c>
      <c r="K483" s="3">
        <v>2</v>
      </c>
      <c r="L483" s="2">
        <v>63305</v>
      </c>
      <c r="M483" s="3">
        <v>0</v>
      </c>
      <c r="N483" s="1" t="s">
        <v>31</v>
      </c>
      <c r="O483" s="1" t="s">
        <v>173</v>
      </c>
      <c r="P483" s="1" t="s">
        <v>58</v>
      </c>
      <c r="Q483" s="1" t="s">
        <v>110</v>
      </c>
      <c r="R483" s="1" t="s">
        <v>3415</v>
      </c>
      <c r="S483" s="3">
        <v>5</v>
      </c>
      <c r="T483" s="1" t="s">
        <v>36</v>
      </c>
      <c r="U483" s="3">
        <v>67</v>
      </c>
      <c r="V483" s="1" t="s">
        <v>79</v>
      </c>
      <c r="W483" s="5">
        <f>Table1[[#This Row],[Quantity]]*Table1[[#This Row],[Price]]*(1-Table1[[#This Row],[Discount %]]/100)</f>
        <v>126610</v>
      </c>
      <c r="X483">
        <f>Table1[[#This Row],[DeliveryDate]]-Table1[[#This Row],[OrderDate]]</f>
        <v>10</v>
      </c>
      <c r="Y483" t="str">
        <f>TEXT(Table1[[#This Row],[OrderDate]],"MMMM")</f>
        <v>October</v>
      </c>
      <c r="Z483" s="5">
        <f>YEAR(Table1[[#This Row],[OrderDate]])</f>
        <v>2024</v>
      </c>
    </row>
    <row r="484" spans="1:26" x14ac:dyDescent="0.3">
      <c r="A484" s="1" t="s">
        <v>1778</v>
      </c>
      <c r="B484" t="s">
        <v>1686</v>
      </c>
      <c r="C484" s="3">
        <v>19</v>
      </c>
      <c r="D484" s="1" t="s">
        <v>24</v>
      </c>
      <c r="E484" s="1" t="s">
        <v>25</v>
      </c>
      <c r="F484" s="1" t="s">
        <v>82</v>
      </c>
      <c r="G484" s="4">
        <v>45494</v>
      </c>
      <c r="H484" s="4">
        <v>45503</v>
      </c>
      <c r="I484" s="1" t="s">
        <v>85</v>
      </c>
      <c r="J484" s="1" t="s">
        <v>44</v>
      </c>
      <c r="K484" s="3">
        <v>2</v>
      </c>
      <c r="L484" s="2">
        <v>75304</v>
      </c>
      <c r="M484" s="3">
        <v>5</v>
      </c>
      <c r="N484" s="1" t="s">
        <v>31</v>
      </c>
      <c r="O484" s="1" t="s">
        <v>46</v>
      </c>
      <c r="P484" s="1" t="s">
        <v>33</v>
      </c>
      <c r="Q484" s="1" t="s">
        <v>1687</v>
      </c>
      <c r="R484" s="1" t="s">
        <v>1780</v>
      </c>
      <c r="S484" s="3">
        <v>3</v>
      </c>
      <c r="T484" s="1" t="s">
        <v>36</v>
      </c>
      <c r="U484" s="3">
        <v>201</v>
      </c>
      <c r="V484" s="1" t="s">
        <v>62</v>
      </c>
      <c r="W484" s="5">
        <f>Table1[[#This Row],[Quantity]]*Table1[[#This Row],[Price]]*(1-Table1[[#This Row],[Discount %]]/100)</f>
        <v>143077.6</v>
      </c>
      <c r="X484">
        <f>Table1[[#This Row],[DeliveryDate]]-Table1[[#This Row],[OrderDate]]</f>
        <v>9</v>
      </c>
      <c r="Y484" t="str">
        <f>TEXT(Table1[[#This Row],[OrderDate]],"MMMM")</f>
        <v>July</v>
      </c>
      <c r="Z484" s="5">
        <f>YEAR(Table1[[#This Row],[OrderDate]])</f>
        <v>2024</v>
      </c>
    </row>
    <row r="485" spans="1:26" x14ac:dyDescent="0.3">
      <c r="A485" s="1" t="s">
        <v>1781</v>
      </c>
      <c r="B485" t="s">
        <v>113</v>
      </c>
      <c r="C485" s="3">
        <v>26</v>
      </c>
      <c r="D485" s="1" t="s">
        <v>24</v>
      </c>
      <c r="E485" s="1" t="s">
        <v>99</v>
      </c>
      <c r="F485" s="1" t="s">
        <v>65</v>
      </c>
      <c r="G485" s="4">
        <v>45303</v>
      </c>
      <c r="H485" s="4">
        <v>45312</v>
      </c>
      <c r="I485" s="1" t="s">
        <v>93</v>
      </c>
      <c r="J485" s="1" t="s">
        <v>44</v>
      </c>
      <c r="K485" s="3">
        <v>4</v>
      </c>
      <c r="L485" s="2">
        <v>42055</v>
      </c>
      <c r="M485" s="3">
        <v>0</v>
      </c>
      <c r="N485" s="1" t="s">
        <v>45</v>
      </c>
      <c r="O485" s="1" t="s">
        <v>109</v>
      </c>
      <c r="P485" s="1" t="s">
        <v>69</v>
      </c>
      <c r="Q485" s="1" t="s">
        <v>116</v>
      </c>
      <c r="R485" s="1" t="s">
        <v>3415</v>
      </c>
      <c r="S485" s="3">
        <v>3</v>
      </c>
      <c r="T485" s="1" t="s">
        <v>72</v>
      </c>
      <c r="U485" s="3">
        <v>432</v>
      </c>
      <c r="V485" s="1" t="s">
        <v>79</v>
      </c>
      <c r="W485" s="5">
        <f>Table1[[#This Row],[Quantity]]*Table1[[#This Row],[Price]]*(1-Table1[[#This Row],[Discount %]]/100)</f>
        <v>168220</v>
      </c>
      <c r="X485">
        <f>Table1[[#This Row],[DeliveryDate]]-Table1[[#This Row],[OrderDate]]</f>
        <v>9</v>
      </c>
      <c r="Y485" t="str">
        <f>TEXT(Table1[[#This Row],[OrderDate]],"MMMM")</f>
        <v>January</v>
      </c>
      <c r="Z485" s="5">
        <f>YEAR(Table1[[#This Row],[OrderDate]])</f>
        <v>2024</v>
      </c>
    </row>
    <row r="486" spans="1:26" x14ac:dyDescent="0.3">
      <c r="A486" s="1" t="s">
        <v>1783</v>
      </c>
      <c r="B486" t="s">
        <v>611</v>
      </c>
      <c r="C486" s="3">
        <v>53</v>
      </c>
      <c r="D486" s="1" t="s">
        <v>51</v>
      </c>
      <c r="E486" s="1" t="s">
        <v>142</v>
      </c>
      <c r="F486" s="1" t="s">
        <v>53</v>
      </c>
      <c r="G486" s="4">
        <v>45153</v>
      </c>
      <c r="H486" s="4">
        <v>45154</v>
      </c>
      <c r="I486" s="1" t="s">
        <v>43</v>
      </c>
      <c r="J486" s="1" t="s">
        <v>30</v>
      </c>
      <c r="K486" s="3">
        <v>3</v>
      </c>
      <c r="L486" s="2">
        <v>54549</v>
      </c>
      <c r="M486" s="3">
        <v>5</v>
      </c>
      <c r="N486" s="1" t="s">
        <v>56</v>
      </c>
      <c r="O486" s="1" t="s">
        <v>173</v>
      </c>
      <c r="P486" s="1" t="s">
        <v>58</v>
      </c>
      <c r="Q486" s="1" t="s">
        <v>614</v>
      </c>
      <c r="R486" s="1" t="s">
        <v>1784</v>
      </c>
      <c r="S486" s="3">
        <v>1</v>
      </c>
      <c r="T486" s="1" t="s">
        <v>96</v>
      </c>
      <c r="U486" s="3">
        <v>391</v>
      </c>
      <c r="V486" s="1" t="s">
        <v>37</v>
      </c>
      <c r="W486" s="5">
        <f>Table1[[#This Row],[Quantity]]*Table1[[#This Row],[Price]]*(1-Table1[[#This Row],[Discount %]]/100)</f>
        <v>155464.65</v>
      </c>
      <c r="X486">
        <f>Table1[[#This Row],[DeliveryDate]]-Table1[[#This Row],[OrderDate]]</f>
        <v>1</v>
      </c>
      <c r="Y486" t="str">
        <f>TEXT(Table1[[#This Row],[OrderDate]],"MMMM")</f>
        <v>August</v>
      </c>
      <c r="Z486" s="5">
        <f>YEAR(Table1[[#This Row],[OrderDate]])</f>
        <v>2023</v>
      </c>
    </row>
    <row r="487" spans="1:26" x14ac:dyDescent="0.3">
      <c r="A487" s="1" t="s">
        <v>1785</v>
      </c>
      <c r="B487" t="s">
        <v>397</v>
      </c>
      <c r="C487" s="3">
        <v>22</v>
      </c>
      <c r="D487" s="1" t="s">
        <v>51</v>
      </c>
      <c r="E487" s="1" t="s">
        <v>40</v>
      </c>
      <c r="F487" s="1" t="s">
        <v>26</v>
      </c>
      <c r="G487" s="4">
        <v>45622</v>
      </c>
      <c r="H487" s="4">
        <v>45628</v>
      </c>
      <c r="I487" s="1" t="s">
        <v>77</v>
      </c>
      <c r="J487" s="1" t="s">
        <v>30</v>
      </c>
      <c r="K487" s="3">
        <v>2</v>
      </c>
      <c r="L487" s="2">
        <v>55556</v>
      </c>
      <c r="M487" s="3">
        <v>10</v>
      </c>
      <c r="N487" s="1" t="s">
        <v>56</v>
      </c>
      <c r="O487" s="1" t="s">
        <v>133</v>
      </c>
      <c r="P487" s="1" t="s">
        <v>33</v>
      </c>
      <c r="Q487" s="1" t="s">
        <v>400</v>
      </c>
      <c r="R487" s="1" t="s">
        <v>1787</v>
      </c>
      <c r="S487" s="3">
        <v>4</v>
      </c>
      <c r="T487" s="1" t="s">
        <v>72</v>
      </c>
      <c r="U487" s="3">
        <v>452</v>
      </c>
      <c r="V487" s="1" t="s">
        <v>37</v>
      </c>
      <c r="W487" s="5">
        <f>Table1[[#This Row],[Quantity]]*Table1[[#This Row],[Price]]*(1-Table1[[#This Row],[Discount %]]/100)</f>
        <v>100000.8</v>
      </c>
      <c r="X487">
        <f>Table1[[#This Row],[DeliveryDate]]-Table1[[#This Row],[OrderDate]]</f>
        <v>6</v>
      </c>
      <c r="Y487" t="str">
        <f>TEXT(Table1[[#This Row],[OrderDate]],"MMMM")</f>
        <v>November</v>
      </c>
      <c r="Z487" s="5">
        <f>YEAR(Table1[[#This Row],[OrderDate]])</f>
        <v>2024</v>
      </c>
    </row>
    <row r="488" spans="1:26" x14ac:dyDescent="0.3">
      <c r="A488" s="1" t="s">
        <v>1788</v>
      </c>
      <c r="B488" t="s">
        <v>2016</v>
      </c>
      <c r="C488" s="3">
        <v>37</v>
      </c>
      <c r="D488" s="1" t="s">
        <v>51</v>
      </c>
      <c r="E488" s="1" t="s">
        <v>26</v>
      </c>
      <c r="F488" s="1" t="s">
        <v>82</v>
      </c>
      <c r="G488" s="4">
        <v>45518</v>
      </c>
      <c r="H488" s="4">
        <v>45527</v>
      </c>
      <c r="I488" s="1" t="s">
        <v>43</v>
      </c>
      <c r="J488" s="1" t="s">
        <v>44</v>
      </c>
      <c r="K488" s="3">
        <v>3</v>
      </c>
      <c r="L488" s="2">
        <v>22407</v>
      </c>
      <c r="M488" s="3">
        <v>10</v>
      </c>
      <c r="N488" s="1" t="s">
        <v>56</v>
      </c>
      <c r="O488" s="1" t="s">
        <v>68</v>
      </c>
      <c r="P488" s="1" t="s">
        <v>69</v>
      </c>
      <c r="Q488" s="1" t="s">
        <v>1792</v>
      </c>
      <c r="R488" s="1" t="s">
        <v>1793</v>
      </c>
      <c r="S488" s="3">
        <v>4</v>
      </c>
      <c r="T488" s="1" t="s">
        <v>96</v>
      </c>
      <c r="U488" s="3">
        <v>236</v>
      </c>
      <c r="V488" s="1" t="s">
        <v>37</v>
      </c>
      <c r="W488" s="5">
        <f>Table1[[#This Row],[Quantity]]*Table1[[#This Row],[Price]]*(1-Table1[[#This Row],[Discount %]]/100)</f>
        <v>60498.9</v>
      </c>
      <c r="X488">
        <f>Table1[[#This Row],[DeliveryDate]]-Table1[[#This Row],[OrderDate]]</f>
        <v>9</v>
      </c>
      <c r="Y488" t="str">
        <f>TEXT(Table1[[#This Row],[OrderDate]],"MMMM")</f>
        <v>August</v>
      </c>
      <c r="Z488" s="5">
        <f>YEAR(Table1[[#This Row],[OrderDate]])</f>
        <v>2024</v>
      </c>
    </row>
    <row r="489" spans="1:26" x14ac:dyDescent="0.3">
      <c r="A489" s="1" t="s">
        <v>1794</v>
      </c>
      <c r="B489" t="s">
        <v>119</v>
      </c>
      <c r="C489" s="3">
        <v>49</v>
      </c>
      <c r="D489" s="1" t="s">
        <v>51</v>
      </c>
      <c r="E489" s="1" t="s">
        <v>142</v>
      </c>
      <c r="F489" s="1" t="s">
        <v>53</v>
      </c>
      <c r="G489" s="4">
        <v>45158</v>
      </c>
      <c r="H489" s="4">
        <v>45162</v>
      </c>
      <c r="I489" s="1" t="s">
        <v>93</v>
      </c>
      <c r="J489" s="1" t="s">
        <v>30</v>
      </c>
      <c r="K489" s="3">
        <v>2</v>
      </c>
      <c r="L489" s="2">
        <v>63500</v>
      </c>
      <c r="M489" s="3">
        <v>10</v>
      </c>
      <c r="N489" s="1" t="s">
        <v>56</v>
      </c>
      <c r="O489" s="1" t="s">
        <v>86</v>
      </c>
      <c r="P489" s="1" t="s">
        <v>174</v>
      </c>
      <c r="Q489" s="1" t="s">
        <v>122</v>
      </c>
      <c r="R489" s="1" t="s">
        <v>3415</v>
      </c>
      <c r="S489" s="3">
        <v>5</v>
      </c>
      <c r="T489" s="1" t="s">
        <v>36</v>
      </c>
      <c r="U489" s="3">
        <v>154</v>
      </c>
      <c r="V489" s="1" t="s">
        <v>79</v>
      </c>
      <c r="W489" s="5">
        <f>Table1[[#This Row],[Quantity]]*Table1[[#This Row],[Price]]*(1-Table1[[#This Row],[Discount %]]/100)</f>
        <v>114300</v>
      </c>
      <c r="X489">
        <f>Table1[[#This Row],[DeliveryDate]]-Table1[[#This Row],[OrderDate]]</f>
        <v>4</v>
      </c>
      <c r="Y489" t="str">
        <f>TEXT(Table1[[#This Row],[OrderDate]],"MMMM")</f>
        <v>August</v>
      </c>
      <c r="Z489" s="5">
        <f>YEAR(Table1[[#This Row],[OrderDate]])</f>
        <v>2023</v>
      </c>
    </row>
    <row r="490" spans="1:26" x14ac:dyDescent="0.3">
      <c r="A490" s="1" t="s">
        <v>1796</v>
      </c>
      <c r="B490" t="s">
        <v>484</v>
      </c>
      <c r="C490" s="3">
        <v>48</v>
      </c>
      <c r="D490" s="1" t="s">
        <v>51</v>
      </c>
      <c r="E490" s="1" t="s">
        <v>229</v>
      </c>
      <c r="F490" s="1" t="s">
        <v>91</v>
      </c>
      <c r="G490" s="4">
        <v>45508</v>
      </c>
      <c r="H490" s="4">
        <v>45517</v>
      </c>
      <c r="I490" s="1" t="s">
        <v>108</v>
      </c>
      <c r="J490" s="1" t="s">
        <v>44</v>
      </c>
      <c r="K490" s="3">
        <v>2</v>
      </c>
      <c r="L490" s="2">
        <v>42109.716287215415</v>
      </c>
      <c r="M490" s="3">
        <v>15</v>
      </c>
      <c r="N490" s="1" t="s">
        <v>31</v>
      </c>
      <c r="O490" s="1" t="s">
        <v>173</v>
      </c>
      <c r="P490" s="1" t="s">
        <v>174</v>
      </c>
      <c r="Q490" s="1" t="s">
        <v>487</v>
      </c>
      <c r="R490" s="1" t="s">
        <v>1797</v>
      </c>
      <c r="S490" s="3">
        <v>4</v>
      </c>
      <c r="T490" s="1" t="s">
        <v>72</v>
      </c>
      <c r="U490" s="3">
        <v>494</v>
      </c>
      <c r="V490" s="1" t="s">
        <v>62</v>
      </c>
      <c r="W490" s="5">
        <f>Table1[[#This Row],[Quantity]]*Table1[[#This Row],[Price]]*(1-Table1[[#This Row],[Discount %]]/100)</f>
        <v>71586.517688266205</v>
      </c>
      <c r="X490">
        <f>Table1[[#This Row],[DeliveryDate]]-Table1[[#This Row],[OrderDate]]</f>
        <v>9</v>
      </c>
      <c r="Y490" t="str">
        <f>TEXT(Table1[[#This Row],[OrderDate]],"MMMM")</f>
        <v>August</v>
      </c>
      <c r="Z490" s="5">
        <f>YEAR(Table1[[#This Row],[OrderDate]])</f>
        <v>2024</v>
      </c>
    </row>
    <row r="491" spans="1:26" x14ac:dyDescent="0.3">
      <c r="A491" s="1" t="s">
        <v>1798</v>
      </c>
      <c r="B491" t="s">
        <v>684</v>
      </c>
      <c r="C491" s="3">
        <v>19</v>
      </c>
      <c r="D491" s="1" t="s">
        <v>24</v>
      </c>
      <c r="E491" s="1" t="s">
        <v>25</v>
      </c>
      <c r="F491" s="1" t="s">
        <v>65</v>
      </c>
      <c r="G491" s="4">
        <v>45031</v>
      </c>
      <c r="H491" s="4">
        <v>45036</v>
      </c>
      <c r="I491" s="1" t="s">
        <v>43</v>
      </c>
      <c r="J491" s="1" t="s">
        <v>30</v>
      </c>
      <c r="K491" s="3">
        <v>1</v>
      </c>
      <c r="L491" s="2">
        <v>65125</v>
      </c>
      <c r="M491" s="3">
        <v>15</v>
      </c>
      <c r="N491" s="1" t="s">
        <v>166</v>
      </c>
      <c r="O491" s="1" t="s">
        <v>46</v>
      </c>
      <c r="P491" s="1" t="s">
        <v>174</v>
      </c>
      <c r="Q491" s="1" t="s">
        <v>785</v>
      </c>
      <c r="R491" s="1" t="s">
        <v>1800</v>
      </c>
      <c r="S491" s="3">
        <v>5</v>
      </c>
      <c r="T491" s="1" t="s">
        <v>72</v>
      </c>
      <c r="U491" s="3">
        <v>107</v>
      </c>
      <c r="V491" s="1" t="s">
        <v>62</v>
      </c>
      <c r="W491" s="5">
        <f>Table1[[#This Row],[Quantity]]*Table1[[#This Row],[Price]]*(1-Table1[[#This Row],[Discount %]]/100)</f>
        <v>55356.25</v>
      </c>
      <c r="X491">
        <f>Table1[[#This Row],[DeliveryDate]]-Table1[[#This Row],[OrderDate]]</f>
        <v>5</v>
      </c>
      <c r="Y491" t="str">
        <f>TEXT(Table1[[#This Row],[OrderDate]],"MMMM")</f>
        <v>April</v>
      </c>
      <c r="Z491" s="5">
        <f>YEAR(Table1[[#This Row],[OrderDate]])</f>
        <v>2023</v>
      </c>
    </row>
    <row r="492" spans="1:26" x14ac:dyDescent="0.3">
      <c r="A492" s="1" t="s">
        <v>1801</v>
      </c>
      <c r="B492" t="s">
        <v>684</v>
      </c>
      <c r="C492" s="3">
        <v>23</v>
      </c>
      <c r="D492" s="1" t="s">
        <v>24</v>
      </c>
      <c r="E492" s="1" t="s">
        <v>26</v>
      </c>
      <c r="F492" s="1" t="s">
        <v>91</v>
      </c>
      <c r="G492" s="4">
        <v>45185</v>
      </c>
      <c r="H492" s="4">
        <v>45195</v>
      </c>
      <c r="I492" s="1" t="s">
        <v>85</v>
      </c>
      <c r="J492" s="1" t="s">
        <v>44</v>
      </c>
      <c r="K492" s="3">
        <v>3</v>
      </c>
      <c r="L492" s="2">
        <v>31408</v>
      </c>
      <c r="M492" s="3">
        <v>0</v>
      </c>
      <c r="N492" s="1" t="s">
        <v>56</v>
      </c>
      <c r="O492" s="1" t="s">
        <v>46</v>
      </c>
      <c r="P492" s="1" t="s">
        <v>174</v>
      </c>
      <c r="Q492" s="1" t="s">
        <v>785</v>
      </c>
      <c r="R492" s="1" t="s">
        <v>1802</v>
      </c>
      <c r="S492" s="3">
        <v>5</v>
      </c>
      <c r="T492" s="1" t="s">
        <v>61</v>
      </c>
      <c r="U492" s="3">
        <v>313</v>
      </c>
      <c r="V492" s="1" t="s">
        <v>79</v>
      </c>
      <c r="W492" s="5">
        <f>Table1[[#This Row],[Quantity]]*Table1[[#This Row],[Price]]*(1-Table1[[#This Row],[Discount %]]/100)</f>
        <v>94224</v>
      </c>
      <c r="X492">
        <f>Table1[[#This Row],[DeliveryDate]]-Table1[[#This Row],[OrderDate]]</f>
        <v>10</v>
      </c>
      <c r="Y492" t="str">
        <f>TEXT(Table1[[#This Row],[OrderDate]],"MMMM")</f>
        <v>September</v>
      </c>
      <c r="Z492" s="5">
        <f>YEAR(Table1[[#This Row],[OrderDate]])</f>
        <v>2023</v>
      </c>
    </row>
    <row r="493" spans="1:26" x14ac:dyDescent="0.3">
      <c r="A493" s="1" t="s">
        <v>1803</v>
      </c>
      <c r="B493" t="s">
        <v>570</v>
      </c>
      <c r="C493" s="3">
        <v>49</v>
      </c>
      <c r="D493" s="1" t="s">
        <v>51</v>
      </c>
      <c r="E493" s="1" t="s">
        <v>26</v>
      </c>
      <c r="F493" s="1" t="s">
        <v>53</v>
      </c>
      <c r="G493" s="4">
        <v>45305</v>
      </c>
      <c r="H493" s="4">
        <v>45306</v>
      </c>
      <c r="I493" s="1" t="s">
        <v>93</v>
      </c>
      <c r="J493" s="1" t="s">
        <v>44</v>
      </c>
      <c r="K493" s="3">
        <v>2</v>
      </c>
      <c r="L493" s="2">
        <v>24972</v>
      </c>
      <c r="M493" s="3">
        <v>10</v>
      </c>
      <c r="N493" s="1" t="s">
        <v>56</v>
      </c>
      <c r="O493" s="1" t="s">
        <v>32</v>
      </c>
      <c r="P493" s="1" t="s">
        <v>33</v>
      </c>
      <c r="Q493" s="1" t="s">
        <v>3415</v>
      </c>
      <c r="R493" s="1" t="s">
        <v>1805</v>
      </c>
      <c r="S493" s="3">
        <v>1</v>
      </c>
      <c r="T493" s="1" t="s">
        <v>61</v>
      </c>
      <c r="U493" s="3">
        <v>291</v>
      </c>
      <c r="V493" s="1" t="s">
        <v>62</v>
      </c>
      <c r="W493" s="5">
        <f>Table1[[#This Row],[Quantity]]*Table1[[#This Row],[Price]]*(1-Table1[[#This Row],[Discount %]]/100)</f>
        <v>44949.599999999999</v>
      </c>
      <c r="X493">
        <f>Table1[[#This Row],[DeliveryDate]]-Table1[[#This Row],[OrderDate]]</f>
        <v>1</v>
      </c>
      <c r="Y493" t="str">
        <f>TEXT(Table1[[#This Row],[OrderDate]],"MMMM")</f>
        <v>January</v>
      </c>
      <c r="Z493" s="5">
        <f>YEAR(Table1[[#This Row],[OrderDate]])</f>
        <v>2024</v>
      </c>
    </row>
    <row r="494" spans="1:26" x14ac:dyDescent="0.3">
      <c r="A494" s="1" t="s">
        <v>1806</v>
      </c>
      <c r="B494" t="s">
        <v>119</v>
      </c>
      <c r="C494" s="3">
        <v>33</v>
      </c>
      <c r="D494" s="1" t="s">
        <v>51</v>
      </c>
      <c r="E494" s="1" t="s">
        <v>131</v>
      </c>
      <c r="F494" s="1" t="s">
        <v>65</v>
      </c>
      <c r="G494" s="4">
        <v>45436</v>
      </c>
      <c r="H494" s="4">
        <v>45446</v>
      </c>
      <c r="I494" s="1" t="s">
        <v>108</v>
      </c>
      <c r="J494" s="1" t="s">
        <v>30</v>
      </c>
      <c r="K494" s="3">
        <v>4</v>
      </c>
      <c r="L494" s="2">
        <v>6821</v>
      </c>
      <c r="M494" s="3">
        <v>5</v>
      </c>
      <c r="N494" s="1" t="s">
        <v>45</v>
      </c>
      <c r="O494" s="1" t="s">
        <v>57</v>
      </c>
      <c r="P494" s="1" t="s">
        <v>174</v>
      </c>
      <c r="Q494" s="1" t="s">
        <v>3415</v>
      </c>
      <c r="R494" s="1" t="s">
        <v>1807</v>
      </c>
      <c r="S494" s="3">
        <v>1</v>
      </c>
      <c r="T494" s="1" t="s">
        <v>96</v>
      </c>
      <c r="U494" s="3">
        <v>292</v>
      </c>
      <c r="V494" s="1" t="s">
        <v>62</v>
      </c>
      <c r="W494" s="5">
        <f>Table1[[#This Row],[Quantity]]*Table1[[#This Row],[Price]]*(1-Table1[[#This Row],[Discount %]]/100)</f>
        <v>25919.8</v>
      </c>
      <c r="X494">
        <f>Table1[[#This Row],[DeliveryDate]]-Table1[[#This Row],[OrderDate]]</f>
        <v>10</v>
      </c>
      <c r="Y494" t="str">
        <f>TEXT(Table1[[#This Row],[OrderDate]],"MMMM")</f>
        <v>May</v>
      </c>
      <c r="Z494" s="5">
        <f>YEAR(Table1[[#This Row],[OrderDate]])</f>
        <v>2024</v>
      </c>
    </row>
    <row r="495" spans="1:26" x14ac:dyDescent="0.3">
      <c r="A495" s="1" t="s">
        <v>1808</v>
      </c>
      <c r="B495" t="s">
        <v>309</v>
      </c>
      <c r="C495" s="3">
        <v>42</v>
      </c>
      <c r="D495" s="1" t="s">
        <v>24</v>
      </c>
      <c r="E495" s="1" t="s">
        <v>131</v>
      </c>
      <c r="F495" s="1" t="s">
        <v>65</v>
      </c>
      <c r="G495" s="4">
        <v>45528</v>
      </c>
      <c r="H495" s="4">
        <v>45537</v>
      </c>
      <c r="I495" s="1" t="s">
        <v>85</v>
      </c>
      <c r="J495" s="1" t="s">
        <v>30</v>
      </c>
      <c r="K495" s="3">
        <v>2</v>
      </c>
      <c r="L495" s="2">
        <v>24014</v>
      </c>
      <c r="M495" s="3">
        <v>10</v>
      </c>
      <c r="N495" s="1" t="s">
        <v>56</v>
      </c>
      <c r="O495" s="1" t="s">
        <v>32</v>
      </c>
      <c r="P495" s="1" t="s">
        <v>174</v>
      </c>
      <c r="Q495" s="1" t="s">
        <v>312</v>
      </c>
      <c r="R495" s="1" t="s">
        <v>1809</v>
      </c>
      <c r="S495" s="3">
        <v>2</v>
      </c>
      <c r="T495" s="1" t="s">
        <v>61</v>
      </c>
      <c r="U495" s="3">
        <v>353</v>
      </c>
      <c r="V495" s="1" t="s">
        <v>79</v>
      </c>
      <c r="W495" s="5">
        <f>Table1[[#This Row],[Quantity]]*Table1[[#This Row],[Price]]*(1-Table1[[#This Row],[Discount %]]/100)</f>
        <v>43225.200000000004</v>
      </c>
      <c r="X495">
        <f>Table1[[#This Row],[DeliveryDate]]-Table1[[#This Row],[OrderDate]]</f>
        <v>9</v>
      </c>
      <c r="Y495" t="str">
        <f>TEXT(Table1[[#This Row],[OrderDate]],"MMMM")</f>
        <v>August</v>
      </c>
      <c r="Z495" s="5">
        <f>YEAR(Table1[[#This Row],[OrderDate]])</f>
        <v>2024</v>
      </c>
    </row>
    <row r="496" spans="1:26" x14ac:dyDescent="0.3">
      <c r="A496" s="1" t="s">
        <v>1810</v>
      </c>
      <c r="B496" t="s">
        <v>285</v>
      </c>
      <c r="C496" s="3">
        <v>27</v>
      </c>
      <c r="D496" s="1" t="s">
        <v>24</v>
      </c>
      <c r="E496" s="1" t="s">
        <v>52</v>
      </c>
      <c r="F496" s="1" t="s">
        <v>53</v>
      </c>
      <c r="G496" s="4">
        <v>44952</v>
      </c>
      <c r="H496" s="4">
        <v>44953</v>
      </c>
      <c r="I496" s="1" t="s">
        <v>108</v>
      </c>
      <c r="J496" s="1" t="s">
        <v>30</v>
      </c>
      <c r="K496" s="3">
        <v>3</v>
      </c>
      <c r="L496" s="2">
        <v>56384</v>
      </c>
      <c r="M496" s="3">
        <v>5</v>
      </c>
      <c r="N496" s="1" t="s">
        <v>166</v>
      </c>
      <c r="O496" s="1" t="s">
        <v>109</v>
      </c>
      <c r="P496" s="1" t="s">
        <v>174</v>
      </c>
      <c r="Q496" s="1" t="s">
        <v>3415</v>
      </c>
      <c r="R496" s="1" t="s">
        <v>1811</v>
      </c>
      <c r="S496" s="3">
        <v>5</v>
      </c>
      <c r="T496" s="1" t="s">
        <v>72</v>
      </c>
      <c r="U496" s="3">
        <v>484</v>
      </c>
      <c r="V496" s="1" t="s">
        <v>79</v>
      </c>
      <c r="W496" s="5">
        <f>Table1[[#This Row],[Quantity]]*Table1[[#This Row],[Price]]*(1-Table1[[#This Row],[Discount %]]/100)</f>
        <v>160694.39999999999</v>
      </c>
      <c r="X496">
        <f>Table1[[#This Row],[DeliveryDate]]-Table1[[#This Row],[OrderDate]]</f>
        <v>1</v>
      </c>
      <c r="Y496" t="str">
        <f>TEXT(Table1[[#This Row],[OrderDate]],"MMMM")</f>
        <v>January</v>
      </c>
      <c r="Z496" s="5">
        <f>YEAR(Table1[[#This Row],[OrderDate]])</f>
        <v>2023</v>
      </c>
    </row>
    <row r="497" spans="1:26" x14ac:dyDescent="0.3">
      <c r="A497" s="1" t="s">
        <v>1812</v>
      </c>
      <c r="B497" t="s">
        <v>476</v>
      </c>
      <c r="C497" s="3">
        <v>25</v>
      </c>
      <c r="D497" s="1" t="s">
        <v>51</v>
      </c>
      <c r="E497" s="1" t="s">
        <v>40</v>
      </c>
      <c r="F497" s="1" t="s">
        <v>65</v>
      </c>
      <c r="G497" s="4">
        <v>44996</v>
      </c>
      <c r="H497" s="4">
        <v>44998</v>
      </c>
      <c r="I497" s="1" t="s">
        <v>29</v>
      </c>
      <c r="J497" s="1" t="s">
        <v>30</v>
      </c>
      <c r="K497" s="3">
        <v>2</v>
      </c>
      <c r="L497" s="2">
        <v>13507</v>
      </c>
      <c r="M497" s="3">
        <v>15</v>
      </c>
      <c r="N497" s="1" t="s">
        <v>45</v>
      </c>
      <c r="O497" s="1" t="s">
        <v>173</v>
      </c>
      <c r="P497" s="1" t="s">
        <v>174</v>
      </c>
      <c r="Q497" s="1" t="s">
        <v>478</v>
      </c>
      <c r="R497" s="1" t="s">
        <v>1814</v>
      </c>
      <c r="S497" s="3">
        <v>4</v>
      </c>
      <c r="T497" s="1" t="s">
        <v>61</v>
      </c>
      <c r="U497" s="3">
        <v>407</v>
      </c>
      <c r="V497" s="1" t="s">
        <v>79</v>
      </c>
      <c r="W497" s="5">
        <f>Table1[[#This Row],[Quantity]]*Table1[[#This Row],[Price]]*(1-Table1[[#This Row],[Discount %]]/100)</f>
        <v>22961.899999999998</v>
      </c>
      <c r="X497">
        <f>Table1[[#This Row],[DeliveryDate]]-Table1[[#This Row],[OrderDate]]</f>
        <v>2</v>
      </c>
      <c r="Y497" t="str">
        <f>TEXT(Table1[[#This Row],[OrderDate]],"MMMM")</f>
        <v>March</v>
      </c>
      <c r="Z497" s="5">
        <f>YEAR(Table1[[#This Row],[OrderDate]])</f>
        <v>2023</v>
      </c>
    </row>
    <row r="498" spans="1:26" x14ac:dyDescent="0.3">
      <c r="A498" s="1" t="s">
        <v>1815</v>
      </c>
      <c r="B498" t="s">
        <v>130</v>
      </c>
      <c r="C498" s="3">
        <v>47</v>
      </c>
      <c r="D498" s="1" t="s">
        <v>24</v>
      </c>
      <c r="E498" s="1" t="s">
        <v>26</v>
      </c>
      <c r="F498" s="1" t="s">
        <v>65</v>
      </c>
      <c r="G498" s="4">
        <v>45406</v>
      </c>
      <c r="H498" s="4">
        <v>45416</v>
      </c>
      <c r="I498" s="1" t="s">
        <v>93</v>
      </c>
      <c r="J498" s="1" t="s">
        <v>30</v>
      </c>
      <c r="K498" s="3">
        <v>4</v>
      </c>
      <c r="L498" s="2">
        <v>12509</v>
      </c>
      <c r="M498" s="3">
        <v>0</v>
      </c>
      <c r="N498" s="1" t="s">
        <v>56</v>
      </c>
      <c r="O498" s="1" t="s">
        <v>281</v>
      </c>
      <c r="P498" s="1" t="s">
        <v>174</v>
      </c>
      <c r="Q498" s="1" t="s">
        <v>1355</v>
      </c>
      <c r="R498" s="1" t="s">
        <v>1818</v>
      </c>
      <c r="S498" s="3">
        <v>4</v>
      </c>
      <c r="T498" s="1" t="s">
        <v>36</v>
      </c>
      <c r="U498" s="3">
        <v>59</v>
      </c>
      <c r="V498" s="1" t="s">
        <v>79</v>
      </c>
      <c r="W498" s="5">
        <f>Table1[[#This Row],[Quantity]]*Table1[[#This Row],[Price]]*(1-Table1[[#This Row],[Discount %]]/100)</f>
        <v>50036</v>
      </c>
      <c r="X498">
        <f>Table1[[#This Row],[DeliveryDate]]-Table1[[#This Row],[OrderDate]]</f>
        <v>10</v>
      </c>
      <c r="Y498" t="str">
        <f>TEXT(Table1[[#This Row],[OrderDate]],"MMMM")</f>
        <v>April</v>
      </c>
      <c r="Z498" s="5">
        <f>YEAR(Table1[[#This Row],[OrderDate]])</f>
        <v>2024</v>
      </c>
    </row>
    <row r="499" spans="1:26" x14ac:dyDescent="0.3">
      <c r="A499" s="1" t="s">
        <v>1819</v>
      </c>
      <c r="B499" t="s">
        <v>707</v>
      </c>
      <c r="C499" s="3">
        <v>55</v>
      </c>
      <c r="D499" s="1" t="s">
        <v>51</v>
      </c>
      <c r="E499" s="1" t="s">
        <v>229</v>
      </c>
      <c r="F499" s="1" t="s">
        <v>65</v>
      </c>
      <c r="G499" s="4">
        <v>45538</v>
      </c>
      <c r="H499" s="4">
        <v>45541</v>
      </c>
      <c r="I499" s="1" t="s">
        <v>93</v>
      </c>
      <c r="J499" s="1" t="s">
        <v>44</v>
      </c>
      <c r="K499" s="3">
        <v>3</v>
      </c>
      <c r="L499" s="2">
        <v>74858</v>
      </c>
      <c r="M499" s="3">
        <v>10</v>
      </c>
      <c r="N499" s="1" t="s">
        <v>31</v>
      </c>
      <c r="O499" s="1" t="s">
        <v>133</v>
      </c>
      <c r="P499" s="1" t="s">
        <v>174</v>
      </c>
      <c r="Q499" s="1" t="s">
        <v>709</v>
      </c>
      <c r="R499" s="1" t="s">
        <v>1821</v>
      </c>
      <c r="S499" s="3">
        <v>2</v>
      </c>
      <c r="T499" s="1" t="s">
        <v>61</v>
      </c>
      <c r="U499" s="3">
        <v>109</v>
      </c>
      <c r="V499" s="1" t="s">
        <v>37</v>
      </c>
      <c r="W499" s="5">
        <f>Table1[[#This Row],[Quantity]]*Table1[[#This Row],[Price]]*(1-Table1[[#This Row],[Discount %]]/100)</f>
        <v>202116.6</v>
      </c>
      <c r="X499">
        <f>Table1[[#This Row],[DeliveryDate]]-Table1[[#This Row],[OrderDate]]</f>
        <v>3</v>
      </c>
      <c r="Y499" t="str">
        <f>TEXT(Table1[[#This Row],[OrderDate]],"MMMM")</f>
        <v>September</v>
      </c>
      <c r="Z499" s="5">
        <f>YEAR(Table1[[#This Row],[OrderDate]])</f>
        <v>2024</v>
      </c>
    </row>
    <row r="500" spans="1:26" x14ac:dyDescent="0.3">
      <c r="A500" s="1" t="s">
        <v>1822</v>
      </c>
      <c r="B500" t="s">
        <v>702</v>
      </c>
      <c r="C500" s="3">
        <v>45</v>
      </c>
      <c r="D500" s="1" t="s">
        <v>51</v>
      </c>
      <c r="E500" s="1" t="s">
        <v>99</v>
      </c>
      <c r="F500" s="1" t="s">
        <v>26</v>
      </c>
      <c r="G500" s="4">
        <v>45377</v>
      </c>
      <c r="H500" s="4">
        <v>45379</v>
      </c>
      <c r="I500" s="1" t="s">
        <v>29</v>
      </c>
      <c r="J500" s="1" t="s">
        <v>44</v>
      </c>
      <c r="K500" s="3">
        <v>2</v>
      </c>
      <c r="L500" s="2">
        <v>21836</v>
      </c>
      <c r="M500" s="3">
        <v>15</v>
      </c>
      <c r="N500" s="1" t="s">
        <v>45</v>
      </c>
      <c r="O500" s="1" t="s">
        <v>102</v>
      </c>
      <c r="P500" s="1" t="s">
        <v>33</v>
      </c>
      <c r="Q500" s="1" t="s">
        <v>3415</v>
      </c>
      <c r="R500" s="1" t="s">
        <v>3415</v>
      </c>
      <c r="S500" s="3">
        <v>1</v>
      </c>
      <c r="T500" s="1" t="s">
        <v>61</v>
      </c>
      <c r="U500" s="3">
        <v>189</v>
      </c>
      <c r="V500" s="1" t="s">
        <v>37</v>
      </c>
      <c r="W500" s="5">
        <f>Table1[[#This Row],[Quantity]]*Table1[[#This Row],[Price]]*(1-Table1[[#This Row],[Discount %]]/100)</f>
        <v>37121.199999999997</v>
      </c>
      <c r="X500">
        <f>Table1[[#This Row],[DeliveryDate]]-Table1[[#This Row],[OrderDate]]</f>
        <v>2</v>
      </c>
      <c r="Y500" t="str">
        <f>TEXT(Table1[[#This Row],[OrderDate]],"MMMM")</f>
        <v>March</v>
      </c>
      <c r="Z500" s="5">
        <f>YEAR(Table1[[#This Row],[OrderDate]])</f>
        <v>2024</v>
      </c>
    </row>
    <row r="501" spans="1:26" x14ac:dyDescent="0.3">
      <c r="A501" s="1" t="s">
        <v>1823</v>
      </c>
      <c r="B501" t="s">
        <v>228</v>
      </c>
      <c r="C501" s="3">
        <v>45</v>
      </c>
      <c r="D501" s="1" t="s">
        <v>51</v>
      </c>
      <c r="E501" s="1" t="s">
        <v>25</v>
      </c>
      <c r="F501" s="1" t="s">
        <v>65</v>
      </c>
      <c r="G501" s="4">
        <v>44979</v>
      </c>
      <c r="H501" s="4">
        <v>44986</v>
      </c>
      <c r="I501" s="1" t="s">
        <v>77</v>
      </c>
      <c r="J501" s="1" t="s">
        <v>30</v>
      </c>
      <c r="K501" s="3">
        <v>4</v>
      </c>
      <c r="L501" s="2">
        <v>64333</v>
      </c>
      <c r="M501" s="3">
        <v>5</v>
      </c>
      <c r="N501" s="1" t="s">
        <v>31</v>
      </c>
      <c r="O501" s="1" t="s">
        <v>133</v>
      </c>
      <c r="P501" s="1" t="s">
        <v>69</v>
      </c>
      <c r="Q501" s="1" t="s">
        <v>232</v>
      </c>
      <c r="R501" s="1" t="s">
        <v>1824</v>
      </c>
      <c r="S501" s="3">
        <v>3</v>
      </c>
      <c r="T501" s="1" t="s">
        <v>61</v>
      </c>
      <c r="U501" s="3">
        <v>81</v>
      </c>
      <c r="V501" s="1" t="s">
        <v>62</v>
      </c>
      <c r="W501" s="5">
        <f>Table1[[#This Row],[Quantity]]*Table1[[#This Row],[Price]]*(1-Table1[[#This Row],[Discount %]]/100)</f>
        <v>244465.4</v>
      </c>
      <c r="X501">
        <f>Table1[[#This Row],[DeliveryDate]]-Table1[[#This Row],[OrderDate]]</f>
        <v>7</v>
      </c>
      <c r="Y501" t="str">
        <f>TEXT(Table1[[#This Row],[OrderDate]],"MMMM")</f>
        <v>February</v>
      </c>
      <c r="Z501" s="5">
        <f>YEAR(Table1[[#This Row],[OrderDate]])</f>
        <v>2023</v>
      </c>
    </row>
    <row r="502" spans="1:26" x14ac:dyDescent="0.3">
      <c r="A502" s="1" t="s">
        <v>1825</v>
      </c>
      <c r="B502" t="s">
        <v>228</v>
      </c>
      <c r="C502" s="3">
        <v>28</v>
      </c>
      <c r="D502" s="1" t="s">
        <v>24</v>
      </c>
      <c r="E502" s="1" t="s">
        <v>52</v>
      </c>
      <c r="F502" s="1" t="s">
        <v>65</v>
      </c>
      <c r="G502" s="4">
        <v>45119</v>
      </c>
      <c r="H502" s="4">
        <v>45121</v>
      </c>
      <c r="I502" s="1" t="s">
        <v>43</v>
      </c>
      <c r="J502" s="1" t="s">
        <v>30</v>
      </c>
      <c r="K502" s="3">
        <v>2</v>
      </c>
      <c r="L502" s="2">
        <v>64192</v>
      </c>
      <c r="M502" s="3">
        <v>10</v>
      </c>
      <c r="N502" s="1" t="s">
        <v>166</v>
      </c>
      <c r="O502" s="1" t="s">
        <v>281</v>
      </c>
      <c r="P502" s="1" t="s">
        <v>58</v>
      </c>
      <c r="Q502" s="1" t="s">
        <v>232</v>
      </c>
      <c r="R502" s="1" t="s">
        <v>1826</v>
      </c>
      <c r="S502" s="3">
        <v>3</v>
      </c>
      <c r="T502" s="1" t="s">
        <v>61</v>
      </c>
      <c r="U502" s="3">
        <v>284</v>
      </c>
      <c r="V502" s="1" t="s">
        <v>37</v>
      </c>
      <c r="W502" s="5">
        <f>Table1[[#This Row],[Quantity]]*Table1[[#This Row],[Price]]*(1-Table1[[#This Row],[Discount %]]/100)</f>
        <v>115545.60000000001</v>
      </c>
      <c r="X502">
        <f>Table1[[#This Row],[DeliveryDate]]-Table1[[#This Row],[OrderDate]]</f>
        <v>2</v>
      </c>
      <c r="Y502" t="str">
        <f>TEXT(Table1[[#This Row],[OrderDate]],"MMMM")</f>
        <v>July</v>
      </c>
      <c r="Z502" s="5">
        <f>YEAR(Table1[[#This Row],[OrderDate]])</f>
        <v>2023</v>
      </c>
    </row>
    <row r="503" spans="1:26" x14ac:dyDescent="0.3">
      <c r="A503" s="1" t="s">
        <v>1827</v>
      </c>
      <c r="B503" t="s">
        <v>249</v>
      </c>
      <c r="C503" s="3">
        <v>19</v>
      </c>
      <c r="D503" s="1" t="s">
        <v>51</v>
      </c>
      <c r="E503" s="1" t="s">
        <v>99</v>
      </c>
      <c r="F503" s="1" t="s">
        <v>53</v>
      </c>
      <c r="G503" s="4">
        <v>45474</v>
      </c>
      <c r="H503" s="4">
        <v>45484</v>
      </c>
      <c r="I503" s="1" t="s">
        <v>85</v>
      </c>
      <c r="J503" s="1" t="s">
        <v>44</v>
      </c>
      <c r="K503" s="3">
        <v>1</v>
      </c>
      <c r="L503" s="2">
        <v>8425</v>
      </c>
      <c r="M503" s="3">
        <v>0</v>
      </c>
      <c r="N503" s="1" t="s">
        <v>31</v>
      </c>
      <c r="O503" s="1" t="s">
        <v>102</v>
      </c>
      <c r="P503" s="1" t="s">
        <v>69</v>
      </c>
      <c r="Q503" s="1" t="s">
        <v>252</v>
      </c>
      <c r="R503" s="1" t="s">
        <v>3415</v>
      </c>
      <c r="S503" s="3">
        <v>5</v>
      </c>
      <c r="T503" s="1" t="s">
        <v>96</v>
      </c>
      <c r="U503" s="3">
        <v>73</v>
      </c>
      <c r="V503" s="1" t="s">
        <v>37</v>
      </c>
      <c r="W503" s="5">
        <f>Table1[[#This Row],[Quantity]]*Table1[[#This Row],[Price]]*(1-Table1[[#This Row],[Discount %]]/100)</f>
        <v>8425</v>
      </c>
      <c r="X503">
        <f>Table1[[#This Row],[DeliveryDate]]-Table1[[#This Row],[OrderDate]]</f>
        <v>10</v>
      </c>
      <c r="Y503" t="str">
        <f>TEXT(Table1[[#This Row],[OrderDate]],"MMMM")</f>
        <v>July</v>
      </c>
      <c r="Z503" s="5">
        <f>YEAR(Table1[[#This Row],[OrderDate]])</f>
        <v>2024</v>
      </c>
    </row>
    <row r="504" spans="1:26" x14ac:dyDescent="0.3">
      <c r="A504" s="1" t="s">
        <v>1828</v>
      </c>
      <c r="B504" t="s">
        <v>645</v>
      </c>
      <c r="C504" s="3">
        <v>23</v>
      </c>
      <c r="D504" s="1" t="s">
        <v>24</v>
      </c>
      <c r="E504" s="1" t="s">
        <v>142</v>
      </c>
      <c r="F504" s="1" t="s">
        <v>91</v>
      </c>
      <c r="G504" s="4">
        <v>45194</v>
      </c>
      <c r="H504" s="4">
        <v>45202</v>
      </c>
      <c r="I504" s="1" t="s">
        <v>93</v>
      </c>
      <c r="J504" s="1" t="s">
        <v>30</v>
      </c>
      <c r="K504" s="3">
        <v>4</v>
      </c>
      <c r="L504" s="2">
        <v>11284</v>
      </c>
      <c r="M504" s="3">
        <v>10</v>
      </c>
      <c r="N504" s="1" t="s">
        <v>56</v>
      </c>
      <c r="O504" s="1" t="s">
        <v>32</v>
      </c>
      <c r="P504" s="1" t="s">
        <v>58</v>
      </c>
      <c r="Q504" s="1" t="s">
        <v>647</v>
      </c>
      <c r="R504" s="1" t="s">
        <v>1830</v>
      </c>
      <c r="S504" s="3">
        <v>4</v>
      </c>
      <c r="T504" s="1" t="s">
        <v>36</v>
      </c>
      <c r="U504" s="3">
        <v>121</v>
      </c>
      <c r="V504" s="1" t="s">
        <v>62</v>
      </c>
      <c r="W504" s="5">
        <f>Table1[[#This Row],[Quantity]]*Table1[[#This Row],[Price]]*(1-Table1[[#This Row],[Discount %]]/100)</f>
        <v>40622.400000000001</v>
      </c>
      <c r="X504">
        <f>Table1[[#This Row],[DeliveryDate]]-Table1[[#This Row],[OrderDate]]</f>
        <v>8</v>
      </c>
      <c r="Y504" t="str">
        <f>TEXT(Table1[[#This Row],[OrderDate]],"MMMM")</f>
        <v>September</v>
      </c>
      <c r="Z504" s="5">
        <f>YEAR(Table1[[#This Row],[OrderDate]])</f>
        <v>2023</v>
      </c>
    </row>
    <row r="505" spans="1:26" x14ac:dyDescent="0.3">
      <c r="A505" s="1" t="s">
        <v>1831</v>
      </c>
      <c r="B505" t="s">
        <v>98</v>
      </c>
      <c r="C505" s="3">
        <v>33</v>
      </c>
      <c r="D505" s="1" t="s">
        <v>51</v>
      </c>
      <c r="E505" s="1" t="s">
        <v>229</v>
      </c>
      <c r="F505" s="1" t="s">
        <v>65</v>
      </c>
      <c r="G505" s="4">
        <v>45564</v>
      </c>
      <c r="H505" s="4">
        <v>45567</v>
      </c>
      <c r="I505" s="1" t="s">
        <v>108</v>
      </c>
      <c r="J505" s="1" t="s">
        <v>30</v>
      </c>
      <c r="K505" s="3">
        <v>2</v>
      </c>
      <c r="L505" s="2">
        <v>51249</v>
      </c>
      <c r="M505" s="3">
        <v>0</v>
      </c>
      <c r="N505" s="1" t="s">
        <v>45</v>
      </c>
      <c r="O505" s="1" t="s">
        <v>281</v>
      </c>
      <c r="P505" s="1" t="s">
        <v>33</v>
      </c>
      <c r="Q505" s="1" t="s">
        <v>103</v>
      </c>
      <c r="R505" s="1" t="s">
        <v>1833</v>
      </c>
      <c r="S505" s="3">
        <v>1</v>
      </c>
      <c r="T505" s="1" t="s">
        <v>61</v>
      </c>
      <c r="U505" s="3">
        <v>399</v>
      </c>
      <c r="V505" s="1" t="s">
        <v>79</v>
      </c>
      <c r="W505" s="5">
        <f>Table1[[#This Row],[Quantity]]*Table1[[#This Row],[Price]]*(1-Table1[[#This Row],[Discount %]]/100)</f>
        <v>102498</v>
      </c>
      <c r="X505">
        <f>Table1[[#This Row],[DeliveryDate]]-Table1[[#This Row],[OrderDate]]</f>
        <v>3</v>
      </c>
      <c r="Y505" t="str">
        <f>TEXT(Table1[[#This Row],[OrderDate]],"MMMM")</f>
        <v>September</v>
      </c>
      <c r="Z505" s="5">
        <f>YEAR(Table1[[#This Row],[OrderDate]])</f>
        <v>2024</v>
      </c>
    </row>
    <row r="506" spans="1:26" x14ac:dyDescent="0.3">
      <c r="A506" s="1" t="s">
        <v>1834</v>
      </c>
      <c r="B506" t="s">
        <v>50</v>
      </c>
      <c r="C506" s="3">
        <v>58</v>
      </c>
      <c r="D506" s="1" t="s">
        <v>51</v>
      </c>
      <c r="E506" s="1" t="s">
        <v>99</v>
      </c>
      <c r="F506" s="1" t="s">
        <v>26</v>
      </c>
      <c r="G506" s="4">
        <v>45192</v>
      </c>
      <c r="H506" s="4">
        <v>45202</v>
      </c>
      <c r="I506" s="1" t="s">
        <v>85</v>
      </c>
      <c r="J506" s="1" t="s">
        <v>30</v>
      </c>
      <c r="K506" s="3">
        <v>4</v>
      </c>
      <c r="L506" s="2">
        <v>72387</v>
      </c>
      <c r="M506" s="3">
        <v>15</v>
      </c>
      <c r="N506" s="1" t="s">
        <v>45</v>
      </c>
      <c r="O506" s="1" t="s">
        <v>86</v>
      </c>
      <c r="P506" s="1" t="s">
        <v>174</v>
      </c>
      <c r="Q506" s="1" t="s">
        <v>59</v>
      </c>
      <c r="R506" s="1" t="s">
        <v>1835</v>
      </c>
      <c r="S506" s="3">
        <v>4</v>
      </c>
      <c r="T506" s="1" t="s">
        <v>36</v>
      </c>
      <c r="U506" s="3">
        <v>467</v>
      </c>
      <c r="V506" s="1" t="s">
        <v>62</v>
      </c>
      <c r="W506" s="5">
        <f>Table1[[#This Row],[Quantity]]*Table1[[#This Row],[Price]]*(1-Table1[[#This Row],[Discount %]]/100)</f>
        <v>246115.8</v>
      </c>
      <c r="X506">
        <f>Table1[[#This Row],[DeliveryDate]]-Table1[[#This Row],[OrderDate]]</f>
        <v>10</v>
      </c>
      <c r="Y506" t="str">
        <f>TEXT(Table1[[#This Row],[OrderDate]],"MMMM")</f>
        <v>September</v>
      </c>
      <c r="Z506" s="5">
        <f>YEAR(Table1[[#This Row],[OrderDate]])</f>
        <v>2023</v>
      </c>
    </row>
    <row r="507" spans="1:26" x14ac:dyDescent="0.3">
      <c r="A507" s="1" t="s">
        <v>1836</v>
      </c>
      <c r="B507" t="s">
        <v>541</v>
      </c>
      <c r="C507" s="3">
        <v>42</v>
      </c>
      <c r="D507" s="1" t="s">
        <v>51</v>
      </c>
      <c r="E507" s="1" t="s">
        <v>25</v>
      </c>
      <c r="F507" s="1" t="s">
        <v>91</v>
      </c>
      <c r="G507" s="4">
        <v>45103</v>
      </c>
      <c r="H507" s="4">
        <v>45110</v>
      </c>
      <c r="I507" s="1" t="s">
        <v>29</v>
      </c>
      <c r="J507" s="1" t="s">
        <v>30</v>
      </c>
      <c r="K507" s="3">
        <v>1</v>
      </c>
      <c r="L507" s="2">
        <v>57470</v>
      </c>
      <c r="M507" s="3">
        <v>15</v>
      </c>
      <c r="N507" s="1" t="s">
        <v>45</v>
      </c>
      <c r="O507" s="1" t="s">
        <v>57</v>
      </c>
      <c r="P507" s="1" t="s">
        <v>174</v>
      </c>
      <c r="Q507" s="1" t="s">
        <v>544</v>
      </c>
      <c r="R507" s="1" t="s">
        <v>1839</v>
      </c>
      <c r="S507" s="3">
        <v>5</v>
      </c>
      <c r="T507" s="1" t="s">
        <v>36</v>
      </c>
      <c r="U507" s="3">
        <v>299</v>
      </c>
      <c r="V507" s="1" t="s">
        <v>37</v>
      </c>
      <c r="W507" s="5">
        <f>Table1[[#This Row],[Quantity]]*Table1[[#This Row],[Price]]*(1-Table1[[#This Row],[Discount %]]/100)</f>
        <v>48849.5</v>
      </c>
      <c r="X507">
        <f>Table1[[#This Row],[DeliveryDate]]-Table1[[#This Row],[OrderDate]]</f>
        <v>7</v>
      </c>
      <c r="Y507" t="str">
        <f>TEXT(Table1[[#This Row],[OrderDate]],"MMMM")</f>
        <v>June</v>
      </c>
      <c r="Z507" s="5">
        <f>YEAR(Table1[[#This Row],[OrderDate]])</f>
        <v>2023</v>
      </c>
    </row>
    <row r="508" spans="1:26" x14ac:dyDescent="0.3">
      <c r="A508" s="1" t="s">
        <v>1840</v>
      </c>
      <c r="B508" t="s">
        <v>74</v>
      </c>
      <c r="C508" s="3">
        <v>31</v>
      </c>
      <c r="D508" s="1" t="s">
        <v>51</v>
      </c>
      <c r="E508" s="1" t="s">
        <v>25</v>
      </c>
      <c r="F508" s="1" t="s">
        <v>82</v>
      </c>
      <c r="G508" s="4">
        <v>45333</v>
      </c>
      <c r="H508" s="4">
        <v>45340</v>
      </c>
      <c r="I508" s="1" t="s">
        <v>29</v>
      </c>
      <c r="J508" s="1" t="s">
        <v>44</v>
      </c>
      <c r="K508" s="3">
        <v>2</v>
      </c>
      <c r="L508" s="2">
        <v>13328</v>
      </c>
      <c r="M508" s="3">
        <v>5</v>
      </c>
      <c r="N508" s="1" t="s">
        <v>45</v>
      </c>
      <c r="O508" s="1" t="s">
        <v>68</v>
      </c>
      <c r="P508" s="1" t="s">
        <v>69</v>
      </c>
      <c r="Q508" s="1" t="s">
        <v>78</v>
      </c>
      <c r="R508" s="1" t="s">
        <v>1842</v>
      </c>
      <c r="S508" s="3">
        <v>2</v>
      </c>
      <c r="T508" s="1" t="s">
        <v>61</v>
      </c>
      <c r="U508" s="3">
        <v>172</v>
      </c>
      <c r="V508" s="1" t="s">
        <v>62</v>
      </c>
      <c r="W508" s="5">
        <f>Table1[[#This Row],[Quantity]]*Table1[[#This Row],[Price]]*(1-Table1[[#This Row],[Discount %]]/100)</f>
        <v>25323.199999999997</v>
      </c>
      <c r="X508">
        <f>Table1[[#This Row],[DeliveryDate]]-Table1[[#This Row],[OrderDate]]</f>
        <v>7</v>
      </c>
      <c r="Y508" t="str">
        <f>TEXT(Table1[[#This Row],[OrderDate]],"MMMM")</f>
        <v>February</v>
      </c>
      <c r="Z508" s="5">
        <f>YEAR(Table1[[#This Row],[OrderDate]])</f>
        <v>2024</v>
      </c>
    </row>
    <row r="509" spans="1:26" x14ac:dyDescent="0.3">
      <c r="A509" s="1" t="s">
        <v>1843</v>
      </c>
      <c r="B509" t="s">
        <v>397</v>
      </c>
      <c r="C509" s="3">
        <v>19</v>
      </c>
      <c r="D509" s="1" t="s">
        <v>51</v>
      </c>
      <c r="E509" s="1" t="s">
        <v>142</v>
      </c>
      <c r="F509" s="1" t="s">
        <v>65</v>
      </c>
      <c r="G509" s="4">
        <v>45150</v>
      </c>
      <c r="H509" s="4">
        <v>45156</v>
      </c>
      <c r="I509" s="1" t="s">
        <v>29</v>
      </c>
      <c r="J509" s="1" t="s">
        <v>44</v>
      </c>
      <c r="K509" s="3">
        <v>1</v>
      </c>
      <c r="L509" s="2">
        <v>78852</v>
      </c>
      <c r="M509" s="3">
        <v>10</v>
      </c>
      <c r="N509" s="1" t="s">
        <v>45</v>
      </c>
      <c r="O509" s="1" t="s">
        <v>68</v>
      </c>
      <c r="P509" s="1" t="s">
        <v>33</v>
      </c>
      <c r="Q509" s="1" t="s">
        <v>400</v>
      </c>
      <c r="R509" s="1" t="s">
        <v>1844</v>
      </c>
      <c r="S509" s="3">
        <v>5</v>
      </c>
      <c r="T509" s="1" t="s">
        <v>36</v>
      </c>
      <c r="U509" s="3">
        <v>493</v>
      </c>
      <c r="V509" s="1" t="s">
        <v>62</v>
      </c>
      <c r="W509" s="5">
        <f>Table1[[#This Row],[Quantity]]*Table1[[#This Row],[Price]]*(1-Table1[[#This Row],[Discount %]]/100)</f>
        <v>70966.8</v>
      </c>
      <c r="X509">
        <f>Table1[[#This Row],[DeliveryDate]]-Table1[[#This Row],[OrderDate]]</f>
        <v>6</v>
      </c>
      <c r="Y509" t="str">
        <f>TEXT(Table1[[#This Row],[OrderDate]],"MMMM")</f>
        <v>August</v>
      </c>
      <c r="Z509" s="5">
        <f>YEAR(Table1[[#This Row],[OrderDate]])</f>
        <v>2023</v>
      </c>
    </row>
    <row r="510" spans="1:26" x14ac:dyDescent="0.3">
      <c r="A510" s="1" t="s">
        <v>1845</v>
      </c>
      <c r="B510" t="s">
        <v>645</v>
      </c>
      <c r="C510" s="3">
        <v>41</v>
      </c>
      <c r="D510" s="1" t="s">
        <v>51</v>
      </c>
      <c r="E510" s="1" t="s">
        <v>52</v>
      </c>
      <c r="F510" s="1" t="s">
        <v>82</v>
      </c>
      <c r="G510" s="4">
        <v>45110</v>
      </c>
      <c r="H510" s="4">
        <v>45120</v>
      </c>
      <c r="I510" s="1" t="s">
        <v>85</v>
      </c>
      <c r="J510" s="1" t="s">
        <v>44</v>
      </c>
      <c r="K510" s="3">
        <v>3</v>
      </c>
      <c r="L510" s="2">
        <v>40320</v>
      </c>
      <c r="M510" s="3">
        <v>10</v>
      </c>
      <c r="N510" s="1" t="s">
        <v>56</v>
      </c>
      <c r="O510" s="1" t="s">
        <v>109</v>
      </c>
      <c r="P510" s="1" t="s">
        <v>33</v>
      </c>
      <c r="Q510" s="1" t="s">
        <v>647</v>
      </c>
      <c r="R510" s="1" t="s">
        <v>1846</v>
      </c>
      <c r="S510" s="3">
        <v>5</v>
      </c>
      <c r="T510" s="1" t="s">
        <v>36</v>
      </c>
      <c r="U510" s="3">
        <v>428</v>
      </c>
      <c r="V510" s="1" t="s">
        <v>37</v>
      </c>
      <c r="W510" s="5">
        <f>Table1[[#This Row],[Quantity]]*Table1[[#This Row],[Price]]*(1-Table1[[#This Row],[Discount %]]/100)</f>
        <v>108864</v>
      </c>
      <c r="X510">
        <f>Table1[[#This Row],[DeliveryDate]]-Table1[[#This Row],[OrderDate]]</f>
        <v>10</v>
      </c>
      <c r="Y510" t="str">
        <f>TEXT(Table1[[#This Row],[OrderDate]],"MMMM")</f>
        <v>July</v>
      </c>
      <c r="Z510" s="5">
        <f>YEAR(Table1[[#This Row],[OrderDate]])</f>
        <v>2023</v>
      </c>
    </row>
    <row r="511" spans="1:26" x14ac:dyDescent="0.3">
      <c r="A511" s="1" t="s">
        <v>1847</v>
      </c>
      <c r="B511" t="s">
        <v>503</v>
      </c>
      <c r="C511" s="3">
        <v>50</v>
      </c>
      <c r="D511" s="1" t="s">
        <v>24</v>
      </c>
      <c r="E511" s="1" t="s">
        <v>229</v>
      </c>
      <c r="F511" s="1" t="s">
        <v>65</v>
      </c>
      <c r="G511" s="4">
        <v>45331</v>
      </c>
      <c r="H511" s="4">
        <v>45338</v>
      </c>
      <c r="I511" s="1" t="s">
        <v>77</v>
      </c>
      <c r="J511" s="1" t="s">
        <v>44</v>
      </c>
      <c r="K511" s="3">
        <v>2</v>
      </c>
      <c r="L511" s="2">
        <v>36541</v>
      </c>
      <c r="M511" s="3">
        <v>10</v>
      </c>
      <c r="N511" s="1" t="s">
        <v>56</v>
      </c>
      <c r="O511" s="1" t="s">
        <v>46</v>
      </c>
      <c r="P511" s="1" t="s">
        <v>69</v>
      </c>
      <c r="Q511" s="1" t="s">
        <v>3415</v>
      </c>
      <c r="R511" s="1" t="s">
        <v>1850</v>
      </c>
      <c r="S511" s="3">
        <v>3</v>
      </c>
      <c r="T511" s="1" t="s">
        <v>61</v>
      </c>
      <c r="U511" s="3">
        <v>427</v>
      </c>
      <c r="V511" s="1" t="s">
        <v>37</v>
      </c>
      <c r="W511" s="5">
        <f>Table1[[#This Row],[Quantity]]*Table1[[#This Row],[Price]]*(1-Table1[[#This Row],[Discount %]]/100)</f>
        <v>65773.8</v>
      </c>
      <c r="X511">
        <f>Table1[[#This Row],[DeliveryDate]]-Table1[[#This Row],[OrderDate]]</f>
        <v>7</v>
      </c>
      <c r="Y511" t="str">
        <f>TEXT(Table1[[#This Row],[OrderDate]],"MMMM")</f>
        <v>February</v>
      </c>
      <c r="Z511" s="5">
        <f>YEAR(Table1[[#This Row],[OrderDate]])</f>
        <v>2024</v>
      </c>
    </row>
    <row r="512" spans="1:26" x14ac:dyDescent="0.3">
      <c r="A512" s="1" t="s">
        <v>1851</v>
      </c>
      <c r="B512" t="s">
        <v>261</v>
      </c>
      <c r="C512" s="3">
        <v>32</v>
      </c>
      <c r="D512" s="1" t="s">
        <v>24</v>
      </c>
      <c r="E512" s="1" t="s">
        <v>26</v>
      </c>
      <c r="F512" s="1" t="s">
        <v>53</v>
      </c>
      <c r="G512" s="4">
        <v>45095</v>
      </c>
      <c r="H512" s="4">
        <v>45096</v>
      </c>
      <c r="I512" s="1" t="s">
        <v>29</v>
      </c>
      <c r="J512" s="1" t="s">
        <v>30</v>
      </c>
      <c r="K512" s="3">
        <v>4</v>
      </c>
      <c r="L512" s="2">
        <v>42701</v>
      </c>
      <c r="M512" s="3">
        <v>0</v>
      </c>
      <c r="N512" s="1" t="s">
        <v>45</v>
      </c>
      <c r="O512" s="1" t="s">
        <v>68</v>
      </c>
      <c r="P512" s="1" t="s">
        <v>69</v>
      </c>
      <c r="Q512" s="1" t="s">
        <v>264</v>
      </c>
      <c r="R512" s="1" t="s">
        <v>1852</v>
      </c>
      <c r="S512" s="3">
        <v>1</v>
      </c>
      <c r="T512" s="1" t="s">
        <v>36</v>
      </c>
      <c r="U512" s="3">
        <v>235</v>
      </c>
      <c r="V512" s="1" t="s">
        <v>37</v>
      </c>
      <c r="W512" s="5">
        <f>Table1[[#This Row],[Quantity]]*Table1[[#This Row],[Price]]*(1-Table1[[#This Row],[Discount %]]/100)</f>
        <v>170804</v>
      </c>
      <c r="X512">
        <f>Table1[[#This Row],[DeliveryDate]]-Table1[[#This Row],[OrderDate]]</f>
        <v>1</v>
      </c>
      <c r="Y512" t="str">
        <f>TEXT(Table1[[#This Row],[OrderDate]],"MMMM")</f>
        <v>June</v>
      </c>
      <c r="Z512" s="5">
        <f>YEAR(Table1[[#This Row],[OrderDate]])</f>
        <v>2023</v>
      </c>
    </row>
    <row r="513" spans="1:26" x14ac:dyDescent="0.3">
      <c r="A513" s="1" t="s">
        <v>1853</v>
      </c>
      <c r="B513" t="s">
        <v>589</v>
      </c>
      <c r="C513" s="3">
        <v>27</v>
      </c>
      <c r="D513" s="1" t="s">
        <v>51</v>
      </c>
      <c r="E513" s="1" t="s">
        <v>142</v>
      </c>
      <c r="F513" s="1" t="s">
        <v>53</v>
      </c>
      <c r="G513" s="4">
        <v>45223</v>
      </c>
      <c r="H513" s="4">
        <v>45224</v>
      </c>
      <c r="I513" s="1" t="s">
        <v>77</v>
      </c>
      <c r="J513" s="1" t="s">
        <v>44</v>
      </c>
      <c r="K513" s="3">
        <v>4</v>
      </c>
      <c r="L513" s="2">
        <v>55576</v>
      </c>
      <c r="M513" s="3">
        <v>5</v>
      </c>
      <c r="N513" s="1" t="s">
        <v>31</v>
      </c>
      <c r="O513" s="1" t="s">
        <v>281</v>
      </c>
      <c r="P513" s="1" t="s">
        <v>58</v>
      </c>
      <c r="Q513" s="1" t="s">
        <v>591</v>
      </c>
      <c r="R513" s="1" t="s">
        <v>1855</v>
      </c>
      <c r="S513" s="3">
        <v>1</v>
      </c>
      <c r="T513" s="1" t="s">
        <v>96</v>
      </c>
      <c r="U513" s="3">
        <v>447</v>
      </c>
      <c r="V513" s="1" t="s">
        <v>79</v>
      </c>
      <c r="W513" s="5">
        <f>Table1[[#This Row],[Quantity]]*Table1[[#This Row],[Price]]*(1-Table1[[#This Row],[Discount %]]/100)</f>
        <v>211188.8</v>
      </c>
      <c r="X513">
        <f>Table1[[#This Row],[DeliveryDate]]-Table1[[#This Row],[OrderDate]]</f>
        <v>1</v>
      </c>
      <c r="Y513" t="str">
        <f>TEXT(Table1[[#This Row],[OrderDate]],"MMMM")</f>
        <v>October</v>
      </c>
      <c r="Z513" s="5">
        <f>YEAR(Table1[[#This Row],[OrderDate]])</f>
        <v>2023</v>
      </c>
    </row>
    <row r="514" spans="1:26" x14ac:dyDescent="0.3">
      <c r="A514" s="1" t="s">
        <v>1856</v>
      </c>
      <c r="B514" t="s">
        <v>327</v>
      </c>
      <c r="C514" s="3">
        <v>56</v>
      </c>
      <c r="D514" s="1" t="s">
        <v>24</v>
      </c>
      <c r="E514" s="1" t="s">
        <v>25</v>
      </c>
      <c r="F514" s="1" t="s">
        <v>65</v>
      </c>
      <c r="G514" s="4">
        <v>45404</v>
      </c>
      <c r="H514" s="4">
        <v>45409</v>
      </c>
      <c r="I514" s="1" t="s">
        <v>43</v>
      </c>
      <c r="J514" s="1" t="s">
        <v>44</v>
      </c>
      <c r="K514" s="3">
        <v>1</v>
      </c>
      <c r="L514" s="2">
        <v>70092</v>
      </c>
      <c r="M514" s="3">
        <v>15</v>
      </c>
      <c r="N514" s="1" t="s">
        <v>166</v>
      </c>
      <c r="O514" s="1" t="s">
        <v>173</v>
      </c>
      <c r="P514" s="1" t="s">
        <v>69</v>
      </c>
      <c r="Q514" s="1" t="s">
        <v>330</v>
      </c>
      <c r="R514" s="1" t="s">
        <v>3415</v>
      </c>
      <c r="S514" s="3">
        <v>4</v>
      </c>
      <c r="T514" s="1" t="s">
        <v>72</v>
      </c>
      <c r="U514" s="3">
        <v>478</v>
      </c>
      <c r="V514" s="1" t="s">
        <v>79</v>
      </c>
      <c r="W514" s="5">
        <f>Table1[[#This Row],[Quantity]]*Table1[[#This Row],[Price]]*(1-Table1[[#This Row],[Discount %]]/100)</f>
        <v>59578.2</v>
      </c>
      <c r="X514">
        <f>Table1[[#This Row],[DeliveryDate]]-Table1[[#This Row],[OrderDate]]</f>
        <v>5</v>
      </c>
      <c r="Y514" t="str">
        <f>TEXT(Table1[[#This Row],[OrderDate]],"MMMM")</f>
        <v>April</v>
      </c>
      <c r="Z514" s="5">
        <f>YEAR(Table1[[#This Row],[OrderDate]])</f>
        <v>2024</v>
      </c>
    </row>
    <row r="515" spans="1:26" x14ac:dyDescent="0.3">
      <c r="A515" s="1" t="s">
        <v>1857</v>
      </c>
      <c r="B515" t="s">
        <v>471</v>
      </c>
      <c r="C515" s="3">
        <v>18</v>
      </c>
      <c r="D515" s="1" t="s">
        <v>24</v>
      </c>
      <c r="E515" s="1" t="s">
        <v>142</v>
      </c>
      <c r="F515" s="1" t="s">
        <v>26</v>
      </c>
      <c r="G515" s="4">
        <v>45505</v>
      </c>
      <c r="H515" s="4">
        <v>45509</v>
      </c>
      <c r="I515" s="1" t="s">
        <v>85</v>
      </c>
      <c r="J515" s="1" t="s">
        <v>30</v>
      </c>
      <c r="K515" s="3">
        <v>2</v>
      </c>
      <c r="L515" s="2">
        <v>47377</v>
      </c>
      <c r="M515" s="3">
        <v>10</v>
      </c>
      <c r="N515" s="1" t="s">
        <v>56</v>
      </c>
      <c r="O515" s="1" t="s">
        <v>46</v>
      </c>
      <c r="P515" s="1" t="s">
        <v>33</v>
      </c>
      <c r="Q515" s="1" t="s">
        <v>495</v>
      </c>
      <c r="R515" s="1" t="s">
        <v>1859</v>
      </c>
      <c r="S515" s="3">
        <v>3</v>
      </c>
      <c r="T515" s="1" t="s">
        <v>72</v>
      </c>
      <c r="U515" s="3">
        <v>217</v>
      </c>
      <c r="V515" s="1" t="s">
        <v>37</v>
      </c>
      <c r="W515" s="5">
        <f>Table1[[#This Row],[Quantity]]*Table1[[#This Row],[Price]]*(1-Table1[[#This Row],[Discount %]]/100)</f>
        <v>85278.6</v>
      </c>
      <c r="X515">
        <f>Table1[[#This Row],[DeliveryDate]]-Table1[[#This Row],[OrderDate]]</f>
        <v>4</v>
      </c>
      <c r="Y515" t="str">
        <f>TEXT(Table1[[#This Row],[OrderDate]],"MMMM")</f>
        <v>August</v>
      </c>
      <c r="Z515" s="5">
        <f>YEAR(Table1[[#This Row],[OrderDate]])</f>
        <v>2024</v>
      </c>
    </row>
    <row r="516" spans="1:26" x14ac:dyDescent="0.3">
      <c r="A516" s="1" t="s">
        <v>1860</v>
      </c>
      <c r="B516" t="s">
        <v>361</v>
      </c>
      <c r="C516" s="3">
        <v>53</v>
      </c>
      <c r="D516" s="1" t="s">
        <v>24</v>
      </c>
      <c r="E516" s="1" t="s">
        <v>25</v>
      </c>
      <c r="F516" s="1" t="s">
        <v>26</v>
      </c>
      <c r="G516" s="4">
        <v>44930</v>
      </c>
      <c r="H516" s="4">
        <v>44935</v>
      </c>
      <c r="I516" s="1" t="s">
        <v>85</v>
      </c>
      <c r="J516" s="1" t="s">
        <v>44</v>
      </c>
      <c r="K516" s="3">
        <v>4</v>
      </c>
      <c r="L516" s="2">
        <v>75934</v>
      </c>
      <c r="M516" s="3">
        <v>10</v>
      </c>
      <c r="N516" s="1" t="s">
        <v>45</v>
      </c>
      <c r="O516" s="1" t="s">
        <v>57</v>
      </c>
      <c r="P516" s="1" t="s">
        <v>33</v>
      </c>
      <c r="Q516" s="1" t="s">
        <v>364</v>
      </c>
      <c r="R516" s="1" t="s">
        <v>1863</v>
      </c>
      <c r="S516" s="3">
        <v>1</v>
      </c>
      <c r="T516" s="1" t="s">
        <v>96</v>
      </c>
      <c r="U516" s="3">
        <v>408</v>
      </c>
      <c r="V516" s="1" t="s">
        <v>62</v>
      </c>
      <c r="W516" s="5">
        <f>Table1[[#This Row],[Quantity]]*Table1[[#This Row],[Price]]*(1-Table1[[#This Row],[Discount %]]/100)</f>
        <v>273362.40000000002</v>
      </c>
      <c r="X516">
        <f>Table1[[#This Row],[DeliveryDate]]-Table1[[#This Row],[OrderDate]]</f>
        <v>5</v>
      </c>
      <c r="Y516" t="str">
        <f>TEXT(Table1[[#This Row],[OrderDate]],"MMMM")</f>
        <v>January</v>
      </c>
      <c r="Z516" s="5">
        <f>YEAR(Table1[[#This Row],[OrderDate]])</f>
        <v>2023</v>
      </c>
    </row>
    <row r="517" spans="1:26" x14ac:dyDescent="0.3">
      <c r="A517" s="1" t="s">
        <v>1864</v>
      </c>
      <c r="B517" t="s">
        <v>601</v>
      </c>
      <c r="C517" s="3">
        <v>30</v>
      </c>
      <c r="D517" s="1" t="s">
        <v>24</v>
      </c>
      <c r="E517" s="1" t="s">
        <v>99</v>
      </c>
      <c r="F517" s="1" t="s">
        <v>65</v>
      </c>
      <c r="G517" s="4">
        <v>45397</v>
      </c>
      <c r="H517" s="4">
        <v>45404</v>
      </c>
      <c r="I517" s="1" t="s">
        <v>85</v>
      </c>
      <c r="J517" s="1" t="s">
        <v>44</v>
      </c>
      <c r="K517" s="3">
        <v>3</v>
      </c>
      <c r="L517" s="2">
        <v>59432</v>
      </c>
      <c r="M517" s="3">
        <v>15</v>
      </c>
      <c r="N517" s="1" t="s">
        <v>45</v>
      </c>
      <c r="O517" s="1" t="s">
        <v>68</v>
      </c>
      <c r="P517" s="1" t="s">
        <v>33</v>
      </c>
      <c r="Q517" s="1" t="s">
        <v>603</v>
      </c>
      <c r="R517" s="1" t="s">
        <v>1865</v>
      </c>
      <c r="S517" s="3">
        <v>1</v>
      </c>
      <c r="T517" s="1" t="s">
        <v>96</v>
      </c>
      <c r="U517" s="3">
        <v>499</v>
      </c>
      <c r="V517" s="1" t="s">
        <v>62</v>
      </c>
      <c r="W517" s="5">
        <f>Table1[[#This Row],[Quantity]]*Table1[[#This Row],[Price]]*(1-Table1[[#This Row],[Discount %]]/100)</f>
        <v>151551.6</v>
      </c>
      <c r="X517">
        <f>Table1[[#This Row],[DeliveryDate]]-Table1[[#This Row],[OrderDate]]</f>
        <v>7</v>
      </c>
      <c r="Y517" t="str">
        <f>TEXT(Table1[[#This Row],[OrderDate]],"MMMM")</f>
        <v>April</v>
      </c>
      <c r="Z517" s="5">
        <f>YEAR(Table1[[#This Row],[OrderDate]])</f>
        <v>2024</v>
      </c>
    </row>
    <row r="518" spans="1:26" x14ac:dyDescent="0.3">
      <c r="A518" s="1" t="s">
        <v>1866</v>
      </c>
      <c r="B518" t="s">
        <v>119</v>
      </c>
      <c r="C518" s="3">
        <v>30</v>
      </c>
      <c r="D518" s="1" t="s">
        <v>24</v>
      </c>
      <c r="E518" s="1" t="s">
        <v>26</v>
      </c>
      <c r="F518" s="1" t="s">
        <v>65</v>
      </c>
      <c r="G518" s="4">
        <v>45118</v>
      </c>
      <c r="H518" s="4">
        <v>45122</v>
      </c>
      <c r="I518" s="1" t="s">
        <v>29</v>
      </c>
      <c r="J518" s="1" t="s">
        <v>44</v>
      </c>
      <c r="K518" s="3">
        <v>3</v>
      </c>
      <c r="L518" s="2">
        <v>54990</v>
      </c>
      <c r="M518" s="3">
        <v>15</v>
      </c>
      <c r="N518" s="1" t="s">
        <v>166</v>
      </c>
      <c r="O518" s="1" t="s">
        <v>173</v>
      </c>
      <c r="P518" s="1" t="s">
        <v>58</v>
      </c>
      <c r="Q518" s="1" t="s">
        <v>122</v>
      </c>
      <c r="R518" s="1" t="s">
        <v>1868</v>
      </c>
      <c r="S518" s="3">
        <v>2</v>
      </c>
      <c r="T518" s="1" t="s">
        <v>36</v>
      </c>
      <c r="U518" s="3">
        <v>114</v>
      </c>
      <c r="V518" s="1" t="s">
        <v>62</v>
      </c>
      <c r="W518" s="5">
        <f>Table1[[#This Row],[Quantity]]*Table1[[#This Row],[Price]]*(1-Table1[[#This Row],[Discount %]]/100)</f>
        <v>140224.5</v>
      </c>
      <c r="X518">
        <f>Table1[[#This Row],[DeliveryDate]]-Table1[[#This Row],[OrderDate]]</f>
        <v>4</v>
      </c>
      <c r="Y518" t="str">
        <f>TEXT(Table1[[#This Row],[OrderDate]],"MMMM")</f>
        <v>July</v>
      </c>
      <c r="Z518" s="5">
        <f>YEAR(Table1[[#This Row],[OrderDate]])</f>
        <v>2023</v>
      </c>
    </row>
    <row r="519" spans="1:26" x14ac:dyDescent="0.3">
      <c r="A519" s="1" t="s">
        <v>1869</v>
      </c>
      <c r="B519" t="s">
        <v>222</v>
      </c>
      <c r="C519" s="3">
        <v>58</v>
      </c>
      <c r="D519" s="1" t="s">
        <v>51</v>
      </c>
      <c r="E519" s="1" t="s">
        <v>26</v>
      </c>
      <c r="F519" s="1" t="s">
        <v>91</v>
      </c>
      <c r="G519" s="4">
        <v>45178</v>
      </c>
      <c r="H519" s="4">
        <v>45180</v>
      </c>
      <c r="I519" s="1" t="s">
        <v>93</v>
      </c>
      <c r="J519" s="1" t="s">
        <v>44</v>
      </c>
      <c r="K519" s="3">
        <v>2</v>
      </c>
      <c r="L519" s="2">
        <v>40522</v>
      </c>
      <c r="M519" s="3">
        <v>10</v>
      </c>
      <c r="N519" s="1" t="s">
        <v>56</v>
      </c>
      <c r="O519" s="1" t="s">
        <v>46</v>
      </c>
      <c r="P519" s="1" t="s">
        <v>33</v>
      </c>
      <c r="Q519" s="1" t="s">
        <v>225</v>
      </c>
      <c r="R519" s="1" t="s">
        <v>1870</v>
      </c>
      <c r="S519" s="3">
        <v>1</v>
      </c>
      <c r="T519" s="1" t="s">
        <v>96</v>
      </c>
      <c r="U519" s="3">
        <v>236</v>
      </c>
      <c r="V519" s="1" t="s">
        <v>79</v>
      </c>
      <c r="W519" s="5">
        <f>Table1[[#This Row],[Quantity]]*Table1[[#This Row],[Price]]*(1-Table1[[#This Row],[Discount %]]/100)</f>
        <v>72939.600000000006</v>
      </c>
      <c r="X519">
        <f>Table1[[#This Row],[DeliveryDate]]-Table1[[#This Row],[OrderDate]]</f>
        <v>2</v>
      </c>
      <c r="Y519" t="str">
        <f>TEXT(Table1[[#This Row],[OrderDate]],"MMMM")</f>
        <v>September</v>
      </c>
      <c r="Z519" s="5">
        <f>YEAR(Table1[[#This Row],[OrderDate]])</f>
        <v>2023</v>
      </c>
    </row>
    <row r="520" spans="1:26" x14ac:dyDescent="0.3">
      <c r="A520" s="1" t="s">
        <v>1871</v>
      </c>
      <c r="B520" t="s">
        <v>1118</v>
      </c>
      <c r="C520" s="3">
        <v>35</v>
      </c>
      <c r="D520" s="1" t="s">
        <v>51</v>
      </c>
      <c r="E520" s="1" t="s">
        <v>40</v>
      </c>
      <c r="F520" s="1" t="s">
        <v>26</v>
      </c>
      <c r="G520" s="4">
        <v>45175</v>
      </c>
      <c r="H520" s="4">
        <v>45180</v>
      </c>
      <c r="I520" s="1" t="s">
        <v>85</v>
      </c>
      <c r="J520" s="1" t="s">
        <v>30</v>
      </c>
      <c r="K520" s="3">
        <v>2</v>
      </c>
      <c r="L520" s="2">
        <v>66845</v>
      </c>
      <c r="M520" s="3">
        <v>10</v>
      </c>
      <c r="N520" s="1" t="s">
        <v>45</v>
      </c>
      <c r="O520" s="1" t="s">
        <v>133</v>
      </c>
      <c r="P520" s="1" t="s">
        <v>69</v>
      </c>
      <c r="Q520" s="1" t="s">
        <v>1120</v>
      </c>
      <c r="R520" s="1" t="s">
        <v>1872</v>
      </c>
      <c r="S520" s="3">
        <v>3</v>
      </c>
      <c r="T520" s="1" t="s">
        <v>72</v>
      </c>
      <c r="U520" s="3">
        <v>237</v>
      </c>
      <c r="V520" s="1" t="s">
        <v>79</v>
      </c>
      <c r="W520" s="5">
        <f>Table1[[#This Row],[Quantity]]*Table1[[#This Row],[Price]]*(1-Table1[[#This Row],[Discount %]]/100)</f>
        <v>120321</v>
      </c>
      <c r="X520">
        <f>Table1[[#This Row],[DeliveryDate]]-Table1[[#This Row],[OrderDate]]</f>
        <v>5</v>
      </c>
      <c r="Y520" t="str">
        <f>TEXT(Table1[[#This Row],[OrderDate]],"MMMM")</f>
        <v>September</v>
      </c>
      <c r="Z520" s="5">
        <f>YEAR(Table1[[#This Row],[OrderDate]])</f>
        <v>2023</v>
      </c>
    </row>
    <row r="521" spans="1:26" x14ac:dyDescent="0.3">
      <c r="A521" s="1" t="s">
        <v>1873</v>
      </c>
      <c r="B521" t="s">
        <v>850</v>
      </c>
      <c r="C521" s="3">
        <v>59</v>
      </c>
      <c r="D521" s="1" t="s">
        <v>24</v>
      </c>
      <c r="E521" s="1" t="s">
        <v>142</v>
      </c>
      <c r="F521" s="1" t="s">
        <v>26</v>
      </c>
      <c r="G521" s="4">
        <v>45305</v>
      </c>
      <c r="H521" s="4">
        <v>45310</v>
      </c>
      <c r="I521" s="1" t="s">
        <v>93</v>
      </c>
      <c r="J521" s="1" t="s">
        <v>30</v>
      </c>
      <c r="K521" s="3">
        <v>2.9447852760736195</v>
      </c>
      <c r="L521" s="2">
        <v>69198</v>
      </c>
      <c r="M521" s="3">
        <v>10</v>
      </c>
      <c r="N521" s="1" t="s">
        <v>45</v>
      </c>
      <c r="O521" s="1" t="s">
        <v>86</v>
      </c>
      <c r="P521" s="1" t="s">
        <v>69</v>
      </c>
      <c r="Q521" s="1" t="s">
        <v>258</v>
      </c>
      <c r="R521" s="1" t="s">
        <v>1874</v>
      </c>
      <c r="S521" s="3">
        <v>4</v>
      </c>
      <c r="T521" s="1" t="s">
        <v>61</v>
      </c>
      <c r="U521" s="3">
        <v>57</v>
      </c>
      <c r="V521" s="1" t="s">
        <v>62</v>
      </c>
      <c r="W521" s="5">
        <f>Table1[[#This Row],[Quantity]]*Table1[[#This Row],[Price]]*(1-Table1[[#This Row],[Discount %]]/100)</f>
        <v>183395.9263803681</v>
      </c>
      <c r="X521">
        <f>Table1[[#This Row],[DeliveryDate]]-Table1[[#This Row],[OrderDate]]</f>
        <v>5</v>
      </c>
      <c r="Y521" t="str">
        <f>TEXT(Table1[[#This Row],[OrderDate]],"MMMM")</f>
        <v>January</v>
      </c>
      <c r="Z521" s="5">
        <f>YEAR(Table1[[#This Row],[OrderDate]])</f>
        <v>2024</v>
      </c>
    </row>
    <row r="522" spans="1:26" x14ac:dyDescent="0.3">
      <c r="A522" s="1" t="s">
        <v>1875</v>
      </c>
      <c r="B522" t="s">
        <v>1876</v>
      </c>
      <c r="C522" s="3">
        <v>22</v>
      </c>
      <c r="D522" s="1" t="s">
        <v>24</v>
      </c>
      <c r="E522" s="1" t="s">
        <v>40</v>
      </c>
      <c r="F522" s="1" t="s">
        <v>53</v>
      </c>
      <c r="G522" s="4">
        <v>45471</v>
      </c>
      <c r="H522" s="4">
        <v>45481</v>
      </c>
      <c r="I522" s="1" t="s">
        <v>29</v>
      </c>
      <c r="J522" s="1" t="s">
        <v>30</v>
      </c>
      <c r="K522" s="3">
        <v>4</v>
      </c>
      <c r="L522" s="2">
        <v>11467</v>
      </c>
      <c r="M522" s="3">
        <v>0</v>
      </c>
      <c r="N522" s="1" t="s">
        <v>166</v>
      </c>
      <c r="O522" s="1" t="s">
        <v>173</v>
      </c>
      <c r="P522" s="1" t="s">
        <v>58</v>
      </c>
      <c r="Q522" s="1" t="s">
        <v>3415</v>
      </c>
      <c r="R522" s="1" t="s">
        <v>1879</v>
      </c>
      <c r="S522" s="3">
        <v>5</v>
      </c>
      <c r="T522" s="1" t="s">
        <v>72</v>
      </c>
      <c r="U522" s="3">
        <v>165</v>
      </c>
      <c r="V522" s="1" t="s">
        <v>37</v>
      </c>
      <c r="W522" s="5">
        <f>Table1[[#This Row],[Quantity]]*Table1[[#This Row],[Price]]*(1-Table1[[#This Row],[Discount %]]/100)</f>
        <v>45868</v>
      </c>
      <c r="X522">
        <f>Table1[[#This Row],[DeliveryDate]]-Table1[[#This Row],[OrderDate]]</f>
        <v>10</v>
      </c>
      <c r="Y522" t="str">
        <f>TEXT(Table1[[#This Row],[OrderDate]],"MMMM")</f>
        <v>June</v>
      </c>
      <c r="Z522" s="5">
        <f>YEAR(Table1[[#This Row],[OrderDate]])</f>
        <v>2024</v>
      </c>
    </row>
    <row r="523" spans="1:26" x14ac:dyDescent="0.3">
      <c r="A523" s="1" t="s">
        <v>1880</v>
      </c>
      <c r="B523" t="s">
        <v>527</v>
      </c>
      <c r="C523" s="3">
        <v>45</v>
      </c>
      <c r="D523" s="1" t="s">
        <v>24</v>
      </c>
      <c r="E523" s="1" t="s">
        <v>25</v>
      </c>
      <c r="F523" s="1" t="s">
        <v>82</v>
      </c>
      <c r="G523" s="4">
        <v>45214</v>
      </c>
      <c r="H523" s="4">
        <v>45218</v>
      </c>
      <c r="I523" s="1" t="s">
        <v>77</v>
      </c>
      <c r="J523" s="1" t="s">
        <v>30</v>
      </c>
      <c r="K523" s="3">
        <v>3</v>
      </c>
      <c r="L523" s="2">
        <v>25033</v>
      </c>
      <c r="M523" s="3">
        <v>10</v>
      </c>
      <c r="N523" s="1" t="s">
        <v>45</v>
      </c>
      <c r="O523" s="1" t="s">
        <v>46</v>
      </c>
      <c r="P523" s="1" t="s">
        <v>69</v>
      </c>
      <c r="Q523" s="1" t="s">
        <v>530</v>
      </c>
      <c r="R523" s="1" t="s">
        <v>1881</v>
      </c>
      <c r="S523" s="3">
        <v>5</v>
      </c>
      <c r="T523" s="1" t="s">
        <v>96</v>
      </c>
      <c r="U523" s="3">
        <v>488</v>
      </c>
      <c r="V523" s="1" t="s">
        <v>37</v>
      </c>
      <c r="W523" s="5">
        <f>Table1[[#This Row],[Quantity]]*Table1[[#This Row],[Price]]*(1-Table1[[#This Row],[Discount %]]/100)</f>
        <v>67589.100000000006</v>
      </c>
      <c r="X523">
        <f>Table1[[#This Row],[DeliveryDate]]-Table1[[#This Row],[OrderDate]]</f>
        <v>4</v>
      </c>
      <c r="Y523" t="str">
        <f>TEXT(Table1[[#This Row],[OrderDate]],"MMMM")</f>
        <v>October</v>
      </c>
      <c r="Z523" s="5">
        <f>YEAR(Table1[[#This Row],[OrderDate]])</f>
        <v>2023</v>
      </c>
    </row>
    <row r="524" spans="1:26" x14ac:dyDescent="0.3">
      <c r="A524" s="1" t="s">
        <v>1882</v>
      </c>
      <c r="B524" t="s">
        <v>471</v>
      </c>
      <c r="C524" s="3">
        <v>36</v>
      </c>
      <c r="D524" s="1" t="s">
        <v>51</v>
      </c>
      <c r="E524" s="1" t="s">
        <v>142</v>
      </c>
      <c r="F524" s="1" t="s">
        <v>91</v>
      </c>
      <c r="G524" s="4">
        <v>44976</v>
      </c>
      <c r="H524" s="4">
        <v>44983</v>
      </c>
      <c r="I524" s="1" t="s">
        <v>29</v>
      </c>
      <c r="J524" s="1" t="s">
        <v>30</v>
      </c>
      <c r="K524" s="3">
        <v>1</v>
      </c>
      <c r="L524" s="2">
        <v>20087</v>
      </c>
      <c r="M524" s="3">
        <v>10</v>
      </c>
      <c r="N524" s="1" t="s">
        <v>31</v>
      </c>
      <c r="O524" s="1" t="s">
        <v>133</v>
      </c>
      <c r="P524" s="1" t="s">
        <v>69</v>
      </c>
      <c r="Q524" s="1" t="s">
        <v>495</v>
      </c>
      <c r="R524" s="1" t="s">
        <v>1883</v>
      </c>
      <c r="S524" s="3">
        <v>5</v>
      </c>
      <c r="T524" s="1" t="s">
        <v>72</v>
      </c>
      <c r="U524" s="3">
        <v>486</v>
      </c>
      <c r="V524" s="1" t="s">
        <v>62</v>
      </c>
      <c r="W524" s="5">
        <f>Table1[[#This Row],[Quantity]]*Table1[[#This Row],[Price]]*(1-Table1[[#This Row],[Discount %]]/100)</f>
        <v>18078.3</v>
      </c>
      <c r="X524">
        <f>Table1[[#This Row],[DeliveryDate]]-Table1[[#This Row],[OrderDate]]</f>
        <v>7</v>
      </c>
      <c r="Y524" t="str">
        <f>TEXT(Table1[[#This Row],[OrderDate]],"MMMM")</f>
        <v>February</v>
      </c>
      <c r="Z524" s="5">
        <f>YEAR(Table1[[#This Row],[OrderDate]])</f>
        <v>2023</v>
      </c>
    </row>
    <row r="525" spans="1:26" x14ac:dyDescent="0.3">
      <c r="A525" s="1" t="s">
        <v>1884</v>
      </c>
      <c r="B525" t="s">
        <v>64</v>
      </c>
      <c r="C525" s="3">
        <v>23</v>
      </c>
      <c r="D525" s="1" t="s">
        <v>51</v>
      </c>
      <c r="E525" s="1" t="s">
        <v>142</v>
      </c>
      <c r="F525" s="1" t="s">
        <v>65</v>
      </c>
      <c r="G525" s="4">
        <v>45197</v>
      </c>
      <c r="H525" s="4">
        <v>45205</v>
      </c>
      <c r="I525" s="1" t="s">
        <v>77</v>
      </c>
      <c r="J525" s="1" t="s">
        <v>30</v>
      </c>
      <c r="K525" s="3">
        <v>2</v>
      </c>
      <c r="L525" s="2">
        <v>21937</v>
      </c>
      <c r="M525" s="3">
        <v>15</v>
      </c>
      <c r="N525" s="1" t="s">
        <v>56</v>
      </c>
      <c r="O525" s="1" t="s">
        <v>102</v>
      </c>
      <c r="P525" s="1" t="s">
        <v>69</v>
      </c>
      <c r="Q525" s="1" t="s">
        <v>70</v>
      </c>
      <c r="R525" s="1" t="s">
        <v>1885</v>
      </c>
      <c r="S525" s="3">
        <v>2</v>
      </c>
      <c r="T525" s="1" t="s">
        <v>61</v>
      </c>
      <c r="U525" s="3">
        <v>470</v>
      </c>
      <c r="V525" s="1" t="s">
        <v>62</v>
      </c>
      <c r="W525" s="5">
        <f>Table1[[#This Row],[Quantity]]*Table1[[#This Row],[Price]]*(1-Table1[[#This Row],[Discount %]]/100)</f>
        <v>37292.9</v>
      </c>
      <c r="X525">
        <f>Table1[[#This Row],[DeliveryDate]]-Table1[[#This Row],[OrderDate]]</f>
        <v>8</v>
      </c>
      <c r="Y525" t="str">
        <f>TEXT(Table1[[#This Row],[OrderDate]],"MMMM")</f>
        <v>September</v>
      </c>
      <c r="Z525" s="5">
        <f>YEAR(Table1[[#This Row],[OrderDate]])</f>
        <v>2023</v>
      </c>
    </row>
    <row r="526" spans="1:26" x14ac:dyDescent="0.3">
      <c r="A526" s="1" t="s">
        <v>1886</v>
      </c>
      <c r="B526" t="s">
        <v>382</v>
      </c>
      <c r="C526" s="3">
        <v>55</v>
      </c>
      <c r="D526" s="1" t="s">
        <v>24</v>
      </c>
      <c r="E526" s="1" t="s">
        <v>40</v>
      </c>
      <c r="F526" s="1" t="s">
        <v>91</v>
      </c>
      <c r="G526" s="4">
        <v>45133</v>
      </c>
      <c r="H526" s="4">
        <v>45137</v>
      </c>
      <c r="I526" s="1" t="s">
        <v>77</v>
      </c>
      <c r="J526" s="1" t="s">
        <v>30</v>
      </c>
      <c r="K526" s="3">
        <v>4</v>
      </c>
      <c r="L526" s="2">
        <v>8879</v>
      </c>
      <c r="M526" s="3">
        <v>0</v>
      </c>
      <c r="N526" s="1" t="s">
        <v>166</v>
      </c>
      <c r="O526" s="1" t="s">
        <v>173</v>
      </c>
      <c r="P526" s="1" t="s">
        <v>33</v>
      </c>
      <c r="Q526" s="1" t="s">
        <v>385</v>
      </c>
      <c r="R526" s="1" t="s">
        <v>1887</v>
      </c>
      <c r="S526" s="3">
        <v>3</v>
      </c>
      <c r="T526" s="1" t="s">
        <v>61</v>
      </c>
      <c r="U526" s="3">
        <v>217</v>
      </c>
      <c r="V526" s="1" t="s">
        <v>79</v>
      </c>
      <c r="W526" s="5">
        <f>Table1[[#This Row],[Quantity]]*Table1[[#This Row],[Price]]*(1-Table1[[#This Row],[Discount %]]/100)</f>
        <v>35516</v>
      </c>
      <c r="X526">
        <f>Table1[[#This Row],[DeliveryDate]]-Table1[[#This Row],[OrderDate]]</f>
        <v>4</v>
      </c>
      <c r="Y526" t="str">
        <f>TEXT(Table1[[#This Row],[OrderDate]],"MMMM")</f>
        <v>July</v>
      </c>
      <c r="Z526" s="5">
        <f>YEAR(Table1[[#This Row],[OrderDate]])</f>
        <v>2023</v>
      </c>
    </row>
    <row r="527" spans="1:26" x14ac:dyDescent="0.3">
      <c r="A527" s="1" t="s">
        <v>1888</v>
      </c>
      <c r="B527" t="s">
        <v>570</v>
      </c>
      <c r="C527" s="3">
        <v>58</v>
      </c>
      <c r="D527" s="1" t="s">
        <v>51</v>
      </c>
      <c r="E527" s="1" t="s">
        <v>25</v>
      </c>
      <c r="F527" s="1" t="s">
        <v>91</v>
      </c>
      <c r="G527" s="4">
        <v>45311</v>
      </c>
      <c r="H527" s="4">
        <v>45312</v>
      </c>
      <c r="I527" s="1" t="s">
        <v>43</v>
      </c>
      <c r="J527" s="1" t="s">
        <v>44</v>
      </c>
      <c r="K527" s="3">
        <v>5</v>
      </c>
      <c r="L527" s="2">
        <v>37252</v>
      </c>
      <c r="M527" s="3">
        <v>5</v>
      </c>
      <c r="N527" s="1" t="s">
        <v>56</v>
      </c>
      <c r="O527" s="1" t="s">
        <v>32</v>
      </c>
      <c r="P527" s="1" t="s">
        <v>58</v>
      </c>
      <c r="Q527" s="1" t="s">
        <v>573</v>
      </c>
      <c r="R527" s="1" t="s">
        <v>1891</v>
      </c>
      <c r="S527" s="3">
        <v>5</v>
      </c>
      <c r="T527" s="1" t="s">
        <v>61</v>
      </c>
      <c r="U527" s="3">
        <v>425</v>
      </c>
      <c r="V527" s="1" t="s">
        <v>79</v>
      </c>
      <c r="W527" s="5">
        <f>Table1[[#This Row],[Quantity]]*Table1[[#This Row],[Price]]*(1-Table1[[#This Row],[Discount %]]/100)</f>
        <v>176947</v>
      </c>
      <c r="X527">
        <f>Table1[[#This Row],[DeliveryDate]]-Table1[[#This Row],[OrderDate]]</f>
        <v>1</v>
      </c>
      <c r="Y527" t="str">
        <f>TEXT(Table1[[#This Row],[OrderDate]],"MMMM")</f>
        <v>January</v>
      </c>
      <c r="Z527" s="5">
        <f>YEAR(Table1[[#This Row],[OrderDate]])</f>
        <v>2024</v>
      </c>
    </row>
    <row r="528" spans="1:26" x14ac:dyDescent="0.3">
      <c r="A528" s="1" t="s">
        <v>1892</v>
      </c>
      <c r="B528" t="s">
        <v>650</v>
      </c>
      <c r="C528" s="3">
        <v>44</v>
      </c>
      <c r="D528" s="1" t="s">
        <v>24</v>
      </c>
      <c r="E528" s="1" t="s">
        <v>131</v>
      </c>
      <c r="F528" s="1" t="s">
        <v>82</v>
      </c>
      <c r="G528" s="4">
        <v>45193</v>
      </c>
      <c r="H528" s="4">
        <v>45194</v>
      </c>
      <c r="I528" s="1" t="s">
        <v>77</v>
      </c>
      <c r="J528" s="1" t="s">
        <v>44</v>
      </c>
      <c r="K528" s="3">
        <v>2</v>
      </c>
      <c r="L528" s="2">
        <v>60397</v>
      </c>
      <c r="M528" s="3">
        <v>15</v>
      </c>
      <c r="N528" s="1" t="s">
        <v>45</v>
      </c>
      <c r="O528" s="1" t="s">
        <v>173</v>
      </c>
      <c r="P528" s="1" t="s">
        <v>69</v>
      </c>
      <c r="Q528" s="1" t="s">
        <v>653</v>
      </c>
      <c r="R528" s="1" t="s">
        <v>1893</v>
      </c>
      <c r="S528" s="3">
        <v>3</v>
      </c>
      <c r="T528" s="1" t="s">
        <v>72</v>
      </c>
      <c r="U528" s="3">
        <v>204</v>
      </c>
      <c r="V528" s="1" t="s">
        <v>62</v>
      </c>
      <c r="W528" s="5">
        <f>Table1[[#This Row],[Quantity]]*Table1[[#This Row],[Price]]*(1-Table1[[#This Row],[Discount %]]/100)</f>
        <v>102674.9</v>
      </c>
      <c r="X528">
        <f>Table1[[#This Row],[DeliveryDate]]-Table1[[#This Row],[OrderDate]]</f>
        <v>1</v>
      </c>
      <c r="Y528" t="str">
        <f>TEXT(Table1[[#This Row],[OrderDate]],"MMMM")</f>
        <v>September</v>
      </c>
      <c r="Z528" s="5">
        <f>YEAR(Table1[[#This Row],[OrderDate]])</f>
        <v>2023</v>
      </c>
    </row>
    <row r="529" spans="1:26" x14ac:dyDescent="0.3">
      <c r="A529" s="1" t="s">
        <v>1894</v>
      </c>
      <c r="B529" t="s">
        <v>707</v>
      </c>
      <c r="C529" s="3">
        <v>35</v>
      </c>
      <c r="D529" s="1" t="s">
        <v>51</v>
      </c>
      <c r="E529" s="1" t="s">
        <v>131</v>
      </c>
      <c r="F529" s="1" t="s">
        <v>65</v>
      </c>
      <c r="G529" s="4">
        <v>45301</v>
      </c>
      <c r="H529" s="4">
        <v>45311</v>
      </c>
      <c r="I529" s="1" t="s">
        <v>108</v>
      </c>
      <c r="J529" s="1" t="s">
        <v>30</v>
      </c>
      <c r="K529" s="3">
        <v>3</v>
      </c>
      <c r="L529" s="2">
        <v>73803</v>
      </c>
      <c r="M529" s="3">
        <v>15</v>
      </c>
      <c r="N529" s="1" t="s">
        <v>56</v>
      </c>
      <c r="O529" s="1" t="s">
        <v>281</v>
      </c>
      <c r="P529" s="1" t="s">
        <v>69</v>
      </c>
      <c r="Q529" s="1" t="s">
        <v>709</v>
      </c>
      <c r="R529" s="1" t="s">
        <v>1895</v>
      </c>
      <c r="S529" s="3">
        <v>1</v>
      </c>
      <c r="T529" s="1" t="s">
        <v>72</v>
      </c>
      <c r="U529" s="3">
        <v>73</v>
      </c>
      <c r="V529" s="1" t="s">
        <v>79</v>
      </c>
      <c r="W529" s="5">
        <f>Table1[[#This Row],[Quantity]]*Table1[[#This Row],[Price]]*(1-Table1[[#This Row],[Discount %]]/100)</f>
        <v>188197.65</v>
      </c>
      <c r="X529">
        <f>Table1[[#This Row],[DeliveryDate]]-Table1[[#This Row],[OrderDate]]</f>
        <v>10</v>
      </c>
      <c r="Y529" t="str">
        <f>TEXT(Table1[[#This Row],[OrderDate]],"MMMM")</f>
        <v>January</v>
      </c>
      <c r="Z529" s="5">
        <f>YEAR(Table1[[#This Row],[OrderDate]])</f>
        <v>2024</v>
      </c>
    </row>
    <row r="530" spans="1:26" x14ac:dyDescent="0.3">
      <c r="A530" s="1" t="s">
        <v>1896</v>
      </c>
      <c r="B530" t="s">
        <v>684</v>
      </c>
      <c r="C530" s="3">
        <v>28</v>
      </c>
      <c r="D530" s="1" t="s">
        <v>24</v>
      </c>
      <c r="E530" s="1" t="s">
        <v>26</v>
      </c>
      <c r="F530" s="1" t="s">
        <v>53</v>
      </c>
      <c r="G530" s="4">
        <v>45493</v>
      </c>
      <c r="H530" s="4">
        <v>45503</v>
      </c>
      <c r="I530" s="1" t="s">
        <v>108</v>
      </c>
      <c r="J530" s="1" t="s">
        <v>30</v>
      </c>
      <c r="K530" s="3">
        <v>3</v>
      </c>
      <c r="L530" s="2">
        <v>23108</v>
      </c>
      <c r="M530" s="3">
        <v>15</v>
      </c>
      <c r="N530" s="1" t="s">
        <v>56</v>
      </c>
      <c r="O530" s="1" t="s">
        <v>102</v>
      </c>
      <c r="P530" s="1" t="s">
        <v>58</v>
      </c>
      <c r="Q530" s="1" t="s">
        <v>785</v>
      </c>
      <c r="R530" s="1" t="s">
        <v>1897</v>
      </c>
      <c r="S530" s="3">
        <v>5</v>
      </c>
      <c r="T530" s="1" t="s">
        <v>61</v>
      </c>
      <c r="U530" s="3">
        <v>424</v>
      </c>
      <c r="V530" s="1" t="s">
        <v>62</v>
      </c>
      <c r="W530" s="5">
        <f>Table1[[#This Row],[Quantity]]*Table1[[#This Row],[Price]]*(1-Table1[[#This Row],[Discount %]]/100)</f>
        <v>58925.4</v>
      </c>
      <c r="X530">
        <f>Table1[[#This Row],[DeliveryDate]]-Table1[[#This Row],[OrderDate]]</f>
        <v>10</v>
      </c>
      <c r="Y530" t="str">
        <f>TEXT(Table1[[#This Row],[OrderDate]],"MMMM")</f>
        <v>July</v>
      </c>
      <c r="Z530" s="5">
        <f>YEAR(Table1[[#This Row],[OrderDate]])</f>
        <v>2024</v>
      </c>
    </row>
    <row r="531" spans="1:26" x14ac:dyDescent="0.3">
      <c r="A531" s="1" t="s">
        <v>1898</v>
      </c>
      <c r="B531" t="s">
        <v>198</v>
      </c>
      <c r="C531" s="3">
        <v>37</v>
      </c>
      <c r="D531" s="1" t="s">
        <v>24</v>
      </c>
      <c r="E531" s="1" t="s">
        <v>229</v>
      </c>
      <c r="F531" s="1" t="s">
        <v>26</v>
      </c>
      <c r="G531" s="4">
        <v>45452</v>
      </c>
      <c r="H531" s="4">
        <v>45459</v>
      </c>
      <c r="I531" s="1" t="s">
        <v>85</v>
      </c>
      <c r="J531" s="1" t="s">
        <v>44</v>
      </c>
      <c r="K531" s="3">
        <v>2.9447852760736195</v>
      </c>
      <c r="L531" s="2">
        <v>65459</v>
      </c>
      <c r="M531" s="3">
        <v>10</v>
      </c>
      <c r="N531" s="1" t="s">
        <v>45</v>
      </c>
      <c r="O531" s="1" t="s">
        <v>281</v>
      </c>
      <c r="P531" s="1" t="s">
        <v>174</v>
      </c>
      <c r="Q531" s="1" t="s">
        <v>201</v>
      </c>
      <c r="R531" s="1" t="s">
        <v>3415</v>
      </c>
      <c r="S531" s="3">
        <v>5</v>
      </c>
      <c r="T531" s="1" t="s">
        <v>61</v>
      </c>
      <c r="U531" s="3">
        <v>311</v>
      </c>
      <c r="V531" s="1" t="s">
        <v>62</v>
      </c>
      <c r="W531" s="5">
        <f>Table1[[#This Row],[Quantity]]*Table1[[#This Row],[Price]]*(1-Table1[[#This Row],[Discount %]]/100)</f>
        <v>173486.42944785274</v>
      </c>
      <c r="X531">
        <f>Table1[[#This Row],[DeliveryDate]]-Table1[[#This Row],[OrderDate]]</f>
        <v>7</v>
      </c>
      <c r="Y531" t="str">
        <f>TEXT(Table1[[#This Row],[OrderDate]],"MMMM")</f>
        <v>June</v>
      </c>
      <c r="Z531" s="5">
        <f>YEAR(Table1[[#This Row],[OrderDate]])</f>
        <v>2024</v>
      </c>
    </row>
    <row r="532" spans="1:26" x14ac:dyDescent="0.3">
      <c r="A532" s="1" t="s">
        <v>1900</v>
      </c>
      <c r="B532" t="s">
        <v>198</v>
      </c>
      <c r="C532" s="3">
        <v>25</v>
      </c>
      <c r="D532" s="1" t="s">
        <v>51</v>
      </c>
      <c r="E532" s="1" t="s">
        <v>142</v>
      </c>
      <c r="F532" s="1" t="s">
        <v>65</v>
      </c>
      <c r="G532" s="4">
        <v>45358</v>
      </c>
      <c r="H532" s="4">
        <v>45361</v>
      </c>
      <c r="I532" s="1" t="s">
        <v>29</v>
      </c>
      <c r="J532" s="1" t="s">
        <v>30</v>
      </c>
      <c r="K532" s="3">
        <v>1</v>
      </c>
      <c r="L532" s="2">
        <v>38916</v>
      </c>
      <c r="M532" s="3">
        <v>10</v>
      </c>
      <c r="N532" s="1" t="s">
        <v>45</v>
      </c>
      <c r="O532" s="1" t="s">
        <v>46</v>
      </c>
      <c r="P532" s="1" t="s">
        <v>174</v>
      </c>
      <c r="Q532" s="1" t="s">
        <v>201</v>
      </c>
      <c r="R532" s="1" t="s">
        <v>1903</v>
      </c>
      <c r="S532" s="3">
        <v>4</v>
      </c>
      <c r="T532" s="1" t="s">
        <v>72</v>
      </c>
      <c r="U532" s="3">
        <v>62</v>
      </c>
      <c r="V532" s="1" t="s">
        <v>79</v>
      </c>
      <c r="W532" s="5">
        <f>Table1[[#This Row],[Quantity]]*Table1[[#This Row],[Price]]*(1-Table1[[#This Row],[Discount %]]/100)</f>
        <v>35024.400000000001</v>
      </c>
      <c r="X532">
        <f>Table1[[#This Row],[DeliveryDate]]-Table1[[#This Row],[OrderDate]]</f>
        <v>3</v>
      </c>
      <c r="Y532" t="str">
        <f>TEXT(Table1[[#This Row],[OrderDate]],"MMMM")</f>
        <v>March</v>
      </c>
      <c r="Z532" s="5">
        <f>YEAR(Table1[[#This Row],[OrderDate]])</f>
        <v>2024</v>
      </c>
    </row>
    <row r="533" spans="1:26" x14ac:dyDescent="0.3">
      <c r="A533" s="1" t="s">
        <v>1904</v>
      </c>
      <c r="B533" t="s">
        <v>1686</v>
      </c>
      <c r="C533" s="3">
        <v>24</v>
      </c>
      <c r="D533" s="1" t="s">
        <v>51</v>
      </c>
      <c r="E533" s="1" t="s">
        <v>99</v>
      </c>
      <c r="F533" s="1" t="s">
        <v>26</v>
      </c>
      <c r="G533" s="4">
        <v>45001</v>
      </c>
      <c r="H533" s="4">
        <v>45006</v>
      </c>
      <c r="I533" s="1" t="s">
        <v>29</v>
      </c>
      <c r="J533" s="1" t="s">
        <v>44</v>
      </c>
      <c r="K533" s="3">
        <v>1</v>
      </c>
      <c r="L533" s="2">
        <v>7839</v>
      </c>
      <c r="M533" s="3">
        <v>15</v>
      </c>
      <c r="N533" s="1" t="s">
        <v>31</v>
      </c>
      <c r="O533" s="1" t="s">
        <v>281</v>
      </c>
      <c r="P533" s="1" t="s">
        <v>174</v>
      </c>
      <c r="Q533" s="1" t="s">
        <v>1687</v>
      </c>
      <c r="R533" s="1" t="s">
        <v>1905</v>
      </c>
      <c r="S533" s="3">
        <v>2</v>
      </c>
      <c r="T533" s="1" t="s">
        <v>72</v>
      </c>
      <c r="U533" s="3">
        <v>468</v>
      </c>
      <c r="V533" s="1" t="s">
        <v>37</v>
      </c>
      <c r="W533" s="5">
        <f>Table1[[#This Row],[Quantity]]*Table1[[#This Row],[Price]]*(1-Table1[[#This Row],[Discount %]]/100)</f>
        <v>6663.15</v>
      </c>
      <c r="X533">
        <f>Table1[[#This Row],[DeliveryDate]]-Table1[[#This Row],[OrderDate]]</f>
        <v>5</v>
      </c>
      <c r="Y533" t="str">
        <f>TEXT(Table1[[#This Row],[OrderDate]],"MMMM")</f>
        <v>March</v>
      </c>
      <c r="Z533" s="5">
        <f>YEAR(Table1[[#This Row],[OrderDate]])</f>
        <v>2023</v>
      </c>
    </row>
    <row r="534" spans="1:26" x14ac:dyDescent="0.3">
      <c r="A534" s="1" t="s">
        <v>1906</v>
      </c>
      <c r="B534" t="s">
        <v>397</v>
      </c>
      <c r="C534" s="3">
        <v>21</v>
      </c>
      <c r="D534" s="1" t="s">
        <v>24</v>
      </c>
      <c r="E534" s="1" t="s">
        <v>99</v>
      </c>
      <c r="F534" s="1" t="s">
        <v>53</v>
      </c>
      <c r="G534" s="4">
        <v>45415</v>
      </c>
      <c r="H534" s="4">
        <v>45425</v>
      </c>
      <c r="I534" s="1" t="s">
        <v>29</v>
      </c>
      <c r="J534" s="1" t="s">
        <v>30</v>
      </c>
      <c r="K534" s="3">
        <v>3</v>
      </c>
      <c r="L534" s="2">
        <v>77335</v>
      </c>
      <c r="M534" s="3">
        <v>0</v>
      </c>
      <c r="N534" s="1" t="s">
        <v>45</v>
      </c>
      <c r="O534" s="1" t="s">
        <v>133</v>
      </c>
      <c r="P534" s="1" t="s">
        <v>174</v>
      </c>
      <c r="Q534" s="1" t="s">
        <v>3415</v>
      </c>
      <c r="R534" s="1" t="s">
        <v>1907</v>
      </c>
      <c r="S534" s="3">
        <v>5</v>
      </c>
      <c r="T534" s="1" t="s">
        <v>36</v>
      </c>
      <c r="U534" s="3">
        <v>210</v>
      </c>
      <c r="V534" s="1" t="s">
        <v>79</v>
      </c>
      <c r="W534" s="5">
        <f>Table1[[#This Row],[Quantity]]*Table1[[#This Row],[Price]]*(1-Table1[[#This Row],[Discount %]]/100)</f>
        <v>232005</v>
      </c>
      <c r="X534">
        <f>Table1[[#This Row],[DeliveryDate]]-Table1[[#This Row],[OrderDate]]</f>
        <v>10</v>
      </c>
      <c r="Y534" t="str">
        <f>TEXT(Table1[[#This Row],[OrderDate]],"MMMM")</f>
        <v>May</v>
      </c>
      <c r="Z534" s="5">
        <f>YEAR(Table1[[#This Row],[OrderDate]])</f>
        <v>2024</v>
      </c>
    </row>
    <row r="535" spans="1:26" x14ac:dyDescent="0.3">
      <c r="A535" s="1" t="s">
        <v>1908</v>
      </c>
      <c r="B535" t="s">
        <v>105</v>
      </c>
      <c r="C535" s="3">
        <v>28</v>
      </c>
      <c r="D535" s="1" t="s">
        <v>51</v>
      </c>
      <c r="E535" s="1" t="s">
        <v>25</v>
      </c>
      <c r="F535" s="1" t="s">
        <v>82</v>
      </c>
      <c r="G535" s="4">
        <v>45254</v>
      </c>
      <c r="H535" s="4">
        <v>45255</v>
      </c>
      <c r="I535" s="1" t="s">
        <v>108</v>
      </c>
      <c r="J535" s="1" t="s">
        <v>30</v>
      </c>
      <c r="K535" s="3">
        <v>3</v>
      </c>
      <c r="L535" s="2">
        <v>17211</v>
      </c>
      <c r="M535" s="3">
        <v>10</v>
      </c>
      <c r="N535" s="1" t="s">
        <v>45</v>
      </c>
      <c r="O535" s="1" t="s">
        <v>102</v>
      </c>
      <c r="P535" s="1" t="s">
        <v>174</v>
      </c>
      <c r="Q535" s="1" t="s">
        <v>110</v>
      </c>
      <c r="R535" s="1" t="s">
        <v>1911</v>
      </c>
      <c r="S535" s="3">
        <v>1</v>
      </c>
      <c r="T535" s="1" t="s">
        <v>36</v>
      </c>
      <c r="U535" s="3">
        <v>233</v>
      </c>
      <c r="V535" s="1" t="s">
        <v>62</v>
      </c>
      <c r="W535" s="5">
        <f>Table1[[#This Row],[Quantity]]*Table1[[#This Row],[Price]]*(1-Table1[[#This Row],[Discount %]]/100)</f>
        <v>46469.700000000004</v>
      </c>
      <c r="X535">
        <f>Table1[[#This Row],[DeliveryDate]]-Table1[[#This Row],[OrderDate]]</f>
        <v>1</v>
      </c>
      <c r="Y535" t="str">
        <f>TEXT(Table1[[#This Row],[OrderDate]],"MMMM")</f>
        <v>November</v>
      </c>
      <c r="Z535" s="5">
        <f>YEAR(Table1[[#This Row],[OrderDate]])</f>
        <v>2023</v>
      </c>
    </row>
    <row r="536" spans="1:26" x14ac:dyDescent="0.3">
      <c r="A536" s="1" t="s">
        <v>1912</v>
      </c>
      <c r="B536" t="s">
        <v>466</v>
      </c>
      <c r="C536" s="3">
        <v>21</v>
      </c>
      <c r="D536" s="1" t="s">
        <v>51</v>
      </c>
      <c r="E536" s="1" t="s">
        <v>142</v>
      </c>
      <c r="F536" s="1" t="s">
        <v>65</v>
      </c>
      <c r="G536" s="4">
        <v>45200</v>
      </c>
      <c r="H536" s="4">
        <v>45203</v>
      </c>
      <c r="I536" s="1" t="s">
        <v>43</v>
      </c>
      <c r="J536" s="1" t="s">
        <v>44</v>
      </c>
      <c r="K536" s="3">
        <v>3</v>
      </c>
      <c r="L536" s="2">
        <v>69703</v>
      </c>
      <c r="M536" s="3">
        <v>10</v>
      </c>
      <c r="N536" s="1" t="s">
        <v>166</v>
      </c>
      <c r="O536" s="1" t="s">
        <v>46</v>
      </c>
      <c r="P536" s="1" t="s">
        <v>33</v>
      </c>
      <c r="Q536" s="1" t="s">
        <v>468</v>
      </c>
      <c r="R536" s="1" t="s">
        <v>1914</v>
      </c>
      <c r="S536" s="3">
        <v>1</v>
      </c>
      <c r="T536" s="1" t="s">
        <v>36</v>
      </c>
      <c r="U536" s="3">
        <v>375</v>
      </c>
      <c r="V536" s="1" t="s">
        <v>79</v>
      </c>
      <c r="W536" s="5">
        <f>Table1[[#This Row],[Quantity]]*Table1[[#This Row],[Price]]*(1-Table1[[#This Row],[Discount %]]/100)</f>
        <v>188198.1</v>
      </c>
      <c r="X536">
        <f>Table1[[#This Row],[DeliveryDate]]-Table1[[#This Row],[OrderDate]]</f>
        <v>3</v>
      </c>
      <c r="Y536" t="str">
        <f>TEXT(Table1[[#This Row],[OrderDate]],"MMMM")</f>
        <v>October</v>
      </c>
      <c r="Z536" s="5">
        <f>YEAR(Table1[[#This Row],[OrderDate]])</f>
        <v>2023</v>
      </c>
    </row>
    <row r="537" spans="1:26" x14ac:dyDescent="0.3">
      <c r="A537" s="1" t="s">
        <v>1915</v>
      </c>
      <c r="B537" t="s">
        <v>141</v>
      </c>
      <c r="C537" s="3">
        <v>19</v>
      </c>
      <c r="D537" s="1" t="s">
        <v>24</v>
      </c>
      <c r="E537" s="1" t="s">
        <v>99</v>
      </c>
      <c r="F537" s="1" t="s">
        <v>53</v>
      </c>
      <c r="G537" s="4">
        <v>45379</v>
      </c>
      <c r="H537" s="4">
        <v>45387</v>
      </c>
      <c r="I537" s="1" t="s">
        <v>43</v>
      </c>
      <c r="J537" s="1" t="s">
        <v>44</v>
      </c>
      <c r="K537" s="3">
        <v>1</v>
      </c>
      <c r="L537" s="2">
        <v>32337</v>
      </c>
      <c r="M537" s="3">
        <v>0</v>
      </c>
      <c r="N537" s="1" t="s">
        <v>56</v>
      </c>
      <c r="O537" s="1" t="s">
        <v>68</v>
      </c>
      <c r="P537" s="1" t="s">
        <v>58</v>
      </c>
      <c r="Q537" s="1" t="s">
        <v>144</v>
      </c>
      <c r="R537" s="1" t="s">
        <v>1917</v>
      </c>
      <c r="S537" s="3">
        <v>4</v>
      </c>
      <c r="T537" s="1" t="s">
        <v>36</v>
      </c>
      <c r="U537" s="3">
        <v>82</v>
      </c>
      <c r="V537" s="1" t="s">
        <v>62</v>
      </c>
      <c r="W537" s="5">
        <f>Table1[[#This Row],[Quantity]]*Table1[[#This Row],[Price]]*(1-Table1[[#This Row],[Discount %]]/100)</f>
        <v>32337</v>
      </c>
      <c r="X537">
        <f>Table1[[#This Row],[DeliveryDate]]-Table1[[#This Row],[OrderDate]]</f>
        <v>8</v>
      </c>
      <c r="Y537" t="str">
        <f>TEXT(Table1[[#This Row],[OrderDate]],"MMMM")</f>
        <v>March</v>
      </c>
      <c r="Z537" s="5">
        <f>YEAR(Table1[[#This Row],[OrderDate]])</f>
        <v>2024</v>
      </c>
    </row>
    <row r="538" spans="1:26" x14ac:dyDescent="0.3">
      <c r="A538" s="1" t="s">
        <v>1918</v>
      </c>
      <c r="B538" t="s">
        <v>411</v>
      </c>
      <c r="C538" s="3">
        <v>45</v>
      </c>
      <c r="D538" s="1" t="s">
        <v>24</v>
      </c>
      <c r="E538" s="1" t="s">
        <v>142</v>
      </c>
      <c r="F538" s="1" t="s">
        <v>65</v>
      </c>
      <c r="G538" s="4">
        <v>45268</v>
      </c>
      <c r="H538" s="4">
        <v>45273</v>
      </c>
      <c r="I538" s="1" t="s">
        <v>77</v>
      </c>
      <c r="J538" s="1" t="s">
        <v>44</v>
      </c>
      <c r="K538" s="3">
        <v>1</v>
      </c>
      <c r="L538" s="2">
        <v>42109.716287215415</v>
      </c>
      <c r="M538" s="3">
        <v>0</v>
      </c>
      <c r="N538" s="1" t="s">
        <v>56</v>
      </c>
      <c r="O538" s="1" t="s">
        <v>57</v>
      </c>
      <c r="P538" s="1" t="s">
        <v>33</v>
      </c>
      <c r="Q538" s="1" t="s">
        <v>414</v>
      </c>
      <c r="R538" s="1" t="s">
        <v>1920</v>
      </c>
      <c r="S538" s="3">
        <v>4</v>
      </c>
      <c r="T538" s="1" t="s">
        <v>36</v>
      </c>
      <c r="U538" s="3">
        <v>120</v>
      </c>
      <c r="V538" s="1" t="s">
        <v>62</v>
      </c>
      <c r="W538" s="5">
        <f>Table1[[#This Row],[Quantity]]*Table1[[#This Row],[Price]]*(1-Table1[[#This Row],[Discount %]]/100)</f>
        <v>42109.716287215415</v>
      </c>
      <c r="X538">
        <f>Table1[[#This Row],[DeliveryDate]]-Table1[[#This Row],[OrderDate]]</f>
        <v>5</v>
      </c>
      <c r="Y538" t="str">
        <f>TEXT(Table1[[#This Row],[OrderDate]],"MMMM")</f>
        <v>December</v>
      </c>
      <c r="Z538" s="5">
        <f>YEAR(Table1[[#This Row],[OrderDate]])</f>
        <v>2023</v>
      </c>
    </row>
    <row r="539" spans="1:26" x14ac:dyDescent="0.3">
      <c r="A539" s="1" t="s">
        <v>1921</v>
      </c>
      <c r="B539" t="s">
        <v>39</v>
      </c>
      <c r="C539" s="3">
        <v>18</v>
      </c>
      <c r="D539" s="1" t="s">
        <v>24</v>
      </c>
      <c r="E539" s="1" t="s">
        <v>25</v>
      </c>
      <c r="F539" s="1" t="s">
        <v>91</v>
      </c>
      <c r="G539" s="4">
        <v>45390</v>
      </c>
      <c r="H539" s="4">
        <v>45394</v>
      </c>
      <c r="I539" s="1" t="s">
        <v>29</v>
      </c>
      <c r="J539" s="1" t="s">
        <v>30</v>
      </c>
      <c r="K539" s="3">
        <v>1</v>
      </c>
      <c r="L539" s="2">
        <v>16261</v>
      </c>
      <c r="M539" s="3">
        <v>0</v>
      </c>
      <c r="N539" s="1" t="s">
        <v>56</v>
      </c>
      <c r="O539" s="1" t="s">
        <v>109</v>
      </c>
      <c r="P539" s="1" t="s">
        <v>174</v>
      </c>
      <c r="Q539" s="1" t="s">
        <v>47</v>
      </c>
      <c r="R539" s="1" t="s">
        <v>1922</v>
      </c>
      <c r="S539" s="3">
        <v>4</v>
      </c>
      <c r="T539" s="1" t="s">
        <v>96</v>
      </c>
      <c r="U539" s="3">
        <v>131</v>
      </c>
      <c r="V539" s="1" t="s">
        <v>79</v>
      </c>
      <c r="W539" s="5">
        <f>Table1[[#This Row],[Quantity]]*Table1[[#This Row],[Price]]*(1-Table1[[#This Row],[Discount %]]/100)</f>
        <v>16261</v>
      </c>
      <c r="X539">
        <f>Table1[[#This Row],[DeliveryDate]]-Table1[[#This Row],[OrderDate]]</f>
        <v>4</v>
      </c>
      <c r="Y539" t="str">
        <f>TEXT(Table1[[#This Row],[OrderDate]],"MMMM")</f>
        <v>April</v>
      </c>
      <c r="Z539" s="5">
        <f>YEAR(Table1[[#This Row],[OrderDate]])</f>
        <v>2024</v>
      </c>
    </row>
    <row r="540" spans="1:26" x14ac:dyDescent="0.3">
      <c r="A540" s="1" t="s">
        <v>1923</v>
      </c>
      <c r="B540" t="s">
        <v>90</v>
      </c>
      <c r="C540" s="3">
        <v>53</v>
      </c>
      <c r="D540" s="1" t="s">
        <v>51</v>
      </c>
      <c r="E540" s="1" t="s">
        <v>131</v>
      </c>
      <c r="F540" s="1" t="s">
        <v>53</v>
      </c>
      <c r="G540" s="4">
        <v>45304</v>
      </c>
      <c r="H540" s="4">
        <v>45309</v>
      </c>
      <c r="I540" s="1" t="s">
        <v>43</v>
      </c>
      <c r="J540" s="1" t="s">
        <v>44</v>
      </c>
      <c r="K540" s="3">
        <v>4</v>
      </c>
      <c r="L540" s="2">
        <v>36415</v>
      </c>
      <c r="M540" s="3">
        <v>5</v>
      </c>
      <c r="N540" s="1" t="s">
        <v>31</v>
      </c>
      <c r="O540" s="1" t="s">
        <v>281</v>
      </c>
      <c r="P540" s="1" t="s">
        <v>58</v>
      </c>
      <c r="Q540" s="1" t="s">
        <v>94</v>
      </c>
      <c r="R540" s="1" t="s">
        <v>1925</v>
      </c>
      <c r="S540" s="3">
        <v>1</v>
      </c>
      <c r="T540" s="1" t="s">
        <v>61</v>
      </c>
      <c r="U540" s="3">
        <v>315</v>
      </c>
      <c r="V540" s="1" t="s">
        <v>62</v>
      </c>
      <c r="W540" s="5">
        <f>Table1[[#This Row],[Quantity]]*Table1[[#This Row],[Price]]*(1-Table1[[#This Row],[Discount %]]/100)</f>
        <v>138377</v>
      </c>
      <c r="X540">
        <f>Table1[[#This Row],[DeliveryDate]]-Table1[[#This Row],[OrderDate]]</f>
        <v>5</v>
      </c>
      <c r="Y540" t="str">
        <f>TEXT(Table1[[#This Row],[OrderDate]],"MMMM")</f>
        <v>January</v>
      </c>
      <c r="Z540" s="5">
        <f>YEAR(Table1[[#This Row],[OrderDate]])</f>
        <v>2024</v>
      </c>
    </row>
    <row r="541" spans="1:26" x14ac:dyDescent="0.3">
      <c r="A541" s="1" t="s">
        <v>1926</v>
      </c>
      <c r="B541" t="s">
        <v>105</v>
      </c>
      <c r="C541" s="3">
        <v>55</v>
      </c>
      <c r="D541" s="1" t="s">
        <v>24</v>
      </c>
      <c r="E541" s="1" t="s">
        <v>142</v>
      </c>
      <c r="F541" s="1" t="s">
        <v>26</v>
      </c>
      <c r="G541" s="4">
        <v>45077</v>
      </c>
      <c r="H541" s="4">
        <v>45078</v>
      </c>
      <c r="I541" s="1" t="s">
        <v>93</v>
      </c>
      <c r="J541" s="1" t="s">
        <v>44</v>
      </c>
      <c r="K541" s="3">
        <v>2</v>
      </c>
      <c r="L541" s="2">
        <v>29765</v>
      </c>
      <c r="M541" s="3">
        <v>10</v>
      </c>
      <c r="N541" s="1" t="s">
        <v>45</v>
      </c>
      <c r="O541" s="1" t="s">
        <v>86</v>
      </c>
      <c r="P541" s="1" t="s">
        <v>33</v>
      </c>
      <c r="Q541" s="1" t="s">
        <v>110</v>
      </c>
      <c r="R541" s="1" t="s">
        <v>1927</v>
      </c>
      <c r="S541" s="3">
        <v>5</v>
      </c>
      <c r="T541" s="1" t="s">
        <v>72</v>
      </c>
      <c r="U541" s="3">
        <v>388</v>
      </c>
      <c r="V541" s="1" t="s">
        <v>37</v>
      </c>
      <c r="W541" s="5">
        <f>Table1[[#This Row],[Quantity]]*Table1[[#This Row],[Price]]*(1-Table1[[#This Row],[Discount %]]/100)</f>
        <v>53577</v>
      </c>
      <c r="X541">
        <f>Table1[[#This Row],[DeliveryDate]]-Table1[[#This Row],[OrderDate]]</f>
        <v>1</v>
      </c>
      <c r="Y541" t="str">
        <f>TEXT(Table1[[#This Row],[OrderDate]],"MMMM")</f>
        <v>May</v>
      </c>
      <c r="Z541" s="5">
        <f>YEAR(Table1[[#This Row],[OrderDate]])</f>
        <v>2023</v>
      </c>
    </row>
    <row r="542" spans="1:26" x14ac:dyDescent="0.3">
      <c r="A542" s="1" t="s">
        <v>1928</v>
      </c>
      <c r="B542" t="s">
        <v>440</v>
      </c>
      <c r="C542" s="3">
        <v>41</v>
      </c>
      <c r="D542" s="1" t="s">
        <v>24</v>
      </c>
      <c r="E542" s="1" t="s">
        <v>52</v>
      </c>
      <c r="F542" s="1" t="s">
        <v>26</v>
      </c>
      <c r="G542" s="4">
        <v>44994</v>
      </c>
      <c r="H542" s="4">
        <v>45000</v>
      </c>
      <c r="I542" s="1" t="s">
        <v>77</v>
      </c>
      <c r="J542" s="1" t="s">
        <v>44</v>
      </c>
      <c r="K542" s="3">
        <v>3</v>
      </c>
      <c r="L542" s="2">
        <v>9996</v>
      </c>
      <c r="M542" s="3">
        <v>15</v>
      </c>
      <c r="N542" s="1" t="s">
        <v>45</v>
      </c>
      <c r="O542" s="1" t="s">
        <v>68</v>
      </c>
      <c r="P542" s="1" t="s">
        <v>58</v>
      </c>
      <c r="Q542" s="1" t="s">
        <v>437</v>
      </c>
      <c r="R542" s="1" t="s">
        <v>1930</v>
      </c>
      <c r="S542" s="3">
        <v>2</v>
      </c>
      <c r="T542" s="1" t="s">
        <v>96</v>
      </c>
      <c r="U542" s="3">
        <v>143</v>
      </c>
      <c r="V542" s="1" t="s">
        <v>37</v>
      </c>
      <c r="W542" s="5">
        <f>Table1[[#This Row],[Quantity]]*Table1[[#This Row],[Price]]*(1-Table1[[#This Row],[Discount %]]/100)</f>
        <v>25489.8</v>
      </c>
      <c r="X542">
        <f>Table1[[#This Row],[DeliveryDate]]-Table1[[#This Row],[OrderDate]]</f>
        <v>6</v>
      </c>
      <c r="Y542" t="str">
        <f>TEXT(Table1[[#This Row],[OrderDate]],"MMMM")</f>
        <v>March</v>
      </c>
      <c r="Z542" s="5">
        <f>YEAR(Table1[[#This Row],[OrderDate]])</f>
        <v>2023</v>
      </c>
    </row>
    <row r="543" spans="1:26" x14ac:dyDescent="0.3">
      <c r="A543" s="1" t="s">
        <v>1931</v>
      </c>
      <c r="B543" t="s">
        <v>249</v>
      </c>
      <c r="C543" s="3">
        <v>44</v>
      </c>
      <c r="D543" s="1" t="s">
        <v>51</v>
      </c>
      <c r="E543" s="1" t="s">
        <v>40</v>
      </c>
      <c r="F543" s="1" t="s">
        <v>65</v>
      </c>
      <c r="G543" s="4">
        <v>45226</v>
      </c>
      <c r="H543" s="4">
        <v>45230</v>
      </c>
      <c r="I543" s="1" t="s">
        <v>77</v>
      </c>
      <c r="J543" s="1" t="s">
        <v>30</v>
      </c>
      <c r="K543" s="3">
        <v>4</v>
      </c>
      <c r="L543" s="2">
        <v>48638</v>
      </c>
      <c r="M543" s="3">
        <v>5</v>
      </c>
      <c r="N543" s="1" t="s">
        <v>31</v>
      </c>
      <c r="O543" s="1" t="s">
        <v>86</v>
      </c>
      <c r="P543" s="1" t="s">
        <v>69</v>
      </c>
      <c r="Q543" s="1" t="s">
        <v>252</v>
      </c>
      <c r="R543" s="1" t="s">
        <v>1933</v>
      </c>
      <c r="S543" s="3">
        <v>1</v>
      </c>
      <c r="T543" s="1" t="s">
        <v>96</v>
      </c>
      <c r="U543" s="3">
        <v>305</v>
      </c>
      <c r="V543" s="1" t="s">
        <v>79</v>
      </c>
      <c r="W543" s="5">
        <f>Table1[[#This Row],[Quantity]]*Table1[[#This Row],[Price]]*(1-Table1[[#This Row],[Discount %]]/100)</f>
        <v>184824.4</v>
      </c>
      <c r="X543">
        <f>Table1[[#This Row],[DeliveryDate]]-Table1[[#This Row],[OrderDate]]</f>
        <v>4</v>
      </c>
      <c r="Y543" t="str">
        <f>TEXT(Table1[[#This Row],[OrderDate]],"MMMM")</f>
        <v>October</v>
      </c>
      <c r="Z543" s="5">
        <f>YEAR(Table1[[#This Row],[OrderDate]])</f>
        <v>2023</v>
      </c>
    </row>
    <row r="544" spans="1:26" x14ac:dyDescent="0.3">
      <c r="A544" s="1" t="s">
        <v>1934</v>
      </c>
      <c r="B544" t="s">
        <v>1309</v>
      </c>
      <c r="C544" s="3">
        <v>27</v>
      </c>
      <c r="D544" s="1" t="s">
        <v>51</v>
      </c>
      <c r="E544" s="1" t="s">
        <v>26</v>
      </c>
      <c r="F544" s="1" t="s">
        <v>91</v>
      </c>
      <c r="G544" s="4">
        <v>45397</v>
      </c>
      <c r="H544" s="4">
        <v>45407</v>
      </c>
      <c r="I544" s="1" t="s">
        <v>77</v>
      </c>
      <c r="J544" s="1" t="s">
        <v>30</v>
      </c>
      <c r="K544" s="3">
        <v>2</v>
      </c>
      <c r="L544" s="2">
        <v>59418</v>
      </c>
      <c r="M544" s="3">
        <v>0</v>
      </c>
      <c r="N544" s="1" t="s">
        <v>31</v>
      </c>
      <c r="O544" s="1" t="s">
        <v>57</v>
      </c>
      <c r="P544" s="1" t="s">
        <v>174</v>
      </c>
      <c r="Q544" s="1" t="s">
        <v>1311</v>
      </c>
      <c r="R544" s="1" t="s">
        <v>1935</v>
      </c>
      <c r="S544" s="3">
        <v>1</v>
      </c>
      <c r="T544" s="1" t="s">
        <v>96</v>
      </c>
      <c r="U544" s="3">
        <v>195</v>
      </c>
      <c r="V544" s="1" t="s">
        <v>62</v>
      </c>
      <c r="W544" s="5">
        <f>Table1[[#This Row],[Quantity]]*Table1[[#This Row],[Price]]*(1-Table1[[#This Row],[Discount %]]/100)</f>
        <v>118836</v>
      </c>
      <c r="X544">
        <f>Table1[[#This Row],[DeliveryDate]]-Table1[[#This Row],[OrderDate]]</f>
        <v>10</v>
      </c>
      <c r="Y544" t="str">
        <f>TEXT(Table1[[#This Row],[OrderDate]],"MMMM")</f>
        <v>April</v>
      </c>
      <c r="Z544" s="5">
        <f>YEAR(Table1[[#This Row],[OrderDate]])</f>
        <v>2024</v>
      </c>
    </row>
    <row r="545" spans="1:26" x14ac:dyDescent="0.3">
      <c r="A545" s="1" t="s">
        <v>1936</v>
      </c>
      <c r="B545" t="s">
        <v>397</v>
      </c>
      <c r="C545" s="3">
        <v>45</v>
      </c>
      <c r="D545" s="1" t="s">
        <v>51</v>
      </c>
      <c r="E545" s="1" t="s">
        <v>142</v>
      </c>
      <c r="F545" s="1" t="s">
        <v>91</v>
      </c>
      <c r="G545" s="4">
        <v>45583</v>
      </c>
      <c r="H545" s="4">
        <v>45587</v>
      </c>
      <c r="I545" s="1" t="s">
        <v>93</v>
      </c>
      <c r="J545" s="1" t="s">
        <v>44</v>
      </c>
      <c r="K545" s="3">
        <v>4</v>
      </c>
      <c r="L545" s="2">
        <v>44911</v>
      </c>
      <c r="M545" s="3">
        <v>10</v>
      </c>
      <c r="N545" s="1" t="s">
        <v>56</v>
      </c>
      <c r="O545" s="1" t="s">
        <v>57</v>
      </c>
      <c r="P545" s="1" t="s">
        <v>58</v>
      </c>
      <c r="Q545" s="1" t="s">
        <v>400</v>
      </c>
      <c r="R545" s="1" t="s">
        <v>1938</v>
      </c>
      <c r="S545" s="3">
        <v>1</v>
      </c>
      <c r="T545" s="1" t="s">
        <v>36</v>
      </c>
      <c r="U545" s="3">
        <v>326</v>
      </c>
      <c r="V545" s="1" t="s">
        <v>62</v>
      </c>
      <c r="W545" s="5">
        <f>Table1[[#This Row],[Quantity]]*Table1[[#This Row],[Price]]*(1-Table1[[#This Row],[Discount %]]/100)</f>
        <v>161679.6</v>
      </c>
      <c r="X545">
        <f>Table1[[#This Row],[DeliveryDate]]-Table1[[#This Row],[OrderDate]]</f>
        <v>4</v>
      </c>
      <c r="Y545" t="str">
        <f>TEXT(Table1[[#This Row],[OrderDate]],"MMMM")</f>
        <v>October</v>
      </c>
      <c r="Z545" s="5">
        <f>YEAR(Table1[[#This Row],[OrderDate]])</f>
        <v>2024</v>
      </c>
    </row>
    <row r="546" spans="1:26" x14ac:dyDescent="0.3">
      <c r="A546" s="1" t="s">
        <v>1939</v>
      </c>
      <c r="B546" t="s">
        <v>729</v>
      </c>
      <c r="C546" s="3">
        <v>42</v>
      </c>
      <c r="D546" s="1" t="s">
        <v>51</v>
      </c>
      <c r="E546" s="1" t="s">
        <v>142</v>
      </c>
      <c r="F546" s="1" t="s">
        <v>65</v>
      </c>
      <c r="G546" s="4">
        <v>45538</v>
      </c>
      <c r="H546" s="4">
        <v>45539</v>
      </c>
      <c r="I546" s="1" t="s">
        <v>93</v>
      </c>
      <c r="J546" s="1" t="s">
        <v>30</v>
      </c>
      <c r="K546" s="3">
        <v>4</v>
      </c>
      <c r="L546" s="2">
        <v>53927</v>
      </c>
      <c r="M546" s="3">
        <v>0</v>
      </c>
      <c r="N546" s="1" t="s">
        <v>31</v>
      </c>
      <c r="O546" s="1" t="s">
        <v>57</v>
      </c>
      <c r="P546" s="1" t="s">
        <v>33</v>
      </c>
      <c r="Q546" s="1" t="s">
        <v>732</v>
      </c>
      <c r="R546" s="1" t="s">
        <v>1940</v>
      </c>
      <c r="S546" s="3">
        <v>3</v>
      </c>
      <c r="T546" s="1" t="s">
        <v>61</v>
      </c>
      <c r="U546" s="3">
        <v>470</v>
      </c>
      <c r="V546" s="1" t="s">
        <v>79</v>
      </c>
      <c r="W546" s="5">
        <f>Table1[[#This Row],[Quantity]]*Table1[[#This Row],[Price]]*(1-Table1[[#This Row],[Discount %]]/100)</f>
        <v>215708</v>
      </c>
      <c r="X546">
        <f>Table1[[#This Row],[DeliveryDate]]-Table1[[#This Row],[OrderDate]]</f>
        <v>1</v>
      </c>
      <c r="Y546" t="str">
        <f>TEXT(Table1[[#This Row],[OrderDate]],"MMMM")</f>
        <v>September</v>
      </c>
      <c r="Z546" s="5">
        <f>YEAR(Table1[[#This Row],[OrderDate]])</f>
        <v>2024</v>
      </c>
    </row>
    <row r="547" spans="1:26" x14ac:dyDescent="0.3">
      <c r="A547" s="1" t="s">
        <v>1941</v>
      </c>
      <c r="B547" t="s">
        <v>601</v>
      </c>
      <c r="C547" s="3">
        <v>20</v>
      </c>
      <c r="D547" s="1" t="s">
        <v>51</v>
      </c>
      <c r="E547" s="1" t="s">
        <v>52</v>
      </c>
      <c r="F547" s="1" t="s">
        <v>26</v>
      </c>
      <c r="G547" s="4">
        <v>45489</v>
      </c>
      <c r="H547" s="4">
        <v>45498</v>
      </c>
      <c r="I547" s="1" t="s">
        <v>85</v>
      </c>
      <c r="J547" s="1" t="s">
        <v>30</v>
      </c>
      <c r="K547" s="3">
        <v>3</v>
      </c>
      <c r="L547" s="2">
        <v>74209</v>
      </c>
      <c r="M547" s="3">
        <v>0</v>
      </c>
      <c r="N547" s="1" t="s">
        <v>166</v>
      </c>
      <c r="O547" s="1" t="s">
        <v>102</v>
      </c>
      <c r="P547" s="1" t="s">
        <v>33</v>
      </c>
      <c r="Q547" s="1" t="s">
        <v>603</v>
      </c>
      <c r="R547" s="1" t="s">
        <v>1944</v>
      </c>
      <c r="S547" s="3">
        <v>1</v>
      </c>
      <c r="T547" s="1" t="s">
        <v>36</v>
      </c>
      <c r="U547" s="3">
        <v>379</v>
      </c>
      <c r="V547" s="1" t="s">
        <v>79</v>
      </c>
      <c r="W547" s="5">
        <f>Table1[[#This Row],[Quantity]]*Table1[[#This Row],[Price]]*(1-Table1[[#This Row],[Discount %]]/100)</f>
        <v>222627</v>
      </c>
      <c r="X547">
        <f>Table1[[#This Row],[DeliveryDate]]-Table1[[#This Row],[OrderDate]]</f>
        <v>9</v>
      </c>
      <c r="Y547" t="str">
        <f>TEXT(Table1[[#This Row],[OrderDate]],"MMMM")</f>
        <v>July</v>
      </c>
      <c r="Z547" s="5">
        <f>YEAR(Table1[[#This Row],[OrderDate]])</f>
        <v>2024</v>
      </c>
    </row>
    <row r="548" spans="1:26" x14ac:dyDescent="0.3">
      <c r="A548" s="1" t="s">
        <v>1945</v>
      </c>
      <c r="B548" t="s">
        <v>222</v>
      </c>
      <c r="C548" s="3">
        <v>53</v>
      </c>
      <c r="D548" s="1" t="s">
        <v>24</v>
      </c>
      <c r="E548" s="1" t="s">
        <v>52</v>
      </c>
      <c r="F548" s="1" t="s">
        <v>53</v>
      </c>
      <c r="G548" s="4">
        <v>45033</v>
      </c>
      <c r="H548" s="4">
        <v>45036</v>
      </c>
      <c r="I548" s="1" t="s">
        <v>108</v>
      </c>
      <c r="J548" s="1" t="s">
        <v>30</v>
      </c>
      <c r="K548" s="3">
        <v>2</v>
      </c>
      <c r="L548" s="2">
        <v>62337</v>
      </c>
      <c r="M548" s="3">
        <v>10</v>
      </c>
      <c r="N548" s="1" t="s">
        <v>166</v>
      </c>
      <c r="O548" s="1" t="s">
        <v>46</v>
      </c>
      <c r="P548" s="1" t="s">
        <v>33</v>
      </c>
      <c r="Q548" s="1" t="s">
        <v>225</v>
      </c>
      <c r="R548" s="1" t="s">
        <v>1946</v>
      </c>
      <c r="S548" s="3">
        <v>4</v>
      </c>
      <c r="T548" s="1" t="s">
        <v>96</v>
      </c>
      <c r="U548" s="3">
        <v>97</v>
      </c>
      <c r="V548" s="1" t="s">
        <v>62</v>
      </c>
      <c r="W548" s="5">
        <f>Table1[[#This Row],[Quantity]]*Table1[[#This Row],[Price]]*(1-Table1[[#This Row],[Discount %]]/100)</f>
        <v>112206.6</v>
      </c>
      <c r="X548">
        <f>Table1[[#This Row],[DeliveryDate]]-Table1[[#This Row],[OrderDate]]</f>
        <v>3</v>
      </c>
      <c r="Y548" t="str">
        <f>TEXT(Table1[[#This Row],[OrderDate]],"MMMM")</f>
        <v>April</v>
      </c>
      <c r="Z548" s="5">
        <f>YEAR(Table1[[#This Row],[OrderDate]])</f>
        <v>2023</v>
      </c>
    </row>
    <row r="549" spans="1:26" x14ac:dyDescent="0.3">
      <c r="A549" s="1" t="s">
        <v>1947</v>
      </c>
      <c r="B549" t="s">
        <v>327</v>
      </c>
      <c r="C549" s="3">
        <v>49</v>
      </c>
      <c r="D549" s="1" t="s">
        <v>51</v>
      </c>
      <c r="E549" s="1" t="s">
        <v>40</v>
      </c>
      <c r="F549" s="1" t="s">
        <v>26</v>
      </c>
      <c r="G549" s="4">
        <v>44959</v>
      </c>
      <c r="H549" s="4">
        <v>44961</v>
      </c>
      <c r="I549" s="1" t="s">
        <v>93</v>
      </c>
      <c r="J549" s="1" t="s">
        <v>30</v>
      </c>
      <c r="K549" s="3">
        <v>2.9447852760736195</v>
      </c>
      <c r="L549" s="2">
        <v>49166</v>
      </c>
      <c r="M549" s="3">
        <v>5</v>
      </c>
      <c r="N549" s="1" t="s">
        <v>56</v>
      </c>
      <c r="O549" s="1" t="s">
        <v>133</v>
      </c>
      <c r="P549" s="1" t="s">
        <v>69</v>
      </c>
      <c r="Q549" s="1" t="s">
        <v>330</v>
      </c>
      <c r="R549" s="1" t="s">
        <v>3415</v>
      </c>
      <c r="S549" s="3">
        <v>2</v>
      </c>
      <c r="T549" s="1" t="s">
        <v>36</v>
      </c>
      <c r="U549" s="3">
        <v>351</v>
      </c>
      <c r="V549" s="1" t="s">
        <v>79</v>
      </c>
      <c r="W549" s="5">
        <f>Table1[[#This Row],[Quantity]]*Table1[[#This Row],[Price]]*(1-Table1[[#This Row],[Discount %]]/100)</f>
        <v>137544.14723926378</v>
      </c>
      <c r="X549">
        <f>Table1[[#This Row],[DeliveryDate]]-Table1[[#This Row],[OrderDate]]</f>
        <v>2</v>
      </c>
      <c r="Y549" t="str">
        <f>TEXT(Table1[[#This Row],[OrderDate]],"MMMM")</f>
        <v>February</v>
      </c>
      <c r="Z549" s="5">
        <f>YEAR(Table1[[#This Row],[OrderDate]])</f>
        <v>2023</v>
      </c>
    </row>
    <row r="550" spans="1:26" x14ac:dyDescent="0.3">
      <c r="A550" s="1" t="s">
        <v>1948</v>
      </c>
      <c r="B550" t="s">
        <v>1309</v>
      </c>
      <c r="C550" s="3">
        <v>56</v>
      </c>
      <c r="D550" s="1" t="s">
        <v>24</v>
      </c>
      <c r="E550" s="1" t="s">
        <v>131</v>
      </c>
      <c r="F550" s="1" t="s">
        <v>26</v>
      </c>
      <c r="G550" s="4">
        <v>45193</v>
      </c>
      <c r="H550" s="4">
        <v>45197</v>
      </c>
      <c r="I550" s="1" t="s">
        <v>43</v>
      </c>
      <c r="J550" s="1" t="s">
        <v>44</v>
      </c>
      <c r="K550" s="3">
        <v>5</v>
      </c>
      <c r="L550" s="2">
        <v>41717</v>
      </c>
      <c r="M550" s="3">
        <v>15</v>
      </c>
      <c r="N550" s="1" t="s">
        <v>31</v>
      </c>
      <c r="O550" s="1" t="s">
        <v>281</v>
      </c>
      <c r="P550" s="1" t="s">
        <v>33</v>
      </c>
      <c r="Q550" s="1" t="s">
        <v>1311</v>
      </c>
      <c r="R550" s="1" t="s">
        <v>1949</v>
      </c>
      <c r="S550" s="3">
        <v>5</v>
      </c>
      <c r="T550" s="1" t="s">
        <v>72</v>
      </c>
      <c r="U550" s="3">
        <v>68</v>
      </c>
      <c r="V550" s="1" t="s">
        <v>79</v>
      </c>
      <c r="W550" s="5">
        <f>Table1[[#This Row],[Quantity]]*Table1[[#This Row],[Price]]*(1-Table1[[#This Row],[Discount %]]/100)</f>
        <v>177297.25</v>
      </c>
      <c r="X550">
        <f>Table1[[#This Row],[DeliveryDate]]-Table1[[#This Row],[OrderDate]]</f>
        <v>4</v>
      </c>
      <c r="Y550" t="str">
        <f>TEXT(Table1[[#This Row],[OrderDate]],"MMMM")</f>
        <v>September</v>
      </c>
      <c r="Z550" s="5">
        <f>YEAR(Table1[[#This Row],[OrderDate]])</f>
        <v>2023</v>
      </c>
    </row>
    <row r="551" spans="1:26" x14ac:dyDescent="0.3">
      <c r="A551" s="1" t="s">
        <v>1950</v>
      </c>
      <c r="B551" t="s">
        <v>547</v>
      </c>
      <c r="C551" s="3">
        <v>24</v>
      </c>
      <c r="D551" s="1" t="s">
        <v>24</v>
      </c>
      <c r="E551" s="1" t="s">
        <v>229</v>
      </c>
      <c r="F551" s="1" t="s">
        <v>65</v>
      </c>
      <c r="G551" s="4">
        <v>44977</v>
      </c>
      <c r="H551" s="4">
        <v>44981</v>
      </c>
      <c r="I551" s="1" t="s">
        <v>77</v>
      </c>
      <c r="J551" s="1" t="s">
        <v>30</v>
      </c>
      <c r="K551" s="3">
        <v>2</v>
      </c>
      <c r="L551" s="2">
        <v>6733</v>
      </c>
      <c r="M551" s="3">
        <v>10</v>
      </c>
      <c r="N551" s="1" t="s">
        <v>56</v>
      </c>
      <c r="O551" s="1" t="s">
        <v>102</v>
      </c>
      <c r="P551" s="1" t="s">
        <v>174</v>
      </c>
      <c r="Q551" s="1" t="s">
        <v>549</v>
      </c>
      <c r="R551" s="1" t="s">
        <v>1952</v>
      </c>
      <c r="S551" s="3">
        <v>2</v>
      </c>
      <c r="T551" s="1" t="s">
        <v>96</v>
      </c>
      <c r="U551" s="3">
        <v>159</v>
      </c>
      <c r="V551" s="1" t="s">
        <v>79</v>
      </c>
      <c r="W551" s="5">
        <f>Table1[[#This Row],[Quantity]]*Table1[[#This Row],[Price]]*(1-Table1[[#This Row],[Discount %]]/100)</f>
        <v>12119.4</v>
      </c>
      <c r="X551">
        <f>Table1[[#This Row],[DeliveryDate]]-Table1[[#This Row],[OrderDate]]</f>
        <v>4</v>
      </c>
      <c r="Y551" t="str">
        <f>TEXT(Table1[[#This Row],[OrderDate]],"MMMM")</f>
        <v>February</v>
      </c>
      <c r="Z551" s="5">
        <f>YEAR(Table1[[#This Row],[OrderDate]])</f>
        <v>2023</v>
      </c>
    </row>
    <row r="552" spans="1:26" x14ac:dyDescent="0.3">
      <c r="A552" s="1" t="s">
        <v>1953</v>
      </c>
      <c r="B552" t="s">
        <v>249</v>
      </c>
      <c r="C552" s="3">
        <v>42</v>
      </c>
      <c r="D552" s="1" t="s">
        <v>24</v>
      </c>
      <c r="E552" s="1" t="s">
        <v>99</v>
      </c>
      <c r="F552" s="1" t="s">
        <v>53</v>
      </c>
      <c r="G552" s="4">
        <v>45510</v>
      </c>
      <c r="H552" s="4">
        <v>45518</v>
      </c>
      <c r="I552" s="1" t="s">
        <v>43</v>
      </c>
      <c r="J552" s="1" t="s">
        <v>44</v>
      </c>
      <c r="K552" s="3">
        <v>4</v>
      </c>
      <c r="L552" s="2">
        <v>8880</v>
      </c>
      <c r="M552" s="3">
        <v>5</v>
      </c>
      <c r="N552" s="1" t="s">
        <v>45</v>
      </c>
      <c r="O552" s="1" t="s">
        <v>281</v>
      </c>
      <c r="P552" s="1" t="s">
        <v>33</v>
      </c>
      <c r="Q552" s="1" t="s">
        <v>252</v>
      </c>
      <c r="R552" s="1" t="s">
        <v>1954</v>
      </c>
      <c r="S552" s="3">
        <v>3</v>
      </c>
      <c r="T552" s="1" t="s">
        <v>72</v>
      </c>
      <c r="U552" s="3">
        <v>171</v>
      </c>
      <c r="V552" s="1" t="s">
        <v>37</v>
      </c>
      <c r="W552" s="5">
        <f>Table1[[#This Row],[Quantity]]*Table1[[#This Row],[Price]]*(1-Table1[[#This Row],[Discount %]]/100)</f>
        <v>33744</v>
      </c>
      <c r="X552">
        <f>Table1[[#This Row],[DeliveryDate]]-Table1[[#This Row],[OrderDate]]</f>
        <v>8</v>
      </c>
      <c r="Y552" t="str">
        <f>TEXT(Table1[[#This Row],[OrderDate]],"MMMM")</f>
        <v>August</v>
      </c>
      <c r="Z552" s="5">
        <f>YEAR(Table1[[#This Row],[OrderDate]])</f>
        <v>2024</v>
      </c>
    </row>
    <row r="553" spans="1:26" x14ac:dyDescent="0.3">
      <c r="A553" s="1" t="s">
        <v>1955</v>
      </c>
      <c r="B553" t="s">
        <v>457</v>
      </c>
      <c r="C553" s="3">
        <v>21</v>
      </c>
      <c r="D553" s="1" t="s">
        <v>24</v>
      </c>
      <c r="E553" s="1" t="s">
        <v>40</v>
      </c>
      <c r="F553" s="1" t="s">
        <v>53</v>
      </c>
      <c r="G553" s="4">
        <v>44991</v>
      </c>
      <c r="H553" s="4">
        <v>44999</v>
      </c>
      <c r="I553" s="1" t="s">
        <v>108</v>
      </c>
      <c r="J553" s="1" t="s">
        <v>30</v>
      </c>
      <c r="K553" s="3">
        <v>3</v>
      </c>
      <c r="L553" s="2">
        <v>78275</v>
      </c>
      <c r="M553" s="3">
        <v>15</v>
      </c>
      <c r="N553" s="1" t="s">
        <v>56</v>
      </c>
      <c r="O553" s="1" t="s">
        <v>102</v>
      </c>
      <c r="P553" s="1" t="s">
        <v>33</v>
      </c>
      <c r="Q553" s="1" t="s">
        <v>595</v>
      </c>
      <c r="R553" s="1" t="s">
        <v>1956</v>
      </c>
      <c r="S553" s="3">
        <v>5</v>
      </c>
      <c r="T553" s="1" t="s">
        <v>72</v>
      </c>
      <c r="U553" s="3">
        <v>203</v>
      </c>
      <c r="V553" s="1" t="s">
        <v>62</v>
      </c>
      <c r="W553" s="5">
        <f>Table1[[#This Row],[Quantity]]*Table1[[#This Row],[Price]]*(1-Table1[[#This Row],[Discount %]]/100)</f>
        <v>199601.25</v>
      </c>
      <c r="X553">
        <f>Table1[[#This Row],[DeliveryDate]]-Table1[[#This Row],[OrderDate]]</f>
        <v>8</v>
      </c>
      <c r="Y553" t="str">
        <f>TEXT(Table1[[#This Row],[OrderDate]],"MMMM")</f>
        <v>March</v>
      </c>
      <c r="Z553" s="5">
        <f>YEAR(Table1[[#This Row],[OrderDate]])</f>
        <v>2023</v>
      </c>
    </row>
    <row r="554" spans="1:26" x14ac:dyDescent="0.3">
      <c r="A554" s="1" t="s">
        <v>1957</v>
      </c>
      <c r="B554" t="s">
        <v>119</v>
      </c>
      <c r="C554" s="3">
        <v>27</v>
      </c>
      <c r="D554" s="1" t="s">
        <v>51</v>
      </c>
      <c r="E554" s="1" t="s">
        <v>229</v>
      </c>
      <c r="F554" s="1" t="s">
        <v>26</v>
      </c>
      <c r="G554" s="4">
        <v>44985</v>
      </c>
      <c r="H554" s="4">
        <v>44987</v>
      </c>
      <c r="I554" s="1" t="s">
        <v>29</v>
      </c>
      <c r="J554" s="1" t="s">
        <v>30</v>
      </c>
      <c r="K554" s="3">
        <v>5</v>
      </c>
      <c r="L554" s="2">
        <v>69340</v>
      </c>
      <c r="M554" s="3">
        <v>15</v>
      </c>
      <c r="N554" s="1" t="s">
        <v>56</v>
      </c>
      <c r="O554" s="1" t="s">
        <v>86</v>
      </c>
      <c r="P554" s="1" t="s">
        <v>174</v>
      </c>
      <c r="Q554" s="1" t="s">
        <v>3415</v>
      </c>
      <c r="R554" s="1" t="s">
        <v>1958</v>
      </c>
      <c r="S554" s="3">
        <v>1</v>
      </c>
      <c r="T554" s="1" t="s">
        <v>72</v>
      </c>
      <c r="U554" s="3">
        <v>82</v>
      </c>
      <c r="V554" s="1" t="s">
        <v>37</v>
      </c>
      <c r="W554" s="5">
        <f>Table1[[#This Row],[Quantity]]*Table1[[#This Row],[Price]]*(1-Table1[[#This Row],[Discount %]]/100)</f>
        <v>294695</v>
      </c>
      <c r="X554">
        <f>Table1[[#This Row],[DeliveryDate]]-Table1[[#This Row],[OrderDate]]</f>
        <v>2</v>
      </c>
      <c r="Y554" t="str">
        <f>TEXT(Table1[[#This Row],[OrderDate]],"MMMM")</f>
        <v>February</v>
      </c>
      <c r="Z554" s="5">
        <f>YEAR(Table1[[#This Row],[OrderDate]])</f>
        <v>2023</v>
      </c>
    </row>
    <row r="555" spans="1:26" x14ac:dyDescent="0.3">
      <c r="A555" s="1" t="s">
        <v>1959</v>
      </c>
      <c r="B555" t="s">
        <v>1118</v>
      </c>
      <c r="C555" s="3">
        <v>30</v>
      </c>
      <c r="D555" s="1" t="s">
        <v>51</v>
      </c>
      <c r="E555" s="1" t="s">
        <v>142</v>
      </c>
      <c r="F555" s="1" t="s">
        <v>65</v>
      </c>
      <c r="G555" s="4">
        <v>45291</v>
      </c>
      <c r="H555" s="4">
        <v>45299</v>
      </c>
      <c r="I555" s="1" t="s">
        <v>43</v>
      </c>
      <c r="J555" s="1" t="s">
        <v>44</v>
      </c>
      <c r="K555" s="3">
        <v>1</v>
      </c>
      <c r="L555" s="2">
        <v>44999</v>
      </c>
      <c r="M555" s="3">
        <v>10</v>
      </c>
      <c r="N555" s="1" t="s">
        <v>166</v>
      </c>
      <c r="O555" s="1" t="s">
        <v>102</v>
      </c>
      <c r="P555" s="1" t="s">
        <v>69</v>
      </c>
      <c r="Q555" s="1" t="s">
        <v>3415</v>
      </c>
      <c r="R555" s="1" t="s">
        <v>3415</v>
      </c>
      <c r="S555" s="3">
        <v>5</v>
      </c>
      <c r="T555" s="1" t="s">
        <v>72</v>
      </c>
      <c r="U555" s="3">
        <v>302</v>
      </c>
      <c r="V555" s="1" t="s">
        <v>37</v>
      </c>
      <c r="W555" s="5">
        <f>Table1[[#This Row],[Quantity]]*Table1[[#This Row],[Price]]*(1-Table1[[#This Row],[Discount %]]/100)</f>
        <v>40499.1</v>
      </c>
      <c r="X555">
        <f>Table1[[#This Row],[DeliveryDate]]-Table1[[#This Row],[OrderDate]]</f>
        <v>8</v>
      </c>
      <c r="Y555" t="str">
        <f>TEXT(Table1[[#This Row],[OrderDate]],"MMMM")</f>
        <v>December</v>
      </c>
      <c r="Z555" s="5">
        <f>YEAR(Table1[[#This Row],[OrderDate]])</f>
        <v>2023</v>
      </c>
    </row>
    <row r="556" spans="1:26" x14ac:dyDescent="0.3">
      <c r="A556" s="1" t="s">
        <v>1962</v>
      </c>
      <c r="B556" t="s">
        <v>130</v>
      </c>
      <c r="C556" s="3">
        <v>18</v>
      </c>
      <c r="D556" s="1" t="s">
        <v>24</v>
      </c>
      <c r="E556" s="1" t="s">
        <v>99</v>
      </c>
      <c r="F556" s="1" t="s">
        <v>82</v>
      </c>
      <c r="G556" s="4">
        <v>44943</v>
      </c>
      <c r="H556" s="4">
        <v>44950</v>
      </c>
      <c r="I556" s="1" t="s">
        <v>93</v>
      </c>
      <c r="J556" s="1" t="s">
        <v>44</v>
      </c>
      <c r="K556" s="3">
        <v>2.9447852760736195</v>
      </c>
      <c r="L556" s="2">
        <v>53104</v>
      </c>
      <c r="M556" s="3">
        <v>10</v>
      </c>
      <c r="N556" s="1" t="s">
        <v>31</v>
      </c>
      <c r="O556" s="1" t="s">
        <v>57</v>
      </c>
      <c r="P556" s="1" t="s">
        <v>174</v>
      </c>
      <c r="Q556" s="1" t="s">
        <v>1355</v>
      </c>
      <c r="R556" s="1" t="s">
        <v>1964</v>
      </c>
      <c r="S556" s="3">
        <v>2</v>
      </c>
      <c r="T556" s="1" t="s">
        <v>96</v>
      </c>
      <c r="U556" s="3">
        <v>257</v>
      </c>
      <c r="V556" s="1" t="s">
        <v>79</v>
      </c>
      <c r="W556" s="5">
        <f>Table1[[#This Row],[Quantity]]*Table1[[#This Row],[Price]]*(1-Table1[[#This Row],[Discount %]]/100)</f>
        <v>140741.88957055216</v>
      </c>
      <c r="X556">
        <f>Table1[[#This Row],[DeliveryDate]]-Table1[[#This Row],[OrderDate]]</f>
        <v>7</v>
      </c>
      <c r="Y556" t="str">
        <f>TEXT(Table1[[#This Row],[OrderDate]],"MMMM")</f>
        <v>January</v>
      </c>
      <c r="Z556" s="5">
        <f>YEAR(Table1[[#This Row],[OrderDate]])</f>
        <v>2023</v>
      </c>
    </row>
    <row r="557" spans="1:26" x14ac:dyDescent="0.3">
      <c r="A557" s="1" t="s">
        <v>1965</v>
      </c>
      <c r="B557" t="s">
        <v>411</v>
      </c>
      <c r="C557" s="3">
        <v>59</v>
      </c>
      <c r="D557" s="1" t="s">
        <v>51</v>
      </c>
      <c r="E557" s="1" t="s">
        <v>25</v>
      </c>
      <c r="F557" s="1" t="s">
        <v>53</v>
      </c>
      <c r="G557" s="4">
        <v>45176</v>
      </c>
      <c r="H557" s="4">
        <v>45182</v>
      </c>
      <c r="I557" s="1" t="s">
        <v>43</v>
      </c>
      <c r="J557" s="1" t="s">
        <v>44</v>
      </c>
      <c r="K557" s="3">
        <v>5</v>
      </c>
      <c r="L557" s="2">
        <v>53933</v>
      </c>
      <c r="M557" s="3">
        <v>0</v>
      </c>
      <c r="N557" s="1" t="s">
        <v>166</v>
      </c>
      <c r="O557" s="1" t="s">
        <v>57</v>
      </c>
      <c r="P557" s="1" t="s">
        <v>69</v>
      </c>
      <c r="Q557" s="1" t="s">
        <v>414</v>
      </c>
      <c r="R557" s="1" t="s">
        <v>1968</v>
      </c>
      <c r="S557" s="3">
        <v>5</v>
      </c>
      <c r="T557" s="1" t="s">
        <v>72</v>
      </c>
      <c r="U557" s="3">
        <v>129</v>
      </c>
      <c r="V557" s="1" t="s">
        <v>62</v>
      </c>
      <c r="W557" s="5">
        <f>Table1[[#This Row],[Quantity]]*Table1[[#This Row],[Price]]*(1-Table1[[#This Row],[Discount %]]/100)</f>
        <v>269665</v>
      </c>
      <c r="X557">
        <f>Table1[[#This Row],[DeliveryDate]]-Table1[[#This Row],[OrderDate]]</f>
        <v>6</v>
      </c>
      <c r="Y557" t="str">
        <f>TEXT(Table1[[#This Row],[OrderDate]],"MMMM")</f>
        <v>September</v>
      </c>
      <c r="Z557" s="5">
        <f>YEAR(Table1[[#This Row],[OrderDate]])</f>
        <v>2023</v>
      </c>
    </row>
    <row r="558" spans="1:26" x14ac:dyDescent="0.3">
      <c r="A558" s="1" t="s">
        <v>1969</v>
      </c>
      <c r="B558" t="s">
        <v>397</v>
      </c>
      <c r="C558" s="3">
        <v>26</v>
      </c>
      <c r="D558" s="1" t="s">
        <v>51</v>
      </c>
      <c r="E558" s="1" t="s">
        <v>26</v>
      </c>
      <c r="F558" s="1" t="s">
        <v>82</v>
      </c>
      <c r="G558" s="4">
        <v>45256</v>
      </c>
      <c r="H558" s="4">
        <v>45258</v>
      </c>
      <c r="I558" s="1" t="s">
        <v>108</v>
      </c>
      <c r="J558" s="1" t="s">
        <v>44</v>
      </c>
      <c r="K558" s="3">
        <v>5</v>
      </c>
      <c r="L558" s="2">
        <v>77829</v>
      </c>
      <c r="M558" s="3">
        <v>10</v>
      </c>
      <c r="N558" s="1" t="s">
        <v>56</v>
      </c>
      <c r="O558" s="1" t="s">
        <v>281</v>
      </c>
      <c r="P558" s="1" t="s">
        <v>58</v>
      </c>
      <c r="Q558" s="1" t="s">
        <v>400</v>
      </c>
      <c r="R558" s="1" t="s">
        <v>1970</v>
      </c>
      <c r="S558" s="3">
        <v>5</v>
      </c>
      <c r="T558" s="1" t="s">
        <v>61</v>
      </c>
      <c r="U558" s="3">
        <v>241</v>
      </c>
      <c r="V558" s="1" t="s">
        <v>37</v>
      </c>
      <c r="W558" s="5">
        <f>Table1[[#This Row],[Quantity]]*Table1[[#This Row],[Price]]*(1-Table1[[#This Row],[Discount %]]/100)</f>
        <v>350230.5</v>
      </c>
      <c r="X558">
        <f>Table1[[#This Row],[DeliveryDate]]-Table1[[#This Row],[OrderDate]]</f>
        <v>2</v>
      </c>
      <c r="Y558" t="str">
        <f>TEXT(Table1[[#This Row],[OrderDate]],"MMMM")</f>
        <v>November</v>
      </c>
      <c r="Z558" s="5">
        <f>YEAR(Table1[[#This Row],[OrderDate]])</f>
        <v>2023</v>
      </c>
    </row>
    <row r="559" spans="1:26" x14ac:dyDescent="0.3">
      <c r="A559" s="1" t="s">
        <v>1971</v>
      </c>
      <c r="B559" t="s">
        <v>623</v>
      </c>
      <c r="C559" s="3">
        <v>36</v>
      </c>
      <c r="D559" s="1" t="s">
        <v>51</v>
      </c>
      <c r="E559" s="1" t="s">
        <v>229</v>
      </c>
      <c r="F559" s="1" t="s">
        <v>82</v>
      </c>
      <c r="G559" s="4">
        <v>45525</v>
      </c>
      <c r="H559" s="4">
        <v>45531</v>
      </c>
      <c r="I559" s="1" t="s">
        <v>93</v>
      </c>
      <c r="J559" s="1" t="s">
        <v>30</v>
      </c>
      <c r="K559" s="3">
        <v>2</v>
      </c>
      <c r="L559" s="2">
        <v>11290</v>
      </c>
      <c r="M559" s="3">
        <v>5</v>
      </c>
      <c r="N559" s="1" t="s">
        <v>31</v>
      </c>
      <c r="O559" s="1" t="s">
        <v>173</v>
      </c>
      <c r="P559" s="1" t="s">
        <v>58</v>
      </c>
      <c r="Q559" s="1" t="s">
        <v>626</v>
      </c>
      <c r="R559" s="1" t="s">
        <v>1972</v>
      </c>
      <c r="S559" s="3">
        <v>5</v>
      </c>
      <c r="T559" s="1" t="s">
        <v>72</v>
      </c>
      <c r="U559" s="3">
        <v>466</v>
      </c>
      <c r="V559" s="1" t="s">
        <v>79</v>
      </c>
      <c r="W559" s="5">
        <f>Table1[[#This Row],[Quantity]]*Table1[[#This Row],[Price]]*(1-Table1[[#This Row],[Discount %]]/100)</f>
        <v>21451</v>
      </c>
      <c r="X559">
        <f>Table1[[#This Row],[DeliveryDate]]-Table1[[#This Row],[OrderDate]]</f>
        <v>6</v>
      </c>
      <c r="Y559" t="str">
        <f>TEXT(Table1[[#This Row],[OrderDate]],"MMMM")</f>
        <v>August</v>
      </c>
      <c r="Z559" s="5">
        <f>YEAR(Table1[[#This Row],[OrderDate]])</f>
        <v>2024</v>
      </c>
    </row>
    <row r="560" spans="1:26" x14ac:dyDescent="0.3">
      <c r="A560" s="1" t="s">
        <v>1973</v>
      </c>
      <c r="B560" t="s">
        <v>23</v>
      </c>
      <c r="C560" s="3">
        <v>58</v>
      </c>
      <c r="D560" s="1" t="s">
        <v>24</v>
      </c>
      <c r="E560" s="1" t="s">
        <v>40</v>
      </c>
      <c r="F560" s="1" t="s">
        <v>91</v>
      </c>
      <c r="G560" s="4">
        <v>45541</v>
      </c>
      <c r="H560" s="4">
        <v>45545</v>
      </c>
      <c r="I560" s="1" t="s">
        <v>29</v>
      </c>
      <c r="J560" s="1" t="s">
        <v>44</v>
      </c>
      <c r="K560" s="3">
        <v>4</v>
      </c>
      <c r="L560" s="2">
        <v>37343</v>
      </c>
      <c r="M560" s="3">
        <v>15</v>
      </c>
      <c r="N560" s="1" t="s">
        <v>45</v>
      </c>
      <c r="O560" s="1" t="s">
        <v>86</v>
      </c>
      <c r="P560" s="1" t="s">
        <v>33</v>
      </c>
      <c r="Q560" s="1" t="s">
        <v>34</v>
      </c>
      <c r="R560" s="1" t="s">
        <v>1974</v>
      </c>
      <c r="S560" s="3">
        <v>2</v>
      </c>
      <c r="T560" s="1" t="s">
        <v>36</v>
      </c>
      <c r="U560" s="3">
        <v>255</v>
      </c>
      <c r="V560" s="1" t="s">
        <v>79</v>
      </c>
      <c r="W560" s="5">
        <f>Table1[[#This Row],[Quantity]]*Table1[[#This Row],[Price]]*(1-Table1[[#This Row],[Discount %]]/100)</f>
        <v>126966.2</v>
      </c>
      <c r="X560">
        <f>Table1[[#This Row],[DeliveryDate]]-Table1[[#This Row],[OrderDate]]</f>
        <v>4</v>
      </c>
      <c r="Y560" t="str">
        <f>TEXT(Table1[[#This Row],[OrderDate]],"MMMM")</f>
        <v>September</v>
      </c>
      <c r="Z560" s="5">
        <f>YEAR(Table1[[#This Row],[OrderDate]])</f>
        <v>2024</v>
      </c>
    </row>
    <row r="561" spans="1:26" x14ac:dyDescent="0.3">
      <c r="A561" s="1" t="s">
        <v>1975</v>
      </c>
      <c r="B561" t="s">
        <v>338</v>
      </c>
      <c r="C561" s="3">
        <v>42</v>
      </c>
      <c r="D561" s="1" t="s">
        <v>51</v>
      </c>
      <c r="E561" s="1" t="s">
        <v>26</v>
      </c>
      <c r="F561" s="1" t="s">
        <v>65</v>
      </c>
      <c r="G561" s="4">
        <v>45465</v>
      </c>
      <c r="H561" s="4">
        <v>45473</v>
      </c>
      <c r="I561" s="1" t="s">
        <v>93</v>
      </c>
      <c r="J561" s="1" t="s">
        <v>30</v>
      </c>
      <c r="K561" s="3">
        <v>4</v>
      </c>
      <c r="L561" s="2">
        <v>41678</v>
      </c>
      <c r="M561" s="3">
        <v>15</v>
      </c>
      <c r="N561" s="1" t="s">
        <v>56</v>
      </c>
      <c r="O561" s="1" t="s">
        <v>109</v>
      </c>
      <c r="P561" s="1" t="s">
        <v>33</v>
      </c>
      <c r="Q561" s="1" t="s">
        <v>3415</v>
      </c>
      <c r="R561" s="1" t="s">
        <v>1977</v>
      </c>
      <c r="S561" s="3">
        <v>2</v>
      </c>
      <c r="T561" s="1" t="s">
        <v>72</v>
      </c>
      <c r="U561" s="3">
        <v>176</v>
      </c>
      <c r="V561" s="1" t="s">
        <v>37</v>
      </c>
      <c r="W561" s="5">
        <f>Table1[[#This Row],[Quantity]]*Table1[[#This Row],[Price]]*(1-Table1[[#This Row],[Discount %]]/100)</f>
        <v>141705.19999999998</v>
      </c>
      <c r="X561">
        <f>Table1[[#This Row],[DeliveryDate]]-Table1[[#This Row],[OrderDate]]</f>
        <v>8</v>
      </c>
      <c r="Y561" t="str">
        <f>TEXT(Table1[[#This Row],[OrderDate]],"MMMM")</f>
        <v>June</v>
      </c>
      <c r="Z561" s="5">
        <f>YEAR(Table1[[#This Row],[OrderDate]])</f>
        <v>2024</v>
      </c>
    </row>
    <row r="562" spans="1:26" x14ac:dyDescent="0.3">
      <c r="A562" s="1" t="s">
        <v>1978</v>
      </c>
      <c r="B562" t="s">
        <v>170</v>
      </c>
      <c r="C562" s="3">
        <v>53</v>
      </c>
      <c r="D562" s="1" t="s">
        <v>24</v>
      </c>
      <c r="E562" s="1" t="s">
        <v>131</v>
      </c>
      <c r="F562" s="1" t="s">
        <v>65</v>
      </c>
      <c r="G562" s="4">
        <v>45221</v>
      </c>
      <c r="H562" s="4">
        <v>45222</v>
      </c>
      <c r="I562" s="1" t="s">
        <v>108</v>
      </c>
      <c r="J562" s="1" t="s">
        <v>44</v>
      </c>
      <c r="K562" s="3">
        <v>4</v>
      </c>
      <c r="L562" s="2">
        <v>17582</v>
      </c>
      <c r="M562" s="3">
        <v>5</v>
      </c>
      <c r="N562" s="1" t="s">
        <v>45</v>
      </c>
      <c r="O562" s="1" t="s">
        <v>32</v>
      </c>
      <c r="P562" s="1" t="s">
        <v>58</v>
      </c>
      <c r="Q562" s="1" t="s">
        <v>175</v>
      </c>
      <c r="R562" s="1" t="s">
        <v>1980</v>
      </c>
      <c r="S562" s="3">
        <v>2</v>
      </c>
      <c r="T562" s="1" t="s">
        <v>96</v>
      </c>
      <c r="U562" s="3">
        <v>334</v>
      </c>
      <c r="V562" s="1" t="s">
        <v>62</v>
      </c>
      <c r="W562" s="5">
        <f>Table1[[#This Row],[Quantity]]*Table1[[#This Row],[Price]]*(1-Table1[[#This Row],[Discount %]]/100)</f>
        <v>66811.599999999991</v>
      </c>
      <c r="X562">
        <f>Table1[[#This Row],[DeliveryDate]]-Table1[[#This Row],[OrderDate]]</f>
        <v>1</v>
      </c>
      <c r="Y562" t="str">
        <f>TEXT(Table1[[#This Row],[OrderDate]],"MMMM")</f>
        <v>October</v>
      </c>
      <c r="Z562" s="5">
        <f>YEAR(Table1[[#This Row],[OrderDate]])</f>
        <v>2023</v>
      </c>
    </row>
    <row r="563" spans="1:26" x14ac:dyDescent="0.3">
      <c r="A563" s="1" t="s">
        <v>1981</v>
      </c>
      <c r="B563" t="s">
        <v>1045</v>
      </c>
      <c r="C563" s="3">
        <v>37</v>
      </c>
      <c r="D563" s="1" t="s">
        <v>51</v>
      </c>
      <c r="E563" s="1" t="s">
        <v>229</v>
      </c>
      <c r="F563" s="1" t="s">
        <v>53</v>
      </c>
      <c r="G563" s="4">
        <v>45359</v>
      </c>
      <c r="H563" s="4">
        <v>45361</v>
      </c>
      <c r="I563" s="1" t="s">
        <v>29</v>
      </c>
      <c r="J563" s="1" t="s">
        <v>30</v>
      </c>
      <c r="K563" s="3">
        <v>1</v>
      </c>
      <c r="L563" s="2">
        <v>13993</v>
      </c>
      <c r="M563" s="3">
        <v>15</v>
      </c>
      <c r="N563" s="1" t="s">
        <v>31</v>
      </c>
      <c r="O563" s="1" t="s">
        <v>86</v>
      </c>
      <c r="P563" s="1" t="s">
        <v>174</v>
      </c>
      <c r="Q563" s="1" t="s">
        <v>1048</v>
      </c>
      <c r="R563" s="1" t="s">
        <v>1982</v>
      </c>
      <c r="S563" s="3">
        <v>3</v>
      </c>
      <c r="T563" s="1" t="s">
        <v>96</v>
      </c>
      <c r="U563" s="3">
        <v>195</v>
      </c>
      <c r="V563" s="1" t="s">
        <v>62</v>
      </c>
      <c r="W563" s="5">
        <f>Table1[[#This Row],[Quantity]]*Table1[[#This Row],[Price]]*(1-Table1[[#This Row],[Discount %]]/100)</f>
        <v>11894.05</v>
      </c>
      <c r="X563">
        <f>Table1[[#This Row],[DeliveryDate]]-Table1[[#This Row],[OrderDate]]</f>
        <v>2</v>
      </c>
      <c r="Y563" t="str">
        <f>TEXT(Table1[[#This Row],[OrderDate]],"MMMM")</f>
        <v>March</v>
      </c>
      <c r="Z563" s="5">
        <f>YEAR(Table1[[#This Row],[OrderDate]])</f>
        <v>2024</v>
      </c>
    </row>
    <row r="564" spans="1:26" x14ac:dyDescent="0.3">
      <c r="A564" s="1" t="s">
        <v>1983</v>
      </c>
      <c r="B564" t="s">
        <v>527</v>
      </c>
      <c r="C564" s="3">
        <v>23</v>
      </c>
      <c r="D564" s="1" t="s">
        <v>51</v>
      </c>
      <c r="E564" s="1" t="s">
        <v>99</v>
      </c>
      <c r="F564" s="1" t="s">
        <v>53</v>
      </c>
      <c r="G564" s="4">
        <v>45544</v>
      </c>
      <c r="H564" s="4">
        <v>45548</v>
      </c>
      <c r="I564" s="1" t="s">
        <v>85</v>
      </c>
      <c r="J564" s="1" t="s">
        <v>44</v>
      </c>
      <c r="K564" s="3">
        <v>2</v>
      </c>
      <c r="L564" s="2">
        <v>44582</v>
      </c>
      <c r="M564" s="3">
        <v>10</v>
      </c>
      <c r="N564" s="1" t="s">
        <v>31</v>
      </c>
      <c r="O564" s="1" t="s">
        <v>133</v>
      </c>
      <c r="P564" s="1" t="s">
        <v>33</v>
      </c>
      <c r="Q564" s="1" t="s">
        <v>530</v>
      </c>
      <c r="R564" s="1" t="s">
        <v>1985</v>
      </c>
      <c r="S564" s="3">
        <v>2</v>
      </c>
      <c r="T564" s="1" t="s">
        <v>36</v>
      </c>
      <c r="U564" s="3">
        <v>180</v>
      </c>
      <c r="V564" s="1" t="s">
        <v>79</v>
      </c>
      <c r="W564" s="5">
        <f>Table1[[#This Row],[Quantity]]*Table1[[#This Row],[Price]]*(1-Table1[[#This Row],[Discount %]]/100)</f>
        <v>80247.600000000006</v>
      </c>
      <c r="X564">
        <f>Table1[[#This Row],[DeliveryDate]]-Table1[[#This Row],[OrderDate]]</f>
        <v>4</v>
      </c>
      <c r="Y564" t="str">
        <f>TEXT(Table1[[#This Row],[OrderDate]],"MMMM")</f>
        <v>September</v>
      </c>
      <c r="Z564" s="5">
        <f>YEAR(Table1[[#This Row],[OrderDate]])</f>
        <v>2024</v>
      </c>
    </row>
    <row r="565" spans="1:26" x14ac:dyDescent="0.3">
      <c r="A565" s="1" t="s">
        <v>1986</v>
      </c>
      <c r="B565" t="s">
        <v>74</v>
      </c>
      <c r="C565" s="3">
        <v>27</v>
      </c>
      <c r="D565" s="1" t="s">
        <v>51</v>
      </c>
      <c r="E565" s="1" t="s">
        <v>25</v>
      </c>
      <c r="F565" s="1" t="s">
        <v>65</v>
      </c>
      <c r="G565" s="4">
        <v>45160</v>
      </c>
      <c r="H565" s="4">
        <v>45163</v>
      </c>
      <c r="I565" s="1" t="s">
        <v>77</v>
      </c>
      <c r="J565" s="1" t="s">
        <v>30</v>
      </c>
      <c r="K565" s="3">
        <v>1</v>
      </c>
      <c r="L565" s="2">
        <v>60007</v>
      </c>
      <c r="M565" s="3">
        <v>15</v>
      </c>
      <c r="N565" s="1" t="s">
        <v>56</v>
      </c>
      <c r="O565" s="1" t="s">
        <v>32</v>
      </c>
      <c r="P565" s="1" t="s">
        <v>174</v>
      </c>
      <c r="Q565" s="1" t="s">
        <v>78</v>
      </c>
      <c r="R565" s="1" t="s">
        <v>1987</v>
      </c>
      <c r="S565" s="3">
        <v>5</v>
      </c>
      <c r="T565" s="1" t="s">
        <v>72</v>
      </c>
      <c r="U565" s="3">
        <v>192</v>
      </c>
      <c r="V565" s="1" t="s">
        <v>62</v>
      </c>
      <c r="W565" s="5">
        <f>Table1[[#This Row],[Quantity]]*Table1[[#This Row],[Price]]*(1-Table1[[#This Row],[Discount %]]/100)</f>
        <v>51005.95</v>
      </c>
      <c r="X565">
        <f>Table1[[#This Row],[DeliveryDate]]-Table1[[#This Row],[OrderDate]]</f>
        <v>3</v>
      </c>
      <c r="Y565" t="str">
        <f>TEXT(Table1[[#This Row],[OrderDate]],"MMMM")</f>
        <v>August</v>
      </c>
      <c r="Z565" s="5">
        <f>YEAR(Table1[[#This Row],[OrderDate]])</f>
        <v>2023</v>
      </c>
    </row>
    <row r="566" spans="1:26" x14ac:dyDescent="0.3">
      <c r="A566" s="1" t="s">
        <v>1988</v>
      </c>
      <c r="B566" t="s">
        <v>90</v>
      </c>
      <c r="C566" s="3">
        <v>43</v>
      </c>
      <c r="D566" s="1" t="s">
        <v>51</v>
      </c>
      <c r="E566" s="1" t="s">
        <v>26</v>
      </c>
      <c r="F566" s="1" t="s">
        <v>53</v>
      </c>
      <c r="G566" s="4">
        <v>45241</v>
      </c>
      <c r="H566" s="4">
        <v>45242</v>
      </c>
      <c r="I566" s="1" t="s">
        <v>77</v>
      </c>
      <c r="J566" s="1" t="s">
        <v>30</v>
      </c>
      <c r="K566" s="3">
        <v>5</v>
      </c>
      <c r="L566" s="2">
        <v>18672</v>
      </c>
      <c r="M566" s="3">
        <v>10</v>
      </c>
      <c r="N566" s="1" t="s">
        <v>56</v>
      </c>
      <c r="O566" s="1" t="s">
        <v>173</v>
      </c>
      <c r="P566" s="1" t="s">
        <v>33</v>
      </c>
      <c r="Q566" s="1" t="s">
        <v>94</v>
      </c>
      <c r="R566" s="1" t="s">
        <v>1990</v>
      </c>
      <c r="S566" s="3">
        <v>4</v>
      </c>
      <c r="T566" s="1" t="s">
        <v>96</v>
      </c>
      <c r="U566" s="3">
        <v>85</v>
      </c>
      <c r="V566" s="1" t="s">
        <v>37</v>
      </c>
      <c r="W566" s="5">
        <f>Table1[[#This Row],[Quantity]]*Table1[[#This Row],[Price]]*(1-Table1[[#This Row],[Discount %]]/100)</f>
        <v>84024</v>
      </c>
      <c r="X566">
        <f>Table1[[#This Row],[DeliveryDate]]-Table1[[#This Row],[OrderDate]]</f>
        <v>1</v>
      </c>
      <c r="Y566" t="str">
        <f>TEXT(Table1[[#This Row],[OrderDate]],"MMMM")</f>
        <v>November</v>
      </c>
      <c r="Z566" s="5">
        <f>YEAR(Table1[[#This Row],[OrderDate]])</f>
        <v>2023</v>
      </c>
    </row>
    <row r="567" spans="1:26" x14ac:dyDescent="0.3">
      <c r="A567" s="1" t="s">
        <v>1991</v>
      </c>
      <c r="B567" t="s">
        <v>170</v>
      </c>
      <c r="C567" s="3">
        <v>36</v>
      </c>
      <c r="D567" s="1" t="s">
        <v>24</v>
      </c>
      <c r="E567" s="1" t="s">
        <v>25</v>
      </c>
      <c r="F567" s="1" t="s">
        <v>53</v>
      </c>
      <c r="G567" s="4">
        <v>45171</v>
      </c>
      <c r="H567" s="4">
        <v>45178</v>
      </c>
      <c r="I567" s="1" t="s">
        <v>93</v>
      </c>
      <c r="J567" s="1" t="s">
        <v>44</v>
      </c>
      <c r="K567" s="3">
        <v>2</v>
      </c>
      <c r="L567" s="2">
        <v>69738</v>
      </c>
      <c r="M567" s="3">
        <v>5</v>
      </c>
      <c r="N567" s="1" t="s">
        <v>31</v>
      </c>
      <c r="O567" s="1" t="s">
        <v>32</v>
      </c>
      <c r="P567" s="1" t="s">
        <v>69</v>
      </c>
      <c r="Q567" s="1" t="s">
        <v>175</v>
      </c>
      <c r="R567" s="1" t="s">
        <v>1992</v>
      </c>
      <c r="S567" s="3">
        <v>1</v>
      </c>
      <c r="T567" s="1" t="s">
        <v>72</v>
      </c>
      <c r="U567" s="3">
        <v>131</v>
      </c>
      <c r="V567" s="1" t="s">
        <v>37</v>
      </c>
      <c r="W567" s="5">
        <f>Table1[[#This Row],[Quantity]]*Table1[[#This Row],[Price]]*(1-Table1[[#This Row],[Discount %]]/100)</f>
        <v>132502.19999999998</v>
      </c>
      <c r="X567">
        <f>Table1[[#This Row],[DeliveryDate]]-Table1[[#This Row],[OrderDate]]</f>
        <v>7</v>
      </c>
      <c r="Y567" t="str">
        <f>TEXT(Table1[[#This Row],[OrderDate]],"MMMM")</f>
        <v>September</v>
      </c>
      <c r="Z567" s="5">
        <f>YEAR(Table1[[#This Row],[OrderDate]])</f>
        <v>2023</v>
      </c>
    </row>
    <row r="568" spans="1:26" x14ac:dyDescent="0.3">
      <c r="A568" s="1" t="s">
        <v>1993</v>
      </c>
      <c r="B568" t="s">
        <v>193</v>
      </c>
      <c r="C568" s="3">
        <v>31</v>
      </c>
      <c r="D568" s="1" t="s">
        <v>24</v>
      </c>
      <c r="E568" s="1" t="s">
        <v>131</v>
      </c>
      <c r="F568" s="1" t="s">
        <v>91</v>
      </c>
      <c r="G568" s="4">
        <v>45598</v>
      </c>
      <c r="H568" s="4">
        <v>45601</v>
      </c>
      <c r="I568" s="1" t="s">
        <v>77</v>
      </c>
      <c r="J568" s="1" t="s">
        <v>44</v>
      </c>
      <c r="K568" s="3">
        <v>3</v>
      </c>
      <c r="L568" s="2">
        <v>69124</v>
      </c>
      <c r="M568" s="3">
        <v>10</v>
      </c>
      <c r="N568" s="1" t="s">
        <v>45</v>
      </c>
      <c r="O568" s="1" t="s">
        <v>281</v>
      </c>
      <c r="P568" s="1" t="s">
        <v>58</v>
      </c>
      <c r="Q568" s="1" t="s">
        <v>195</v>
      </c>
      <c r="R568" s="1" t="s">
        <v>1995</v>
      </c>
      <c r="S568" s="3">
        <v>4</v>
      </c>
      <c r="T568" s="1" t="s">
        <v>61</v>
      </c>
      <c r="U568" s="3">
        <v>138</v>
      </c>
      <c r="V568" s="1" t="s">
        <v>62</v>
      </c>
      <c r="W568" s="5">
        <f>Table1[[#This Row],[Quantity]]*Table1[[#This Row],[Price]]*(1-Table1[[#This Row],[Discount %]]/100)</f>
        <v>186634.80000000002</v>
      </c>
      <c r="X568">
        <f>Table1[[#This Row],[DeliveryDate]]-Table1[[#This Row],[OrderDate]]</f>
        <v>3</v>
      </c>
      <c r="Y568" t="str">
        <f>TEXT(Table1[[#This Row],[OrderDate]],"MMMM")</f>
        <v>November</v>
      </c>
      <c r="Z568" s="5">
        <f>YEAR(Table1[[#This Row],[OrderDate]])</f>
        <v>2024</v>
      </c>
    </row>
    <row r="569" spans="1:26" x14ac:dyDescent="0.3">
      <c r="A569" s="1" t="s">
        <v>1996</v>
      </c>
      <c r="B569" t="s">
        <v>1690</v>
      </c>
      <c r="C569" s="3">
        <v>35</v>
      </c>
      <c r="D569" s="1" t="s">
        <v>24</v>
      </c>
      <c r="E569" s="1" t="s">
        <v>52</v>
      </c>
      <c r="F569" s="1" t="s">
        <v>53</v>
      </c>
      <c r="G569" s="4">
        <v>45070</v>
      </c>
      <c r="H569" s="4">
        <v>45075</v>
      </c>
      <c r="I569" s="1" t="s">
        <v>85</v>
      </c>
      <c r="J569" s="1" t="s">
        <v>44</v>
      </c>
      <c r="K569" s="3">
        <v>1</v>
      </c>
      <c r="L569" s="2">
        <v>62455</v>
      </c>
      <c r="M569" s="3">
        <v>10</v>
      </c>
      <c r="N569" s="1" t="s">
        <v>45</v>
      </c>
      <c r="O569" s="1" t="s">
        <v>102</v>
      </c>
      <c r="P569" s="1" t="s">
        <v>58</v>
      </c>
      <c r="Q569" s="1" t="s">
        <v>87</v>
      </c>
      <c r="R569" s="1" t="s">
        <v>1998</v>
      </c>
      <c r="S569" s="3">
        <v>4</v>
      </c>
      <c r="T569" s="1" t="s">
        <v>61</v>
      </c>
      <c r="U569" s="3">
        <v>238</v>
      </c>
      <c r="V569" s="1" t="s">
        <v>62</v>
      </c>
      <c r="W569" s="5">
        <f>Table1[[#This Row],[Quantity]]*Table1[[#This Row],[Price]]*(1-Table1[[#This Row],[Discount %]]/100)</f>
        <v>56209.5</v>
      </c>
      <c r="X569">
        <f>Table1[[#This Row],[DeliveryDate]]-Table1[[#This Row],[OrderDate]]</f>
        <v>5</v>
      </c>
      <c r="Y569" t="str">
        <f>TEXT(Table1[[#This Row],[OrderDate]],"MMMM")</f>
        <v>May</v>
      </c>
      <c r="Z569" s="5">
        <f>YEAR(Table1[[#This Row],[OrderDate]])</f>
        <v>2023</v>
      </c>
    </row>
    <row r="570" spans="1:26" x14ac:dyDescent="0.3">
      <c r="A570" s="1" t="s">
        <v>1999</v>
      </c>
      <c r="B570" t="s">
        <v>547</v>
      </c>
      <c r="C570" s="3">
        <v>23</v>
      </c>
      <c r="D570" s="1" t="s">
        <v>24</v>
      </c>
      <c r="E570" s="1" t="s">
        <v>142</v>
      </c>
      <c r="F570" s="1" t="s">
        <v>82</v>
      </c>
      <c r="G570" s="4">
        <v>45420</v>
      </c>
      <c r="H570" s="4">
        <v>45429</v>
      </c>
      <c r="I570" s="1" t="s">
        <v>108</v>
      </c>
      <c r="J570" s="1" t="s">
        <v>30</v>
      </c>
      <c r="K570" s="3">
        <v>1</v>
      </c>
      <c r="L570" s="2">
        <v>39534</v>
      </c>
      <c r="M570" s="3">
        <v>0</v>
      </c>
      <c r="N570" s="1" t="s">
        <v>56</v>
      </c>
      <c r="O570" s="1" t="s">
        <v>281</v>
      </c>
      <c r="P570" s="1" t="s">
        <v>69</v>
      </c>
      <c r="Q570" s="1" t="s">
        <v>549</v>
      </c>
      <c r="R570" s="1" t="s">
        <v>2001</v>
      </c>
      <c r="S570" s="3">
        <v>5</v>
      </c>
      <c r="T570" s="1" t="s">
        <v>96</v>
      </c>
      <c r="U570" s="3">
        <v>169</v>
      </c>
      <c r="V570" s="1" t="s">
        <v>37</v>
      </c>
      <c r="W570" s="5">
        <f>Table1[[#This Row],[Quantity]]*Table1[[#This Row],[Price]]*(1-Table1[[#This Row],[Discount %]]/100)</f>
        <v>39534</v>
      </c>
      <c r="X570">
        <f>Table1[[#This Row],[DeliveryDate]]-Table1[[#This Row],[OrderDate]]</f>
        <v>9</v>
      </c>
      <c r="Y570" t="str">
        <f>TEXT(Table1[[#This Row],[OrderDate]],"MMMM")</f>
        <v>May</v>
      </c>
      <c r="Z570" s="5">
        <f>YEAR(Table1[[#This Row],[OrderDate]])</f>
        <v>2024</v>
      </c>
    </row>
    <row r="571" spans="1:26" x14ac:dyDescent="0.3">
      <c r="A571" s="1" t="s">
        <v>2002</v>
      </c>
      <c r="B571" t="s">
        <v>198</v>
      </c>
      <c r="C571" s="3">
        <v>56</v>
      </c>
      <c r="D571" s="1" t="s">
        <v>24</v>
      </c>
      <c r="E571" s="1" t="s">
        <v>229</v>
      </c>
      <c r="F571" s="1" t="s">
        <v>65</v>
      </c>
      <c r="G571" s="4">
        <v>45144</v>
      </c>
      <c r="H571" s="4">
        <v>45151</v>
      </c>
      <c r="I571" s="1" t="s">
        <v>43</v>
      </c>
      <c r="J571" s="1" t="s">
        <v>30</v>
      </c>
      <c r="K571" s="3">
        <v>2.9447852760736195</v>
      </c>
      <c r="L571" s="2">
        <v>16135</v>
      </c>
      <c r="M571" s="3">
        <v>10</v>
      </c>
      <c r="N571" s="1" t="s">
        <v>56</v>
      </c>
      <c r="O571" s="1" t="s">
        <v>109</v>
      </c>
      <c r="P571" s="1" t="s">
        <v>58</v>
      </c>
      <c r="Q571" s="1" t="s">
        <v>201</v>
      </c>
      <c r="R571" s="1" t="s">
        <v>2004</v>
      </c>
      <c r="S571" s="3">
        <v>4</v>
      </c>
      <c r="T571" s="1" t="s">
        <v>61</v>
      </c>
      <c r="U571" s="3">
        <v>61</v>
      </c>
      <c r="V571" s="1" t="s">
        <v>79</v>
      </c>
      <c r="W571" s="5">
        <f>Table1[[#This Row],[Quantity]]*Table1[[#This Row],[Price]]*(1-Table1[[#This Row],[Discount %]]/100)</f>
        <v>42762.699386503067</v>
      </c>
      <c r="X571">
        <f>Table1[[#This Row],[DeliveryDate]]-Table1[[#This Row],[OrderDate]]</f>
        <v>7</v>
      </c>
      <c r="Y571" t="str">
        <f>TEXT(Table1[[#This Row],[OrderDate]],"MMMM")</f>
        <v>August</v>
      </c>
      <c r="Z571" s="5">
        <f>YEAR(Table1[[#This Row],[OrderDate]])</f>
        <v>2023</v>
      </c>
    </row>
    <row r="572" spans="1:26" x14ac:dyDescent="0.3">
      <c r="A572" s="1" t="s">
        <v>2005</v>
      </c>
      <c r="B572" t="s">
        <v>309</v>
      </c>
      <c r="C572" s="3">
        <v>20</v>
      </c>
      <c r="D572" s="1" t="s">
        <v>51</v>
      </c>
      <c r="E572" s="1" t="s">
        <v>25</v>
      </c>
      <c r="F572" s="1" t="s">
        <v>53</v>
      </c>
      <c r="G572" s="4">
        <v>45083</v>
      </c>
      <c r="H572" s="4">
        <v>45089</v>
      </c>
      <c r="I572" s="1" t="s">
        <v>85</v>
      </c>
      <c r="J572" s="1" t="s">
        <v>30</v>
      </c>
      <c r="K572" s="3">
        <v>3</v>
      </c>
      <c r="L572" s="2">
        <v>76342</v>
      </c>
      <c r="M572" s="3">
        <v>15</v>
      </c>
      <c r="N572" s="1" t="s">
        <v>31</v>
      </c>
      <c r="O572" s="1" t="s">
        <v>173</v>
      </c>
      <c r="P572" s="1" t="s">
        <v>174</v>
      </c>
      <c r="Q572" s="1" t="s">
        <v>3415</v>
      </c>
      <c r="R572" s="1" t="s">
        <v>2006</v>
      </c>
      <c r="S572" s="3">
        <v>4</v>
      </c>
      <c r="T572" s="1" t="s">
        <v>96</v>
      </c>
      <c r="U572" s="3">
        <v>213</v>
      </c>
      <c r="V572" s="1" t="s">
        <v>62</v>
      </c>
      <c r="W572" s="5">
        <f>Table1[[#This Row],[Quantity]]*Table1[[#This Row],[Price]]*(1-Table1[[#This Row],[Discount %]]/100)</f>
        <v>194672.1</v>
      </c>
      <c r="X572">
        <f>Table1[[#This Row],[DeliveryDate]]-Table1[[#This Row],[OrderDate]]</f>
        <v>6</v>
      </c>
      <c r="Y572" t="str">
        <f>TEXT(Table1[[#This Row],[OrderDate]],"MMMM")</f>
        <v>June</v>
      </c>
      <c r="Z572" s="5">
        <f>YEAR(Table1[[#This Row],[OrderDate]])</f>
        <v>2023</v>
      </c>
    </row>
    <row r="573" spans="1:26" x14ac:dyDescent="0.3">
      <c r="A573" s="1" t="s">
        <v>2007</v>
      </c>
      <c r="B573" t="s">
        <v>645</v>
      </c>
      <c r="C573" s="3">
        <v>20</v>
      </c>
      <c r="D573" s="1" t="s">
        <v>51</v>
      </c>
      <c r="E573" s="1" t="s">
        <v>131</v>
      </c>
      <c r="F573" s="1" t="s">
        <v>91</v>
      </c>
      <c r="G573" s="4">
        <v>45038</v>
      </c>
      <c r="H573" s="4">
        <v>45040</v>
      </c>
      <c r="I573" s="1" t="s">
        <v>43</v>
      </c>
      <c r="J573" s="1" t="s">
        <v>44</v>
      </c>
      <c r="K573" s="3">
        <v>4</v>
      </c>
      <c r="L573" s="2">
        <v>77207</v>
      </c>
      <c r="M573" s="3">
        <v>0</v>
      </c>
      <c r="N573" s="1" t="s">
        <v>45</v>
      </c>
      <c r="O573" s="1" t="s">
        <v>46</v>
      </c>
      <c r="P573" s="1" t="s">
        <v>69</v>
      </c>
      <c r="Q573" s="1" t="s">
        <v>647</v>
      </c>
      <c r="R573" s="1" t="s">
        <v>2009</v>
      </c>
      <c r="S573" s="3">
        <v>3</v>
      </c>
      <c r="T573" s="1" t="s">
        <v>96</v>
      </c>
      <c r="U573" s="3">
        <v>342</v>
      </c>
      <c r="V573" s="1" t="s">
        <v>79</v>
      </c>
      <c r="W573" s="5">
        <f>Table1[[#This Row],[Quantity]]*Table1[[#This Row],[Price]]*(1-Table1[[#This Row],[Discount %]]/100)</f>
        <v>308828</v>
      </c>
      <c r="X573">
        <f>Table1[[#This Row],[DeliveryDate]]-Table1[[#This Row],[OrderDate]]</f>
        <v>2</v>
      </c>
      <c r="Y573" t="str">
        <f>TEXT(Table1[[#This Row],[OrderDate]],"MMMM")</f>
        <v>April</v>
      </c>
      <c r="Z573" s="5">
        <f>YEAR(Table1[[#This Row],[OrderDate]])</f>
        <v>2023</v>
      </c>
    </row>
    <row r="574" spans="1:26" x14ac:dyDescent="0.3">
      <c r="A574" s="1" t="s">
        <v>2010</v>
      </c>
      <c r="B574" t="s">
        <v>476</v>
      </c>
      <c r="C574" s="3">
        <v>28</v>
      </c>
      <c r="D574" s="1" t="s">
        <v>24</v>
      </c>
      <c r="E574" s="1" t="s">
        <v>99</v>
      </c>
      <c r="F574" s="1" t="s">
        <v>65</v>
      </c>
      <c r="G574" s="4">
        <v>45425</v>
      </c>
      <c r="H574" s="4">
        <v>45435</v>
      </c>
      <c r="I574" s="1" t="s">
        <v>43</v>
      </c>
      <c r="J574" s="1" t="s">
        <v>44</v>
      </c>
      <c r="K574" s="3">
        <v>5</v>
      </c>
      <c r="L574" s="2">
        <v>42655</v>
      </c>
      <c r="M574" s="3">
        <v>10</v>
      </c>
      <c r="N574" s="1" t="s">
        <v>31</v>
      </c>
      <c r="O574" s="1" t="s">
        <v>102</v>
      </c>
      <c r="P574" s="1" t="s">
        <v>69</v>
      </c>
      <c r="Q574" s="1" t="s">
        <v>478</v>
      </c>
      <c r="R574" s="1" t="s">
        <v>3415</v>
      </c>
      <c r="S574" s="3">
        <v>2</v>
      </c>
      <c r="T574" s="1" t="s">
        <v>72</v>
      </c>
      <c r="U574" s="3">
        <v>228</v>
      </c>
      <c r="V574" s="1" t="s">
        <v>37</v>
      </c>
      <c r="W574" s="5">
        <f>Table1[[#This Row],[Quantity]]*Table1[[#This Row],[Price]]*(1-Table1[[#This Row],[Discount %]]/100)</f>
        <v>191947.5</v>
      </c>
      <c r="X574">
        <f>Table1[[#This Row],[DeliveryDate]]-Table1[[#This Row],[OrderDate]]</f>
        <v>10</v>
      </c>
      <c r="Y574" t="str">
        <f>TEXT(Table1[[#This Row],[OrderDate]],"MMMM")</f>
        <v>May</v>
      </c>
      <c r="Z574" s="5">
        <f>YEAR(Table1[[#This Row],[OrderDate]])</f>
        <v>2024</v>
      </c>
    </row>
    <row r="575" spans="1:26" x14ac:dyDescent="0.3">
      <c r="A575" s="1" t="s">
        <v>2011</v>
      </c>
      <c r="B575" t="s">
        <v>23</v>
      </c>
      <c r="C575" s="3">
        <v>36</v>
      </c>
      <c r="D575" s="1" t="s">
        <v>51</v>
      </c>
      <c r="E575" s="1" t="s">
        <v>52</v>
      </c>
      <c r="F575" s="1" t="s">
        <v>26</v>
      </c>
      <c r="G575" s="4">
        <v>45047</v>
      </c>
      <c r="H575" s="4">
        <v>45051</v>
      </c>
      <c r="I575" s="1" t="s">
        <v>85</v>
      </c>
      <c r="J575" s="1" t="s">
        <v>44</v>
      </c>
      <c r="K575" s="3">
        <v>2.9447852760736195</v>
      </c>
      <c r="L575" s="2">
        <v>36629</v>
      </c>
      <c r="M575" s="3">
        <v>5</v>
      </c>
      <c r="N575" s="1" t="s">
        <v>166</v>
      </c>
      <c r="O575" s="1" t="s">
        <v>281</v>
      </c>
      <c r="P575" s="1" t="s">
        <v>33</v>
      </c>
      <c r="Q575" s="1" t="s">
        <v>3415</v>
      </c>
      <c r="R575" s="1" t="s">
        <v>2014</v>
      </c>
      <c r="S575" s="3">
        <v>5</v>
      </c>
      <c r="T575" s="1" t="s">
        <v>36</v>
      </c>
      <c r="U575" s="3">
        <v>256</v>
      </c>
      <c r="V575" s="1" t="s">
        <v>62</v>
      </c>
      <c r="W575" s="5">
        <f>Table1[[#This Row],[Quantity]]*Table1[[#This Row],[Price]]*(1-Table1[[#This Row],[Discount %]]/100)</f>
        <v>102471.31288343557</v>
      </c>
      <c r="X575">
        <f>Table1[[#This Row],[DeliveryDate]]-Table1[[#This Row],[OrderDate]]</f>
        <v>4</v>
      </c>
      <c r="Y575" t="str">
        <f>TEXT(Table1[[#This Row],[OrderDate]],"MMMM")</f>
        <v>May</v>
      </c>
      <c r="Z575" s="5">
        <f>YEAR(Table1[[#This Row],[OrderDate]])</f>
        <v>2023</v>
      </c>
    </row>
    <row r="576" spans="1:26" x14ac:dyDescent="0.3">
      <c r="A576" s="1" t="s">
        <v>2015</v>
      </c>
      <c r="B576" t="s">
        <v>2016</v>
      </c>
      <c r="C576" s="3">
        <v>27</v>
      </c>
      <c r="D576" s="1" t="s">
        <v>51</v>
      </c>
      <c r="E576" s="1" t="s">
        <v>26</v>
      </c>
      <c r="F576" s="1" t="s">
        <v>82</v>
      </c>
      <c r="G576" s="4">
        <v>45203</v>
      </c>
      <c r="H576" s="4">
        <v>45207</v>
      </c>
      <c r="I576" s="1" t="s">
        <v>108</v>
      </c>
      <c r="J576" s="1" t="s">
        <v>30</v>
      </c>
      <c r="K576" s="3">
        <v>3</v>
      </c>
      <c r="L576" s="2">
        <v>39208</v>
      </c>
      <c r="M576" s="3">
        <v>0</v>
      </c>
      <c r="N576" s="1" t="s">
        <v>31</v>
      </c>
      <c r="O576" s="1" t="s">
        <v>68</v>
      </c>
      <c r="P576" s="1" t="s">
        <v>69</v>
      </c>
      <c r="Q576" s="1" t="s">
        <v>3415</v>
      </c>
      <c r="R576" s="1" t="s">
        <v>2017</v>
      </c>
      <c r="S576" s="3">
        <v>4</v>
      </c>
      <c r="T576" s="1" t="s">
        <v>61</v>
      </c>
      <c r="U576" s="3">
        <v>458</v>
      </c>
      <c r="V576" s="1" t="s">
        <v>79</v>
      </c>
      <c r="W576" s="5">
        <f>Table1[[#This Row],[Quantity]]*Table1[[#This Row],[Price]]*(1-Table1[[#This Row],[Discount %]]/100)</f>
        <v>117624</v>
      </c>
      <c r="X576">
        <f>Table1[[#This Row],[DeliveryDate]]-Table1[[#This Row],[OrderDate]]</f>
        <v>4</v>
      </c>
      <c r="Y576" t="str">
        <f>TEXT(Table1[[#This Row],[OrderDate]],"MMMM")</f>
        <v>October</v>
      </c>
      <c r="Z576" s="5">
        <f>YEAR(Table1[[#This Row],[OrderDate]])</f>
        <v>2023</v>
      </c>
    </row>
    <row r="577" spans="1:26" x14ac:dyDescent="0.3">
      <c r="A577" s="1" t="s">
        <v>2018</v>
      </c>
      <c r="B577" t="s">
        <v>461</v>
      </c>
      <c r="C577" s="3">
        <v>37</v>
      </c>
      <c r="D577" s="1" t="s">
        <v>24</v>
      </c>
      <c r="E577" s="1" t="s">
        <v>229</v>
      </c>
      <c r="F577" s="1" t="s">
        <v>82</v>
      </c>
      <c r="G577" s="4">
        <v>45272</v>
      </c>
      <c r="H577" s="4">
        <v>45273</v>
      </c>
      <c r="I577" s="1" t="s">
        <v>108</v>
      </c>
      <c r="J577" s="1" t="s">
        <v>30</v>
      </c>
      <c r="K577" s="3">
        <v>5</v>
      </c>
      <c r="L577" s="2">
        <v>34638</v>
      </c>
      <c r="M577" s="3">
        <v>15</v>
      </c>
      <c r="N577" s="1" t="s">
        <v>56</v>
      </c>
      <c r="O577" s="1" t="s">
        <v>173</v>
      </c>
      <c r="P577" s="1" t="s">
        <v>69</v>
      </c>
      <c r="Q577" s="1" t="s">
        <v>563</v>
      </c>
      <c r="R577" s="1" t="s">
        <v>2019</v>
      </c>
      <c r="S577" s="3">
        <v>3</v>
      </c>
      <c r="T577" s="1" t="s">
        <v>72</v>
      </c>
      <c r="U577" s="3">
        <v>241</v>
      </c>
      <c r="V577" s="1" t="s">
        <v>37</v>
      </c>
      <c r="W577" s="5">
        <f>Table1[[#This Row],[Quantity]]*Table1[[#This Row],[Price]]*(1-Table1[[#This Row],[Discount %]]/100)</f>
        <v>147211.5</v>
      </c>
      <c r="X577">
        <f>Table1[[#This Row],[DeliveryDate]]-Table1[[#This Row],[OrderDate]]</f>
        <v>1</v>
      </c>
      <c r="Y577" t="str">
        <f>TEXT(Table1[[#This Row],[OrderDate]],"MMMM")</f>
        <v>December</v>
      </c>
      <c r="Z577" s="5">
        <f>YEAR(Table1[[#This Row],[OrderDate]])</f>
        <v>2023</v>
      </c>
    </row>
    <row r="578" spans="1:26" x14ac:dyDescent="0.3">
      <c r="A578" s="1" t="s">
        <v>2020</v>
      </c>
      <c r="B578" t="s">
        <v>503</v>
      </c>
      <c r="C578" s="3">
        <v>31</v>
      </c>
      <c r="D578" s="1" t="s">
        <v>51</v>
      </c>
      <c r="E578" s="1" t="s">
        <v>131</v>
      </c>
      <c r="F578" s="1" t="s">
        <v>53</v>
      </c>
      <c r="G578" s="4">
        <v>45609</v>
      </c>
      <c r="H578" s="4">
        <v>45618</v>
      </c>
      <c r="I578" s="1" t="s">
        <v>93</v>
      </c>
      <c r="J578" s="1" t="s">
        <v>30</v>
      </c>
      <c r="K578" s="3">
        <v>1</v>
      </c>
      <c r="L578" s="2">
        <v>54099</v>
      </c>
      <c r="M578" s="3">
        <v>5</v>
      </c>
      <c r="N578" s="1" t="s">
        <v>45</v>
      </c>
      <c r="O578" s="1" t="s">
        <v>68</v>
      </c>
      <c r="P578" s="1" t="s">
        <v>174</v>
      </c>
      <c r="Q578" s="1" t="s">
        <v>506</v>
      </c>
      <c r="R578" s="1" t="s">
        <v>2021</v>
      </c>
      <c r="S578" s="3">
        <v>2</v>
      </c>
      <c r="T578" s="1" t="s">
        <v>36</v>
      </c>
      <c r="U578" s="3">
        <v>448</v>
      </c>
      <c r="V578" s="1" t="s">
        <v>62</v>
      </c>
      <c r="W578" s="5">
        <f>Table1[[#This Row],[Quantity]]*Table1[[#This Row],[Price]]*(1-Table1[[#This Row],[Discount %]]/100)</f>
        <v>51394.049999999996</v>
      </c>
      <c r="X578">
        <f>Table1[[#This Row],[DeliveryDate]]-Table1[[#This Row],[OrderDate]]</f>
        <v>9</v>
      </c>
      <c r="Y578" t="str">
        <f>TEXT(Table1[[#This Row],[OrderDate]],"MMMM")</f>
        <v>November</v>
      </c>
      <c r="Z578" s="5">
        <f>YEAR(Table1[[#This Row],[OrderDate]])</f>
        <v>2024</v>
      </c>
    </row>
    <row r="579" spans="1:26" x14ac:dyDescent="0.3">
      <c r="A579" s="1" t="s">
        <v>2022</v>
      </c>
      <c r="B579" t="s">
        <v>411</v>
      </c>
      <c r="C579" s="3">
        <v>54</v>
      </c>
      <c r="D579" s="1" t="s">
        <v>51</v>
      </c>
      <c r="E579" s="1" t="s">
        <v>52</v>
      </c>
      <c r="F579" s="1" t="s">
        <v>26</v>
      </c>
      <c r="G579" s="4">
        <v>45454</v>
      </c>
      <c r="H579" s="4">
        <v>45460</v>
      </c>
      <c r="I579" s="1" t="s">
        <v>93</v>
      </c>
      <c r="J579" s="1" t="s">
        <v>44</v>
      </c>
      <c r="K579" s="3">
        <v>5</v>
      </c>
      <c r="L579" s="2">
        <v>77102</v>
      </c>
      <c r="M579" s="3">
        <v>5</v>
      </c>
      <c r="N579" s="1" t="s">
        <v>56</v>
      </c>
      <c r="O579" s="1" t="s">
        <v>133</v>
      </c>
      <c r="P579" s="1" t="s">
        <v>33</v>
      </c>
      <c r="Q579" s="1" t="s">
        <v>414</v>
      </c>
      <c r="R579" s="1" t="s">
        <v>2025</v>
      </c>
      <c r="S579" s="3">
        <v>3</v>
      </c>
      <c r="T579" s="1" t="s">
        <v>96</v>
      </c>
      <c r="U579" s="3">
        <v>319</v>
      </c>
      <c r="V579" s="1" t="s">
        <v>37</v>
      </c>
      <c r="W579" s="5">
        <f>Table1[[#This Row],[Quantity]]*Table1[[#This Row],[Price]]*(1-Table1[[#This Row],[Discount %]]/100)</f>
        <v>366234.5</v>
      </c>
      <c r="X579">
        <f>Table1[[#This Row],[DeliveryDate]]-Table1[[#This Row],[OrderDate]]</f>
        <v>6</v>
      </c>
      <c r="Y579" t="str">
        <f>TEXT(Table1[[#This Row],[OrderDate]],"MMMM")</f>
        <v>June</v>
      </c>
      <c r="Z579" s="5">
        <f>YEAR(Table1[[#This Row],[OrderDate]])</f>
        <v>2024</v>
      </c>
    </row>
    <row r="580" spans="1:26" x14ac:dyDescent="0.3">
      <c r="A580" s="1" t="s">
        <v>2026</v>
      </c>
      <c r="B580" t="s">
        <v>98</v>
      </c>
      <c r="C580" s="3">
        <v>55</v>
      </c>
      <c r="D580" s="1" t="s">
        <v>51</v>
      </c>
      <c r="E580" s="1" t="s">
        <v>142</v>
      </c>
      <c r="F580" s="1" t="s">
        <v>53</v>
      </c>
      <c r="G580" s="4">
        <v>45226</v>
      </c>
      <c r="H580" s="4">
        <v>45232</v>
      </c>
      <c r="I580" s="1" t="s">
        <v>77</v>
      </c>
      <c r="J580" s="1" t="s">
        <v>44</v>
      </c>
      <c r="K580" s="3">
        <v>5</v>
      </c>
      <c r="L580" s="2">
        <v>62464</v>
      </c>
      <c r="M580" s="3">
        <v>0</v>
      </c>
      <c r="N580" s="1" t="s">
        <v>166</v>
      </c>
      <c r="O580" s="1" t="s">
        <v>102</v>
      </c>
      <c r="P580" s="1" t="s">
        <v>69</v>
      </c>
      <c r="Q580" s="1" t="s">
        <v>103</v>
      </c>
      <c r="R580" s="1" t="s">
        <v>2027</v>
      </c>
      <c r="S580" s="3">
        <v>3</v>
      </c>
      <c r="T580" s="1" t="s">
        <v>36</v>
      </c>
      <c r="U580" s="3">
        <v>156</v>
      </c>
      <c r="V580" s="1" t="s">
        <v>62</v>
      </c>
      <c r="W580" s="5">
        <f>Table1[[#This Row],[Quantity]]*Table1[[#This Row],[Price]]*(1-Table1[[#This Row],[Discount %]]/100)</f>
        <v>312320</v>
      </c>
      <c r="X580">
        <f>Table1[[#This Row],[DeliveryDate]]-Table1[[#This Row],[OrderDate]]</f>
        <v>6</v>
      </c>
      <c r="Y580" t="str">
        <f>TEXT(Table1[[#This Row],[OrderDate]],"MMMM")</f>
        <v>October</v>
      </c>
      <c r="Z580" s="5">
        <f>YEAR(Table1[[#This Row],[OrderDate]])</f>
        <v>2023</v>
      </c>
    </row>
    <row r="581" spans="1:26" x14ac:dyDescent="0.3">
      <c r="A581" s="1" t="s">
        <v>2028</v>
      </c>
      <c r="B581" t="s">
        <v>397</v>
      </c>
      <c r="C581" s="3">
        <v>40</v>
      </c>
      <c r="D581" s="1" t="s">
        <v>51</v>
      </c>
      <c r="E581" s="1" t="s">
        <v>25</v>
      </c>
      <c r="F581" s="1" t="s">
        <v>53</v>
      </c>
      <c r="G581" s="4">
        <v>45505</v>
      </c>
      <c r="H581" s="4">
        <v>45506</v>
      </c>
      <c r="I581" s="1" t="s">
        <v>43</v>
      </c>
      <c r="J581" s="1" t="s">
        <v>30</v>
      </c>
      <c r="K581" s="3">
        <v>5</v>
      </c>
      <c r="L581" s="2">
        <v>67301</v>
      </c>
      <c r="M581" s="3">
        <v>0</v>
      </c>
      <c r="N581" s="1" t="s">
        <v>56</v>
      </c>
      <c r="O581" s="1" t="s">
        <v>86</v>
      </c>
      <c r="P581" s="1" t="s">
        <v>69</v>
      </c>
      <c r="Q581" s="1" t="s">
        <v>400</v>
      </c>
      <c r="R581" s="1" t="s">
        <v>2030</v>
      </c>
      <c r="S581" s="3">
        <v>3</v>
      </c>
      <c r="T581" s="1" t="s">
        <v>72</v>
      </c>
      <c r="U581" s="3">
        <v>161</v>
      </c>
      <c r="V581" s="1" t="s">
        <v>79</v>
      </c>
      <c r="W581" s="5">
        <f>Table1[[#This Row],[Quantity]]*Table1[[#This Row],[Price]]*(1-Table1[[#This Row],[Discount %]]/100)</f>
        <v>336505</v>
      </c>
      <c r="X581">
        <f>Table1[[#This Row],[DeliveryDate]]-Table1[[#This Row],[OrderDate]]</f>
        <v>1</v>
      </c>
      <c r="Y581" t="str">
        <f>TEXT(Table1[[#This Row],[OrderDate]],"MMMM")</f>
        <v>August</v>
      </c>
      <c r="Z581" s="5">
        <f>YEAR(Table1[[#This Row],[OrderDate]])</f>
        <v>2024</v>
      </c>
    </row>
    <row r="582" spans="1:26" x14ac:dyDescent="0.3">
      <c r="A582" s="1" t="s">
        <v>2031</v>
      </c>
      <c r="B582" t="s">
        <v>216</v>
      </c>
      <c r="C582" s="3">
        <v>36</v>
      </c>
      <c r="D582" s="1" t="s">
        <v>51</v>
      </c>
      <c r="E582" s="1" t="s">
        <v>40</v>
      </c>
      <c r="F582" s="1" t="s">
        <v>82</v>
      </c>
      <c r="G582" s="4">
        <v>45517</v>
      </c>
      <c r="H582" s="4">
        <v>45521</v>
      </c>
      <c r="I582" s="1" t="s">
        <v>77</v>
      </c>
      <c r="J582" s="1" t="s">
        <v>30</v>
      </c>
      <c r="K582" s="3">
        <v>4</v>
      </c>
      <c r="L582" s="2">
        <v>18420</v>
      </c>
      <c r="M582" s="3">
        <v>5</v>
      </c>
      <c r="N582" s="1" t="s">
        <v>166</v>
      </c>
      <c r="O582" s="1" t="s">
        <v>173</v>
      </c>
      <c r="P582" s="1" t="s">
        <v>33</v>
      </c>
      <c r="Q582" s="1" t="s">
        <v>3415</v>
      </c>
      <c r="R582" s="1" t="s">
        <v>2032</v>
      </c>
      <c r="S582" s="3">
        <v>3</v>
      </c>
      <c r="T582" s="1" t="s">
        <v>96</v>
      </c>
      <c r="U582" s="3">
        <v>162</v>
      </c>
      <c r="V582" s="1" t="s">
        <v>62</v>
      </c>
      <c r="W582" s="5">
        <f>Table1[[#This Row],[Quantity]]*Table1[[#This Row],[Price]]*(1-Table1[[#This Row],[Discount %]]/100)</f>
        <v>69996</v>
      </c>
      <c r="X582">
        <f>Table1[[#This Row],[DeliveryDate]]-Table1[[#This Row],[OrderDate]]</f>
        <v>4</v>
      </c>
      <c r="Y582" t="str">
        <f>TEXT(Table1[[#This Row],[OrderDate]],"MMMM")</f>
        <v>August</v>
      </c>
      <c r="Z582" s="5">
        <f>YEAR(Table1[[#This Row],[OrderDate]])</f>
        <v>2024</v>
      </c>
    </row>
    <row r="583" spans="1:26" x14ac:dyDescent="0.3">
      <c r="A583" s="1" t="s">
        <v>2033</v>
      </c>
      <c r="B583" t="s">
        <v>193</v>
      </c>
      <c r="C583" s="3">
        <v>29</v>
      </c>
      <c r="D583" s="1" t="s">
        <v>24</v>
      </c>
      <c r="E583" s="1" t="s">
        <v>229</v>
      </c>
      <c r="F583" s="1" t="s">
        <v>53</v>
      </c>
      <c r="G583" s="4">
        <v>45018</v>
      </c>
      <c r="H583" s="4">
        <v>45019</v>
      </c>
      <c r="I583" s="1" t="s">
        <v>43</v>
      </c>
      <c r="J583" s="1" t="s">
        <v>44</v>
      </c>
      <c r="K583" s="3">
        <v>2.9447852760736195</v>
      </c>
      <c r="L583" s="2">
        <v>17798</v>
      </c>
      <c r="M583" s="3">
        <v>15</v>
      </c>
      <c r="N583" s="1" t="s">
        <v>45</v>
      </c>
      <c r="O583" s="1" t="s">
        <v>173</v>
      </c>
      <c r="P583" s="1" t="s">
        <v>174</v>
      </c>
      <c r="Q583" s="1" t="s">
        <v>195</v>
      </c>
      <c r="R583" s="1" t="s">
        <v>2035</v>
      </c>
      <c r="S583" s="3">
        <v>2</v>
      </c>
      <c r="T583" s="1" t="s">
        <v>36</v>
      </c>
      <c r="U583" s="3">
        <v>330</v>
      </c>
      <c r="V583" s="1" t="s">
        <v>79</v>
      </c>
      <c r="W583" s="5">
        <f>Table1[[#This Row],[Quantity]]*Table1[[#This Row],[Price]]*(1-Table1[[#This Row],[Discount %]]/100)</f>
        <v>44549.595092024538</v>
      </c>
      <c r="X583">
        <f>Table1[[#This Row],[DeliveryDate]]-Table1[[#This Row],[OrderDate]]</f>
        <v>1</v>
      </c>
      <c r="Y583" t="str">
        <f>TEXT(Table1[[#This Row],[OrderDate]],"MMMM")</f>
        <v>April</v>
      </c>
      <c r="Z583" s="5">
        <f>YEAR(Table1[[#This Row],[OrderDate]])</f>
        <v>2023</v>
      </c>
    </row>
    <row r="584" spans="1:26" x14ac:dyDescent="0.3">
      <c r="A584" s="1" t="s">
        <v>2036</v>
      </c>
      <c r="B584" t="s">
        <v>684</v>
      </c>
      <c r="C584" s="3">
        <v>20</v>
      </c>
      <c r="D584" s="1" t="s">
        <v>24</v>
      </c>
      <c r="E584" s="1" t="s">
        <v>229</v>
      </c>
      <c r="F584" s="1" t="s">
        <v>65</v>
      </c>
      <c r="G584" s="4">
        <v>45066</v>
      </c>
      <c r="H584" s="4">
        <v>45068</v>
      </c>
      <c r="I584" s="1" t="s">
        <v>93</v>
      </c>
      <c r="J584" s="1" t="s">
        <v>30</v>
      </c>
      <c r="K584" s="3">
        <v>5</v>
      </c>
      <c r="L584" s="2">
        <v>19103</v>
      </c>
      <c r="M584" s="3">
        <v>0</v>
      </c>
      <c r="N584" s="1" t="s">
        <v>166</v>
      </c>
      <c r="O584" s="1" t="s">
        <v>46</v>
      </c>
      <c r="P584" s="1" t="s">
        <v>58</v>
      </c>
      <c r="Q584" s="1" t="s">
        <v>785</v>
      </c>
      <c r="R584" s="1" t="s">
        <v>2037</v>
      </c>
      <c r="S584" s="3">
        <v>2</v>
      </c>
      <c r="T584" s="1" t="s">
        <v>36</v>
      </c>
      <c r="U584" s="3">
        <v>242</v>
      </c>
      <c r="V584" s="1" t="s">
        <v>79</v>
      </c>
      <c r="W584" s="5">
        <f>Table1[[#This Row],[Quantity]]*Table1[[#This Row],[Price]]*(1-Table1[[#This Row],[Discount %]]/100)</f>
        <v>95515</v>
      </c>
      <c r="X584">
        <f>Table1[[#This Row],[DeliveryDate]]-Table1[[#This Row],[OrderDate]]</f>
        <v>2</v>
      </c>
      <c r="Y584" t="str">
        <f>TEXT(Table1[[#This Row],[OrderDate]],"MMMM")</f>
        <v>May</v>
      </c>
      <c r="Z584" s="5">
        <f>YEAR(Table1[[#This Row],[OrderDate]])</f>
        <v>2023</v>
      </c>
    </row>
    <row r="585" spans="1:26" x14ac:dyDescent="0.3">
      <c r="A585" s="1" t="s">
        <v>2038</v>
      </c>
      <c r="B585" t="s">
        <v>1080</v>
      </c>
      <c r="C585" s="3">
        <v>47</v>
      </c>
      <c r="D585" s="1" t="s">
        <v>24</v>
      </c>
      <c r="E585" s="1" t="s">
        <v>99</v>
      </c>
      <c r="F585" s="1" t="s">
        <v>26</v>
      </c>
      <c r="G585" s="4">
        <v>45359</v>
      </c>
      <c r="H585" s="4">
        <v>45368</v>
      </c>
      <c r="I585" s="1" t="s">
        <v>29</v>
      </c>
      <c r="J585" s="1" t="s">
        <v>44</v>
      </c>
      <c r="K585" s="3">
        <v>1</v>
      </c>
      <c r="L585" s="2">
        <v>58674</v>
      </c>
      <c r="M585" s="3">
        <v>0</v>
      </c>
      <c r="N585" s="1" t="s">
        <v>31</v>
      </c>
      <c r="O585" s="1" t="s">
        <v>281</v>
      </c>
      <c r="P585" s="1" t="s">
        <v>58</v>
      </c>
      <c r="Q585" s="1" t="s">
        <v>1082</v>
      </c>
      <c r="R585" s="1" t="s">
        <v>2039</v>
      </c>
      <c r="S585" s="3">
        <v>5</v>
      </c>
      <c r="T585" s="1" t="s">
        <v>72</v>
      </c>
      <c r="U585" s="3">
        <v>337</v>
      </c>
      <c r="V585" s="1" t="s">
        <v>62</v>
      </c>
      <c r="W585" s="5">
        <f>Table1[[#This Row],[Quantity]]*Table1[[#This Row],[Price]]*(1-Table1[[#This Row],[Discount %]]/100)</f>
        <v>58674</v>
      </c>
      <c r="X585">
        <f>Table1[[#This Row],[DeliveryDate]]-Table1[[#This Row],[OrderDate]]</f>
        <v>9</v>
      </c>
      <c r="Y585" t="str">
        <f>TEXT(Table1[[#This Row],[OrderDate]],"MMMM")</f>
        <v>March</v>
      </c>
      <c r="Z585" s="5">
        <f>YEAR(Table1[[#This Row],[OrderDate]])</f>
        <v>2024</v>
      </c>
    </row>
    <row r="586" spans="1:26" x14ac:dyDescent="0.3">
      <c r="A586" s="1" t="s">
        <v>2040</v>
      </c>
      <c r="B586" t="s">
        <v>729</v>
      </c>
      <c r="C586" s="3">
        <v>24</v>
      </c>
      <c r="D586" s="1" t="s">
        <v>51</v>
      </c>
      <c r="E586" s="1" t="s">
        <v>26</v>
      </c>
      <c r="F586" s="1" t="s">
        <v>91</v>
      </c>
      <c r="G586" s="4">
        <v>45034</v>
      </c>
      <c r="H586" s="4">
        <v>45041</v>
      </c>
      <c r="I586" s="1" t="s">
        <v>77</v>
      </c>
      <c r="J586" s="1" t="s">
        <v>30</v>
      </c>
      <c r="K586" s="3">
        <v>4</v>
      </c>
      <c r="L586" s="2">
        <v>77562</v>
      </c>
      <c r="M586" s="3">
        <v>5</v>
      </c>
      <c r="N586" s="1" t="s">
        <v>31</v>
      </c>
      <c r="O586" s="1" t="s">
        <v>68</v>
      </c>
      <c r="P586" s="1" t="s">
        <v>174</v>
      </c>
      <c r="Q586" s="1" t="s">
        <v>732</v>
      </c>
      <c r="R586" s="1" t="s">
        <v>2041</v>
      </c>
      <c r="S586" s="3">
        <v>3</v>
      </c>
      <c r="T586" s="1" t="s">
        <v>61</v>
      </c>
      <c r="U586" s="3">
        <v>446</v>
      </c>
      <c r="V586" s="1" t="s">
        <v>62</v>
      </c>
      <c r="W586" s="5">
        <f>Table1[[#This Row],[Quantity]]*Table1[[#This Row],[Price]]*(1-Table1[[#This Row],[Discount %]]/100)</f>
        <v>294735.59999999998</v>
      </c>
      <c r="X586">
        <f>Table1[[#This Row],[DeliveryDate]]-Table1[[#This Row],[OrderDate]]</f>
        <v>7</v>
      </c>
      <c r="Y586" t="str">
        <f>TEXT(Table1[[#This Row],[OrderDate]],"MMMM")</f>
        <v>April</v>
      </c>
      <c r="Z586" s="5">
        <f>YEAR(Table1[[#This Row],[OrderDate]])</f>
        <v>2023</v>
      </c>
    </row>
    <row r="587" spans="1:26" x14ac:dyDescent="0.3">
      <c r="A587" s="1" t="s">
        <v>2042</v>
      </c>
      <c r="B587" t="s">
        <v>204</v>
      </c>
      <c r="C587" s="3">
        <v>25</v>
      </c>
      <c r="D587" s="1" t="s">
        <v>24</v>
      </c>
      <c r="E587" s="1" t="s">
        <v>229</v>
      </c>
      <c r="F587" s="1" t="s">
        <v>26</v>
      </c>
      <c r="G587" s="4">
        <v>45614</v>
      </c>
      <c r="H587" s="4">
        <v>45622</v>
      </c>
      <c r="I587" s="1" t="s">
        <v>93</v>
      </c>
      <c r="J587" s="1" t="s">
        <v>44</v>
      </c>
      <c r="K587" s="3">
        <v>1</v>
      </c>
      <c r="L587" s="2">
        <v>45676</v>
      </c>
      <c r="M587" s="3">
        <v>5</v>
      </c>
      <c r="N587" s="1" t="s">
        <v>45</v>
      </c>
      <c r="O587" s="1" t="s">
        <v>46</v>
      </c>
      <c r="P587" s="1" t="s">
        <v>33</v>
      </c>
      <c r="Q587" s="1" t="s">
        <v>207</v>
      </c>
      <c r="R587" s="1" t="s">
        <v>2043</v>
      </c>
      <c r="S587" s="3">
        <v>2</v>
      </c>
      <c r="T587" s="1" t="s">
        <v>72</v>
      </c>
      <c r="U587" s="3">
        <v>268</v>
      </c>
      <c r="V587" s="1" t="s">
        <v>79</v>
      </c>
      <c r="W587" s="5">
        <f>Table1[[#This Row],[Quantity]]*Table1[[#This Row],[Price]]*(1-Table1[[#This Row],[Discount %]]/100)</f>
        <v>43392.2</v>
      </c>
      <c r="X587">
        <f>Table1[[#This Row],[DeliveryDate]]-Table1[[#This Row],[OrderDate]]</f>
        <v>8</v>
      </c>
      <c r="Y587" t="str">
        <f>TEXT(Table1[[#This Row],[OrderDate]],"MMMM")</f>
        <v>November</v>
      </c>
      <c r="Z587" s="5">
        <f>YEAR(Table1[[#This Row],[OrderDate]])</f>
        <v>2024</v>
      </c>
    </row>
    <row r="588" spans="1:26" x14ac:dyDescent="0.3">
      <c r="A588" s="1" t="s">
        <v>2044</v>
      </c>
      <c r="B588" t="s">
        <v>327</v>
      </c>
      <c r="C588" s="3">
        <v>45</v>
      </c>
      <c r="D588" s="1" t="s">
        <v>24</v>
      </c>
      <c r="E588" s="1" t="s">
        <v>52</v>
      </c>
      <c r="F588" s="1" t="s">
        <v>82</v>
      </c>
      <c r="G588" s="4">
        <v>44964</v>
      </c>
      <c r="H588" s="4">
        <v>44965</v>
      </c>
      <c r="I588" s="1" t="s">
        <v>29</v>
      </c>
      <c r="J588" s="1" t="s">
        <v>30</v>
      </c>
      <c r="K588" s="3">
        <v>2</v>
      </c>
      <c r="L588" s="2">
        <v>63190</v>
      </c>
      <c r="M588" s="3">
        <v>5</v>
      </c>
      <c r="N588" s="1" t="s">
        <v>45</v>
      </c>
      <c r="O588" s="1" t="s">
        <v>281</v>
      </c>
      <c r="P588" s="1" t="s">
        <v>69</v>
      </c>
      <c r="Q588" s="1" t="s">
        <v>330</v>
      </c>
      <c r="R588" s="1" t="s">
        <v>2045</v>
      </c>
      <c r="S588" s="3">
        <v>1</v>
      </c>
      <c r="T588" s="1" t="s">
        <v>36</v>
      </c>
      <c r="U588" s="3">
        <v>163</v>
      </c>
      <c r="V588" s="1" t="s">
        <v>37</v>
      </c>
      <c r="W588" s="5">
        <f>Table1[[#This Row],[Quantity]]*Table1[[#This Row],[Price]]*(1-Table1[[#This Row],[Discount %]]/100)</f>
        <v>120061</v>
      </c>
      <c r="X588">
        <f>Table1[[#This Row],[DeliveryDate]]-Table1[[#This Row],[OrderDate]]</f>
        <v>1</v>
      </c>
      <c r="Y588" t="str">
        <f>TEXT(Table1[[#This Row],[OrderDate]],"MMMM")</f>
        <v>February</v>
      </c>
      <c r="Z588" s="5">
        <f>YEAR(Table1[[#This Row],[OrderDate]])</f>
        <v>2023</v>
      </c>
    </row>
    <row r="589" spans="1:26" x14ac:dyDescent="0.3">
      <c r="A589" s="1" t="s">
        <v>2046</v>
      </c>
      <c r="B589" t="s">
        <v>860</v>
      </c>
      <c r="C589" s="3">
        <v>20</v>
      </c>
      <c r="D589" s="1" t="s">
        <v>51</v>
      </c>
      <c r="E589" s="1" t="s">
        <v>52</v>
      </c>
      <c r="F589" s="1" t="s">
        <v>91</v>
      </c>
      <c r="G589" s="4">
        <v>45326</v>
      </c>
      <c r="H589" s="4">
        <v>45327</v>
      </c>
      <c r="I589" s="1" t="s">
        <v>85</v>
      </c>
      <c r="J589" s="1" t="s">
        <v>30</v>
      </c>
      <c r="K589" s="3">
        <v>1</v>
      </c>
      <c r="L589" s="2">
        <v>20858</v>
      </c>
      <c r="M589" s="3">
        <v>15</v>
      </c>
      <c r="N589" s="1" t="s">
        <v>56</v>
      </c>
      <c r="O589" s="1" t="s">
        <v>281</v>
      </c>
      <c r="P589" s="1" t="s">
        <v>69</v>
      </c>
      <c r="Q589" s="1" t="s">
        <v>862</v>
      </c>
      <c r="R589" s="1" t="s">
        <v>2048</v>
      </c>
      <c r="S589" s="3">
        <v>2</v>
      </c>
      <c r="T589" s="1" t="s">
        <v>96</v>
      </c>
      <c r="U589" s="3">
        <v>311</v>
      </c>
      <c r="V589" s="1" t="s">
        <v>62</v>
      </c>
      <c r="W589" s="5">
        <f>Table1[[#This Row],[Quantity]]*Table1[[#This Row],[Price]]*(1-Table1[[#This Row],[Discount %]]/100)</f>
        <v>17729.3</v>
      </c>
      <c r="X589">
        <f>Table1[[#This Row],[DeliveryDate]]-Table1[[#This Row],[OrderDate]]</f>
        <v>1</v>
      </c>
      <c r="Y589" t="str">
        <f>TEXT(Table1[[#This Row],[OrderDate]],"MMMM")</f>
        <v>February</v>
      </c>
      <c r="Z589" s="5">
        <f>YEAR(Table1[[#This Row],[OrderDate]])</f>
        <v>2024</v>
      </c>
    </row>
    <row r="590" spans="1:26" x14ac:dyDescent="0.3">
      <c r="A590" s="1" t="s">
        <v>2049</v>
      </c>
      <c r="B590" t="s">
        <v>541</v>
      </c>
      <c r="C590" s="3">
        <v>48</v>
      </c>
      <c r="D590" s="1" t="s">
        <v>51</v>
      </c>
      <c r="E590" s="1" t="s">
        <v>99</v>
      </c>
      <c r="F590" s="1" t="s">
        <v>26</v>
      </c>
      <c r="G590" s="4">
        <v>45171</v>
      </c>
      <c r="H590" s="4">
        <v>45175</v>
      </c>
      <c r="I590" s="1" t="s">
        <v>93</v>
      </c>
      <c r="J590" s="1" t="s">
        <v>30</v>
      </c>
      <c r="K590" s="3">
        <v>2</v>
      </c>
      <c r="L590" s="2">
        <v>43640</v>
      </c>
      <c r="M590" s="3">
        <v>0</v>
      </c>
      <c r="N590" s="1" t="s">
        <v>56</v>
      </c>
      <c r="O590" s="1" t="s">
        <v>173</v>
      </c>
      <c r="P590" s="1" t="s">
        <v>58</v>
      </c>
      <c r="Q590" s="1" t="s">
        <v>544</v>
      </c>
      <c r="R590" s="1" t="s">
        <v>2050</v>
      </c>
      <c r="S590" s="3">
        <v>4</v>
      </c>
      <c r="T590" s="1" t="s">
        <v>72</v>
      </c>
      <c r="U590" s="3">
        <v>458</v>
      </c>
      <c r="V590" s="1" t="s">
        <v>79</v>
      </c>
      <c r="W590" s="5">
        <f>Table1[[#This Row],[Quantity]]*Table1[[#This Row],[Price]]*(1-Table1[[#This Row],[Discount %]]/100)</f>
        <v>87280</v>
      </c>
      <c r="X590">
        <f>Table1[[#This Row],[DeliveryDate]]-Table1[[#This Row],[OrderDate]]</f>
        <v>4</v>
      </c>
      <c r="Y590" t="str">
        <f>TEXT(Table1[[#This Row],[OrderDate]],"MMMM")</f>
        <v>September</v>
      </c>
      <c r="Z590" s="5">
        <f>YEAR(Table1[[#This Row],[OrderDate]])</f>
        <v>2023</v>
      </c>
    </row>
    <row r="591" spans="1:26" x14ac:dyDescent="0.3">
      <c r="A591" s="1" t="s">
        <v>2051</v>
      </c>
      <c r="B591" t="s">
        <v>606</v>
      </c>
      <c r="C591" s="3">
        <v>39</v>
      </c>
      <c r="D591" s="1" t="s">
        <v>24</v>
      </c>
      <c r="E591" s="1" t="s">
        <v>99</v>
      </c>
      <c r="F591" s="1" t="s">
        <v>65</v>
      </c>
      <c r="G591" s="4">
        <v>45069</v>
      </c>
      <c r="H591" s="4">
        <v>45076</v>
      </c>
      <c r="I591" s="1" t="s">
        <v>108</v>
      </c>
      <c r="J591" s="1" t="s">
        <v>30</v>
      </c>
      <c r="K591" s="3">
        <v>2</v>
      </c>
      <c r="L591" s="2">
        <v>12764</v>
      </c>
      <c r="M591" s="3">
        <v>10</v>
      </c>
      <c r="N591" s="1" t="s">
        <v>31</v>
      </c>
      <c r="O591" s="1" t="s">
        <v>109</v>
      </c>
      <c r="P591" s="1" t="s">
        <v>174</v>
      </c>
      <c r="Q591" s="1" t="s">
        <v>3415</v>
      </c>
      <c r="R591" s="1" t="s">
        <v>3415</v>
      </c>
      <c r="S591" s="3">
        <v>3</v>
      </c>
      <c r="T591" s="1" t="s">
        <v>36</v>
      </c>
      <c r="U591" s="3">
        <v>480</v>
      </c>
      <c r="V591" s="1" t="s">
        <v>62</v>
      </c>
      <c r="W591" s="5">
        <f>Table1[[#This Row],[Quantity]]*Table1[[#This Row],[Price]]*(1-Table1[[#This Row],[Discount %]]/100)</f>
        <v>22975.200000000001</v>
      </c>
      <c r="X591">
        <f>Table1[[#This Row],[DeliveryDate]]-Table1[[#This Row],[OrderDate]]</f>
        <v>7</v>
      </c>
      <c r="Y591" t="str">
        <f>TEXT(Table1[[#This Row],[OrderDate]],"MMMM")</f>
        <v>May</v>
      </c>
      <c r="Z591" s="5">
        <f>YEAR(Table1[[#This Row],[OrderDate]])</f>
        <v>2023</v>
      </c>
    </row>
    <row r="592" spans="1:26" x14ac:dyDescent="0.3">
      <c r="A592" s="1" t="s">
        <v>2052</v>
      </c>
      <c r="B592" t="s">
        <v>64</v>
      </c>
      <c r="C592" s="3">
        <v>49</v>
      </c>
      <c r="D592" s="1" t="s">
        <v>24</v>
      </c>
      <c r="E592" s="1" t="s">
        <v>229</v>
      </c>
      <c r="F592" s="1" t="s">
        <v>82</v>
      </c>
      <c r="G592" s="4">
        <v>45292</v>
      </c>
      <c r="H592" s="4">
        <v>45294</v>
      </c>
      <c r="I592" s="1" t="s">
        <v>108</v>
      </c>
      <c r="J592" s="1" t="s">
        <v>30</v>
      </c>
      <c r="K592" s="3">
        <v>1</v>
      </c>
      <c r="L592" s="2">
        <v>22055</v>
      </c>
      <c r="M592" s="3">
        <v>0</v>
      </c>
      <c r="N592" s="1" t="s">
        <v>166</v>
      </c>
      <c r="O592" s="1" t="s">
        <v>68</v>
      </c>
      <c r="P592" s="1" t="s">
        <v>69</v>
      </c>
      <c r="Q592" s="1" t="s">
        <v>70</v>
      </c>
      <c r="R592" s="1" t="s">
        <v>2053</v>
      </c>
      <c r="S592" s="3">
        <v>1</v>
      </c>
      <c r="T592" s="1" t="s">
        <v>72</v>
      </c>
      <c r="U592" s="3">
        <v>209</v>
      </c>
      <c r="V592" s="1" t="s">
        <v>79</v>
      </c>
      <c r="W592" s="5">
        <f>Table1[[#This Row],[Quantity]]*Table1[[#This Row],[Price]]*(1-Table1[[#This Row],[Discount %]]/100)</f>
        <v>22055</v>
      </c>
      <c r="X592">
        <f>Table1[[#This Row],[DeliveryDate]]-Table1[[#This Row],[OrderDate]]</f>
        <v>2</v>
      </c>
      <c r="Y592" t="str">
        <f>TEXT(Table1[[#This Row],[OrderDate]],"MMMM")</f>
        <v>January</v>
      </c>
      <c r="Z592" s="5">
        <f>YEAR(Table1[[#This Row],[OrderDate]])</f>
        <v>2024</v>
      </c>
    </row>
    <row r="593" spans="1:26" x14ac:dyDescent="0.3">
      <c r="A593" s="1" t="s">
        <v>2054</v>
      </c>
      <c r="B593" t="s">
        <v>162</v>
      </c>
      <c r="C593" s="3">
        <v>30</v>
      </c>
      <c r="D593" s="1" t="s">
        <v>24</v>
      </c>
      <c r="E593" s="1" t="s">
        <v>25</v>
      </c>
      <c r="F593" s="1" t="s">
        <v>91</v>
      </c>
      <c r="G593" s="4">
        <v>45159</v>
      </c>
      <c r="H593" s="4">
        <v>45165</v>
      </c>
      <c r="I593" s="1" t="s">
        <v>108</v>
      </c>
      <c r="J593" s="1" t="s">
        <v>44</v>
      </c>
      <c r="K593" s="3">
        <v>3</v>
      </c>
      <c r="L593" s="2">
        <v>7146</v>
      </c>
      <c r="M593" s="3">
        <v>10</v>
      </c>
      <c r="N593" s="1" t="s">
        <v>45</v>
      </c>
      <c r="O593" s="1" t="s">
        <v>173</v>
      </c>
      <c r="P593" s="1" t="s">
        <v>174</v>
      </c>
      <c r="Q593" s="1" t="s">
        <v>167</v>
      </c>
      <c r="R593" s="1" t="s">
        <v>3415</v>
      </c>
      <c r="S593" s="3">
        <v>4</v>
      </c>
      <c r="T593" s="1" t="s">
        <v>72</v>
      </c>
      <c r="U593" s="3">
        <v>302</v>
      </c>
      <c r="V593" s="1" t="s">
        <v>37</v>
      </c>
      <c r="W593" s="5">
        <f>Table1[[#This Row],[Quantity]]*Table1[[#This Row],[Price]]*(1-Table1[[#This Row],[Discount %]]/100)</f>
        <v>19294.2</v>
      </c>
      <c r="X593">
        <f>Table1[[#This Row],[DeliveryDate]]-Table1[[#This Row],[OrderDate]]</f>
        <v>6</v>
      </c>
      <c r="Y593" t="str">
        <f>TEXT(Table1[[#This Row],[OrderDate]],"MMMM")</f>
        <v>August</v>
      </c>
      <c r="Z593" s="5">
        <f>YEAR(Table1[[#This Row],[OrderDate]])</f>
        <v>2023</v>
      </c>
    </row>
    <row r="594" spans="1:26" x14ac:dyDescent="0.3">
      <c r="A594" s="1" t="s">
        <v>2056</v>
      </c>
      <c r="B594" t="s">
        <v>136</v>
      </c>
      <c r="C594" s="3">
        <v>36</v>
      </c>
      <c r="D594" s="1" t="s">
        <v>51</v>
      </c>
      <c r="E594" s="1" t="s">
        <v>25</v>
      </c>
      <c r="F594" s="1" t="s">
        <v>82</v>
      </c>
      <c r="G594" s="4">
        <v>45371</v>
      </c>
      <c r="H594" s="4">
        <v>45374</v>
      </c>
      <c r="I594" s="1" t="s">
        <v>77</v>
      </c>
      <c r="J594" s="1" t="s">
        <v>30</v>
      </c>
      <c r="K594" s="3">
        <v>1</v>
      </c>
      <c r="L594" s="2">
        <v>32541</v>
      </c>
      <c r="M594" s="3">
        <v>0</v>
      </c>
      <c r="N594" s="1" t="s">
        <v>166</v>
      </c>
      <c r="O594" s="1" t="s">
        <v>133</v>
      </c>
      <c r="P594" s="1" t="s">
        <v>69</v>
      </c>
      <c r="Q594" s="1" t="s">
        <v>269</v>
      </c>
      <c r="R594" s="1" t="s">
        <v>2059</v>
      </c>
      <c r="S594" s="3">
        <v>4</v>
      </c>
      <c r="T594" s="1" t="s">
        <v>61</v>
      </c>
      <c r="U594" s="3">
        <v>424</v>
      </c>
      <c r="V594" s="1" t="s">
        <v>37</v>
      </c>
      <c r="W594" s="5">
        <f>Table1[[#This Row],[Quantity]]*Table1[[#This Row],[Price]]*(1-Table1[[#This Row],[Discount %]]/100)</f>
        <v>32541</v>
      </c>
      <c r="X594">
        <f>Table1[[#This Row],[DeliveryDate]]-Table1[[#This Row],[OrderDate]]</f>
        <v>3</v>
      </c>
      <c r="Y594" t="str">
        <f>TEXT(Table1[[#This Row],[OrderDate]],"MMMM")</f>
        <v>March</v>
      </c>
      <c r="Z594" s="5">
        <f>YEAR(Table1[[#This Row],[OrderDate]])</f>
        <v>2024</v>
      </c>
    </row>
    <row r="595" spans="1:26" x14ac:dyDescent="0.3">
      <c r="A595" s="1" t="s">
        <v>2060</v>
      </c>
      <c r="B595" t="s">
        <v>90</v>
      </c>
      <c r="C595" s="3">
        <v>29</v>
      </c>
      <c r="D595" s="1" t="s">
        <v>51</v>
      </c>
      <c r="E595" s="1" t="s">
        <v>131</v>
      </c>
      <c r="F595" s="1" t="s">
        <v>91</v>
      </c>
      <c r="G595" s="4">
        <v>45493</v>
      </c>
      <c r="H595" s="4">
        <v>45495</v>
      </c>
      <c r="I595" s="1" t="s">
        <v>77</v>
      </c>
      <c r="J595" s="1" t="s">
        <v>30</v>
      </c>
      <c r="K595" s="3">
        <v>4</v>
      </c>
      <c r="L595" s="2">
        <v>45799</v>
      </c>
      <c r="M595" s="3">
        <v>0</v>
      </c>
      <c r="N595" s="1" t="s">
        <v>31</v>
      </c>
      <c r="O595" s="1" t="s">
        <v>133</v>
      </c>
      <c r="P595" s="1" t="s">
        <v>58</v>
      </c>
      <c r="Q595" s="1" t="s">
        <v>94</v>
      </c>
      <c r="R595" s="1" t="s">
        <v>2063</v>
      </c>
      <c r="S595" s="3">
        <v>2</v>
      </c>
      <c r="T595" s="1" t="s">
        <v>36</v>
      </c>
      <c r="U595" s="3">
        <v>161</v>
      </c>
      <c r="V595" s="1" t="s">
        <v>79</v>
      </c>
      <c r="W595" s="5">
        <f>Table1[[#This Row],[Quantity]]*Table1[[#This Row],[Price]]*(1-Table1[[#This Row],[Discount %]]/100)</f>
        <v>183196</v>
      </c>
      <c r="X595">
        <f>Table1[[#This Row],[DeliveryDate]]-Table1[[#This Row],[OrderDate]]</f>
        <v>2</v>
      </c>
      <c r="Y595" t="str">
        <f>TEXT(Table1[[#This Row],[OrderDate]],"MMMM")</f>
        <v>July</v>
      </c>
      <c r="Z595" s="5">
        <f>YEAR(Table1[[#This Row],[OrderDate]])</f>
        <v>2024</v>
      </c>
    </row>
    <row r="596" spans="1:26" x14ac:dyDescent="0.3">
      <c r="A596" s="1" t="s">
        <v>2064</v>
      </c>
      <c r="B596" t="s">
        <v>503</v>
      </c>
      <c r="C596" s="3">
        <v>32</v>
      </c>
      <c r="D596" s="1" t="s">
        <v>24</v>
      </c>
      <c r="E596" s="1" t="s">
        <v>25</v>
      </c>
      <c r="F596" s="1" t="s">
        <v>65</v>
      </c>
      <c r="G596" s="4">
        <v>45234</v>
      </c>
      <c r="H596" s="4">
        <v>45239</v>
      </c>
      <c r="I596" s="1" t="s">
        <v>93</v>
      </c>
      <c r="J596" s="1" t="s">
        <v>30</v>
      </c>
      <c r="K596" s="3">
        <v>4</v>
      </c>
      <c r="L596" s="2">
        <v>32191</v>
      </c>
      <c r="M596" s="3">
        <v>10</v>
      </c>
      <c r="N596" s="1" t="s">
        <v>31</v>
      </c>
      <c r="O596" s="1" t="s">
        <v>281</v>
      </c>
      <c r="P596" s="1" t="s">
        <v>33</v>
      </c>
      <c r="Q596" s="1" t="s">
        <v>506</v>
      </c>
      <c r="R596" s="1" t="s">
        <v>2066</v>
      </c>
      <c r="S596" s="3">
        <v>5</v>
      </c>
      <c r="T596" s="1" t="s">
        <v>96</v>
      </c>
      <c r="U596" s="3">
        <v>415</v>
      </c>
      <c r="V596" s="1" t="s">
        <v>79</v>
      </c>
      <c r="W596" s="5">
        <f>Table1[[#This Row],[Quantity]]*Table1[[#This Row],[Price]]*(1-Table1[[#This Row],[Discount %]]/100)</f>
        <v>115887.6</v>
      </c>
      <c r="X596">
        <f>Table1[[#This Row],[DeliveryDate]]-Table1[[#This Row],[OrderDate]]</f>
        <v>5</v>
      </c>
      <c r="Y596" t="str">
        <f>TEXT(Table1[[#This Row],[OrderDate]],"MMMM")</f>
        <v>November</v>
      </c>
      <c r="Z596" s="5">
        <f>YEAR(Table1[[#This Row],[OrderDate]])</f>
        <v>2023</v>
      </c>
    </row>
    <row r="597" spans="1:26" x14ac:dyDescent="0.3">
      <c r="A597" s="1" t="s">
        <v>2067</v>
      </c>
      <c r="B597" t="s">
        <v>527</v>
      </c>
      <c r="C597" s="3">
        <v>39</v>
      </c>
      <c r="D597" s="1" t="s">
        <v>24</v>
      </c>
      <c r="E597" s="1" t="s">
        <v>131</v>
      </c>
      <c r="F597" s="1" t="s">
        <v>82</v>
      </c>
      <c r="G597" s="4">
        <v>45554</v>
      </c>
      <c r="H597" s="4">
        <v>45562</v>
      </c>
      <c r="I597" s="1" t="s">
        <v>85</v>
      </c>
      <c r="J597" s="1" t="s">
        <v>44</v>
      </c>
      <c r="K597" s="3">
        <v>3</v>
      </c>
      <c r="L597" s="2">
        <v>32196</v>
      </c>
      <c r="M597" s="3">
        <v>10</v>
      </c>
      <c r="N597" s="1" t="s">
        <v>31</v>
      </c>
      <c r="O597" s="1" t="s">
        <v>32</v>
      </c>
      <c r="P597" s="1" t="s">
        <v>33</v>
      </c>
      <c r="Q597" s="1" t="s">
        <v>530</v>
      </c>
      <c r="R597" s="1" t="s">
        <v>2068</v>
      </c>
      <c r="S597" s="3">
        <v>4</v>
      </c>
      <c r="T597" s="1" t="s">
        <v>36</v>
      </c>
      <c r="U597" s="3">
        <v>360</v>
      </c>
      <c r="V597" s="1" t="s">
        <v>62</v>
      </c>
      <c r="W597" s="5">
        <f>Table1[[#This Row],[Quantity]]*Table1[[#This Row],[Price]]*(1-Table1[[#This Row],[Discount %]]/100)</f>
        <v>86929.2</v>
      </c>
      <c r="X597">
        <f>Table1[[#This Row],[DeliveryDate]]-Table1[[#This Row],[OrderDate]]</f>
        <v>8</v>
      </c>
      <c r="Y597" t="str">
        <f>TEXT(Table1[[#This Row],[OrderDate]],"MMMM")</f>
        <v>September</v>
      </c>
      <c r="Z597" s="5">
        <f>YEAR(Table1[[#This Row],[OrderDate]])</f>
        <v>2024</v>
      </c>
    </row>
    <row r="598" spans="1:26" x14ac:dyDescent="0.3">
      <c r="A598" s="1" t="s">
        <v>2069</v>
      </c>
      <c r="B598" t="s">
        <v>484</v>
      </c>
      <c r="C598" s="3">
        <v>36</v>
      </c>
      <c r="D598" s="1" t="s">
        <v>24</v>
      </c>
      <c r="E598" s="1" t="s">
        <v>25</v>
      </c>
      <c r="F598" s="1" t="s">
        <v>82</v>
      </c>
      <c r="G598" s="4">
        <v>45566</v>
      </c>
      <c r="H598" s="4">
        <v>45576</v>
      </c>
      <c r="I598" s="1" t="s">
        <v>85</v>
      </c>
      <c r="J598" s="1" t="s">
        <v>44</v>
      </c>
      <c r="K598" s="3">
        <v>4</v>
      </c>
      <c r="L598" s="2">
        <v>16421</v>
      </c>
      <c r="M598" s="3">
        <v>5</v>
      </c>
      <c r="N598" s="1" t="s">
        <v>166</v>
      </c>
      <c r="O598" s="1" t="s">
        <v>102</v>
      </c>
      <c r="P598" s="1" t="s">
        <v>174</v>
      </c>
      <c r="Q598" s="1" t="s">
        <v>487</v>
      </c>
      <c r="R598" s="1" t="s">
        <v>2072</v>
      </c>
      <c r="S598" s="3">
        <v>5</v>
      </c>
      <c r="T598" s="1" t="s">
        <v>36</v>
      </c>
      <c r="U598" s="3">
        <v>110</v>
      </c>
      <c r="V598" s="1" t="s">
        <v>79</v>
      </c>
      <c r="W598" s="5">
        <f>Table1[[#This Row],[Quantity]]*Table1[[#This Row],[Price]]*(1-Table1[[#This Row],[Discount %]]/100)</f>
        <v>62399.799999999996</v>
      </c>
      <c r="X598">
        <f>Table1[[#This Row],[DeliveryDate]]-Table1[[#This Row],[OrderDate]]</f>
        <v>10</v>
      </c>
      <c r="Y598" t="str">
        <f>TEXT(Table1[[#This Row],[OrderDate]],"MMMM")</f>
        <v>October</v>
      </c>
      <c r="Z598" s="5">
        <f>YEAR(Table1[[#This Row],[OrderDate]])</f>
        <v>2024</v>
      </c>
    </row>
    <row r="599" spans="1:26" x14ac:dyDescent="0.3">
      <c r="A599" s="1" t="s">
        <v>2073</v>
      </c>
      <c r="B599" t="s">
        <v>272</v>
      </c>
      <c r="C599" s="3">
        <v>37</v>
      </c>
      <c r="D599" s="1" t="s">
        <v>51</v>
      </c>
      <c r="E599" s="1" t="s">
        <v>40</v>
      </c>
      <c r="F599" s="1" t="s">
        <v>91</v>
      </c>
      <c r="G599" s="4">
        <v>45562</v>
      </c>
      <c r="H599" s="4">
        <v>45564</v>
      </c>
      <c r="I599" s="1" t="s">
        <v>77</v>
      </c>
      <c r="J599" s="1" t="s">
        <v>30</v>
      </c>
      <c r="K599" s="3">
        <v>2</v>
      </c>
      <c r="L599" s="2">
        <v>49793</v>
      </c>
      <c r="M599" s="3">
        <v>10</v>
      </c>
      <c r="N599" s="1" t="s">
        <v>31</v>
      </c>
      <c r="O599" s="1" t="s">
        <v>173</v>
      </c>
      <c r="P599" s="1" t="s">
        <v>174</v>
      </c>
      <c r="Q599" s="1" t="s">
        <v>275</v>
      </c>
      <c r="R599" s="1" t="s">
        <v>2074</v>
      </c>
      <c r="S599" s="3">
        <v>1</v>
      </c>
      <c r="T599" s="1" t="s">
        <v>72</v>
      </c>
      <c r="U599" s="3">
        <v>71</v>
      </c>
      <c r="V599" s="1" t="s">
        <v>62</v>
      </c>
      <c r="W599" s="5">
        <f>Table1[[#This Row],[Quantity]]*Table1[[#This Row],[Price]]*(1-Table1[[#This Row],[Discount %]]/100)</f>
        <v>89627.400000000009</v>
      </c>
      <c r="X599">
        <f>Table1[[#This Row],[DeliveryDate]]-Table1[[#This Row],[OrderDate]]</f>
        <v>2</v>
      </c>
      <c r="Y599" t="str">
        <f>TEXT(Table1[[#This Row],[OrderDate]],"MMMM")</f>
        <v>September</v>
      </c>
      <c r="Z599" s="5">
        <f>YEAR(Table1[[#This Row],[OrderDate]])</f>
        <v>2024</v>
      </c>
    </row>
    <row r="600" spans="1:26" x14ac:dyDescent="0.3">
      <c r="A600" s="1" t="s">
        <v>2075</v>
      </c>
      <c r="B600" t="s">
        <v>660</v>
      </c>
      <c r="C600" s="3">
        <v>34</v>
      </c>
      <c r="D600" s="1" t="s">
        <v>24</v>
      </c>
      <c r="E600" s="1" t="s">
        <v>229</v>
      </c>
      <c r="F600" s="1" t="s">
        <v>65</v>
      </c>
      <c r="G600" s="4">
        <v>45149</v>
      </c>
      <c r="H600" s="4">
        <v>45151</v>
      </c>
      <c r="I600" s="1" t="s">
        <v>85</v>
      </c>
      <c r="J600" s="1" t="s">
        <v>44</v>
      </c>
      <c r="K600" s="3">
        <v>4</v>
      </c>
      <c r="L600" s="2">
        <v>30119</v>
      </c>
      <c r="M600" s="3">
        <v>5</v>
      </c>
      <c r="N600" s="1" t="s">
        <v>56</v>
      </c>
      <c r="O600" s="1" t="s">
        <v>109</v>
      </c>
      <c r="P600" s="1" t="s">
        <v>33</v>
      </c>
      <c r="Q600" s="1" t="s">
        <v>3415</v>
      </c>
      <c r="R600" s="1" t="s">
        <v>2077</v>
      </c>
      <c r="S600" s="3">
        <v>4</v>
      </c>
      <c r="T600" s="1" t="s">
        <v>36</v>
      </c>
      <c r="U600" s="3">
        <v>81</v>
      </c>
      <c r="V600" s="1" t="s">
        <v>62</v>
      </c>
      <c r="W600" s="5">
        <f>Table1[[#This Row],[Quantity]]*Table1[[#This Row],[Price]]*(1-Table1[[#This Row],[Discount %]]/100)</f>
        <v>114452.2</v>
      </c>
      <c r="X600">
        <f>Table1[[#This Row],[DeliveryDate]]-Table1[[#This Row],[OrderDate]]</f>
        <v>2</v>
      </c>
      <c r="Y600" t="str">
        <f>TEXT(Table1[[#This Row],[OrderDate]],"MMMM")</f>
        <v>August</v>
      </c>
      <c r="Z600" s="5">
        <f>YEAR(Table1[[#This Row],[OrderDate]])</f>
        <v>2023</v>
      </c>
    </row>
    <row r="601" spans="1:26" x14ac:dyDescent="0.3">
      <c r="A601" s="1" t="s">
        <v>2078</v>
      </c>
      <c r="B601" t="s">
        <v>1690</v>
      </c>
      <c r="C601" s="3">
        <v>24</v>
      </c>
      <c r="D601" s="1" t="s">
        <v>24</v>
      </c>
      <c r="E601" s="1" t="s">
        <v>142</v>
      </c>
      <c r="F601" s="1" t="s">
        <v>82</v>
      </c>
      <c r="G601" s="4">
        <v>44986</v>
      </c>
      <c r="H601" s="4">
        <v>44988</v>
      </c>
      <c r="I601" s="1" t="s">
        <v>93</v>
      </c>
      <c r="J601" s="1" t="s">
        <v>44</v>
      </c>
      <c r="K601" s="3">
        <v>1</v>
      </c>
      <c r="L601" s="2">
        <v>20715</v>
      </c>
      <c r="M601" s="3">
        <v>0</v>
      </c>
      <c r="N601" s="1" t="s">
        <v>31</v>
      </c>
      <c r="O601" s="1" t="s">
        <v>57</v>
      </c>
      <c r="P601" s="1" t="s">
        <v>69</v>
      </c>
      <c r="Q601" s="1" t="s">
        <v>87</v>
      </c>
      <c r="R601" s="1" t="s">
        <v>2081</v>
      </c>
      <c r="S601" s="3">
        <v>5</v>
      </c>
      <c r="T601" s="1" t="s">
        <v>61</v>
      </c>
      <c r="U601" s="3">
        <v>142</v>
      </c>
      <c r="V601" s="1" t="s">
        <v>37</v>
      </c>
      <c r="W601" s="5">
        <f>Table1[[#This Row],[Quantity]]*Table1[[#This Row],[Price]]*(1-Table1[[#This Row],[Discount %]]/100)</f>
        <v>20715</v>
      </c>
      <c r="X601">
        <f>Table1[[#This Row],[DeliveryDate]]-Table1[[#This Row],[OrderDate]]</f>
        <v>2</v>
      </c>
      <c r="Y601" t="str">
        <f>TEXT(Table1[[#This Row],[OrderDate]],"MMMM")</f>
        <v>March</v>
      </c>
      <c r="Z601" s="5">
        <f>YEAR(Table1[[#This Row],[OrderDate]])</f>
        <v>2023</v>
      </c>
    </row>
    <row r="602" spans="1:26" x14ac:dyDescent="0.3">
      <c r="A602" s="1" t="s">
        <v>2082</v>
      </c>
      <c r="B602" t="s">
        <v>193</v>
      </c>
      <c r="C602" s="3">
        <v>45</v>
      </c>
      <c r="D602" s="1" t="s">
        <v>51</v>
      </c>
      <c r="E602" s="1" t="s">
        <v>25</v>
      </c>
      <c r="F602" s="1" t="s">
        <v>65</v>
      </c>
      <c r="G602" s="4">
        <v>45076</v>
      </c>
      <c r="H602" s="4">
        <v>45085</v>
      </c>
      <c r="I602" s="1" t="s">
        <v>43</v>
      </c>
      <c r="J602" s="1" t="s">
        <v>44</v>
      </c>
      <c r="K602" s="3">
        <v>2</v>
      </c>
      <c r="L602" s="2">
        <v>76293</v>
      </c>
      <c r="M602" s="3">
        <v>5</v>
      </c>
      <c r="N602" s="1" t="s">
        <v>56</v>
      </c>
      <c r="O602" s="1" t="s">
        <v>133</v>
      </c>
      <c r="P602" s="1" t="s">
        <v>33</v>
      </c>
      <c r="Q602" s="1" t="s">
        <v>195</v>
      </c>
      <c r="R602" s="1" t="s">
        <v>2084</v>
      </c>
      <c r="S602" s="3">
        <v>5</v>
      </c>
      <c r="T602" s="1" t="s">
        <v>61</v>
      </c>
      <c r="U602" s="3">
        <v>332</v>
      </c>
      <c r="V602" s="1" t="s">
        <v>79</v>
      </c>
      <c r="W602" s="5">
        <f>Table1[[#This Row],[Quantity]]*Table1[[#This Row],[Price]]*(1-Table1[[#This Row],[Discount %]]/100)</f>
        <v>144956.69999999998</v>
      </c>
      <c r="X602">
        <f>Table1[[#This Row],[DeliveryDate]]-Table1[[#This Row],[OrderDate]]</f>
        <v>9</v>
      </c>
      <c r="Y602" t="str">
        <f>TEXT(Table1[[#This Row],[OrderDate]],"MMMM")</f>
        <v>May</v>
      </c>
      <c r="Z602" s="5">
        <f>YEAR(Table1[[#This Row],[OrderDate]])</f>
        <v>2023</v>
      </c>
    </row>
    <row r="603" spans="1:26" x14ac:dyDescent="0.3">
      <c r="A603" s="1" t="s">
        <v>2085</v>
      </c>
      <c r="B603" t="s">
        <v>90</v>
      </c>
      <c r="C603" s="3">
        <v>31</v>
      </c>
      <c r="D603" s="1" t="s">
        <v>24</v>
      </c>
      <c r="E603" s="1" t="s">
        <v>99</v>
      </c>
      <c r="F603" s="1" t="s">
        <v>53</v>
      </c>
      <c r="G603" s="4">
        <v>45005</v>
      </c>
      <c r="H603" s="4">
        <v>45010</v>
      </c>
      <c r="I603" s="1" t="s">
        <v>29</v>
      </c>
      <c r="J603" s="1" t="s">
        <v>44</v>
      </c>
      <c r="K603" s="3">
        <v>1</v>
      </c>
      <c r="L603" s="2">
        <v>42109.716287215415</v>
      </c>
      <c r="M603" s="3">
        <v>15</v>
      </c>
      <c r="N603" s="1" t="s">
        <v>166</v>
      </c>
      <c r="O603" s="1" t="s">
        <v>102</v>
      </c>
      <c r="P603" s="1" t="s">
        <v>58</v>
      </c>
      <c r="Q603" s="1" t="s">
        <v>94</v>
      </c>
      <c r="R603" s="1" t="s">
        <v>2087</v>
      </c>
      <c r="S603" s="3">
        <v>4</v>
      </c>
      <c r="T603" s="1" t="s">
        <v>72</v>
      </c>
      <c r="U603" s="3">
        <v>161</v>
      </c>
      <c r="V603" s="1" t="s">
        <v>37</v>
      </c>
      <c r="W603" s="5">
        <f>Table1[[#This Row],[Quantity]]*Table1[[#This Row],[Price]]*(1-Table1[[#This Row],[Discount %]]/100)</f>
        <v>35793.258844133103</v>
      </c>
      <c r="X603">
        <f>Table1[[#This Row],[DeliveryDate]]-Table1[[#This Row],[OrderDate]]</f>
        <v>5</v>
      </c>
      <c r="Y603" t="str">
        <f>TEXT(Table1[[#This Row],[OrderDate]],"MMMM")</f>
        <v>March</v>
      </c>
      <c r="Z603" s="5">
        <f>YEAR(Table1[[#This Row],[OrderDate]])</f>
        <v>2023</v>
      </c>
    </row>
    <row r="604" spans="1:26" x14ac:dyDescent="0.3">
      <c r="A604" s="1" t="s">
        <v>2088</v>
      </c>
      <c r="B604" t="s">
        <v>193</v>
      </c>
      <c r="C604" s="3">
        <v>58</v>
      </c>
      <c r="D604" s="1" t="s">
        <v>51</v>
      </c>
      <c r="E604" s="1" t="s">
        <v>99</v>
      </c>
      <c r="F604" s="1" t="s">
        <v>53</v>
      </c>
      <c r="G604" s="4">
        <v>45589</v>
      </c>
      <c r="H604" s="4">
        <v>45599</v>
      </c>
      <c r="I604" s="1" t="s">
        <v>93</v>
      </c>
      <c r="J604" s="1" t="s">
        <v>44</v>
      </c>
      <c r="K604" s="3">
        <v>5</v>
      </c>
      <c r="L604" s="2">
        <v>73566</v>
      </c>
      <c r="M604" s="3">
        <v>0</v>
      </c>
      <c r="N604" s="1" t="s">
        <v>166</v>
      </c>
      <c r="O604" s="1" t="s">
        <v>102</v>
      </c>
      <c r="P604" s="1" t="s">
        <v>69</v>
      </c>
      <c r="Q604" s="1" t="s">
        <v>195</v>
      </c>
      <c r="R604" s="1" t="s">
        <v>2091</v>
      </c>
      <c r="S604" s="3">
        <v>3</v>
      </c>
      <c r="T604" s="1" t="s">
        <v>61</v>
      </c>
      <c r="U604" s="3">
        <v>169</v>
      </c>
      <c r="V604" s="1" t="s">
        <v>79</v>
      </c>
      <c r="W604" s="5">
        <f>Table1[[#This Row],[Quantity]]*Table1[[#This Row],[Price]]*(1-Table1[[#This Row],[Discount %]]/100)</f>
        <v>367830</v>
      </c>
      <c r="X604">
        <f>Table1[[#This Row],[DeliveryDate]]-Table1[[#This Row],[OrderDate]]</f>
        <v>10</v>
      </c>
      <c r="Y604" t="str">
        <f>TEXT(Table1[[#This Row],[OrderDate]],"MMMM")</f>
        <v>October</v>
      </c>
      <c r="Z604" s="5">
        <f>YEAR(Table1[[#This Row],[OrderDate]])</f>
        <v>2024</v>
      </c>
    </row>
    <row r="605" spans="1:26" x14ac:dyDescent="0.3">
      <c r="A605" s="1" t="s">
        <v>2092</v>
      </c>
      <c r="B605" t="s">
        <v>702</v>
      </c>
      <c r="C605" s="3">
        <v>55</v>
      </c>
      <c r="D605" s="1" t="s">
        <v>51</v>
      </c>
      <c r="E605" s="1" t="s">
        <v>26</v>
      </c>
      <c r="F605" s="1" t="s">
        <v>53</v>
      </c>
      <c r="G605" s="4">
        <v>44981</v>
      </c>
      <c r="H605" s="4">
        <v>44985</v>
      </c>
      <c r="I605" s="1" t="s">
        <v>85</v>
      </c>
      <c r="J605" s="1" t="s">
        <v>44</v>
      </c>
      <c r="K605" s="3">
        <v>1</v>
      </c>
      <c r="L605" s="2">
        <v>74368</v>
      </c>
      <c r="M605" s="3">
        <v>5</v>
      </c>
      <c r="N605" s="1" t="s">
        <v>45</v>
      </c>
      <c r="O605" s="1" t="s">
        <v>68</v>
      </c>
      <c r="P605" s="1" t="s">
        <v>33</v>
      </c>
      <c r="Q605" s="1" t="s">
        <v>916</v>
      </c>
      <c r="R605" s="1" t="s">
        <v>2093</v>
      </c>
      <c r="S605" s="3">
        <v>5</v>
      </c>
      <c r="T605" s="1" t="s">
        <v>61</v>
      </c>
      <c r="U605" s="3">
        <v>205</v>
      </c>
      <c r="V605" s="1" t="s">
        <v>62</v>
      </c>
      <c r="W605" s="5">
        <f>Table1[[#This Row],[Quantity]]*Table1[[#This Row],[Price]]*(1-Table1[[#This Row],[Discount %]]/100)</f>
        <v>70649.599999999991</v>
      </c>
      <c r="X605">
        <f>Table1[[#This Row],[DeliveryDate]]-Table1[[#This Row],[OrderDate]]</f>
        <v>4</v>
      </c>
      <c r="Y605" t="str">
        <f>TEXT(Table1[[#This Row],[OrderDate]],"MMMM")</f>
        <v>February</v>
      </c>
      <c r="Z605" s="5">
        <f>YEAR(Table1[[#This Row],[OrderDate]])</f>
        <v>2023</v>
      </c>
    </row>
    <row r="606" spans="1:26" x14ac:dyDescent="0.3">
      <c r="A606" s="1" t="s">
        <v>2094</v>
      </c>
      <c r="B606" t="s">
        <v>503</v>
      </c>
      <c r="C606" s="3">
        <v>26</v>
      </c>
      <c r="D606" s="1" t="s">
        <v>24</v>
      </c>
      <c r="E606" s="1" t="s">
        <v>25</v>
      </c>
      <c r="F606" s="1" t="s">
        <v>82</v>
      </c>
      <c r="G606" s="4">
        <v>45014</v>
      </c>
      <c r="H606" s="4">
        <v>45020</v>
      </c>
      <c r="I606" s="1" t="s">
        <v>29</v>
      </c>
      <c r="J606" s="1" t="s">
        <v>30</v>
      </c>
      <c r="K606" s="3">
        <v>1</v>
      </c>
      <c r="L606" s="2">
        <v>29335</v>
      </c>
      <c r="M606" s="3">
        <v>0</v>
      </c>
      <c r="N606" s="1" t="s">
        <v>56</v>
      </c>
      <c r="O606" s="1" t="s">
        <v>68</v>
      </c>
      <c r="P606" s="1" t="s">
        <v>174</v>
      </c>
      <c r="Q606" s="1" t="s">
        <v>506</v>
      </c>
      <c r="R606" s="1" t="s">
        <v>2095</v>
      </c>
      <c r="S606" s="3">
        <v>2</v>
      </c>
      <c r="T606" s="1" t="s">
        <v>72</v>
      </c>
      <c r="U606" s="3">
        <v>213</v>
      </c>
      <c r="V606" s="1" t="s">
        <v>62</v>
      </c>
      <c r="W606" s="5">
        <f>Table1[[#This Row],[Quantity]]*Table1[[#This Row],[Price]]*(1-Table1[[#This Row],[Discount %]]/100)</f>
        <v>29335</v>
      </c>
      <c r="X606">
        <f>Table1[[#This Row],[DeliveryDate]]-Table1[[#This Row],[OrderDate]]</f>
        <v>6</v>
      </c>
      <c r="Y606" t="str">
        <f>TEXT(Table1[[#This Row],[OrderDate]],"MMMM")</f>
        <v>March</v>
      </c>
      <c r="Z606" s="5">
        <f>YEAR(Table1[[#This Row],[OrderDate]])</f>
        <v>2023</v>
      </c>
    </row>
    <row r="607" spans="1:26" x14ac:dyDescent="0.3">
      <c r="A607" s="1" t="s">
        <v>2096</v>
      </c>
      <c r="B607" t="s">
        <v>361</v>
      </c>
      <c r="C607" s="3">
        <v>24</v>
      </c>
      <c r="D607" s="1" t="s">
        <v>24</v>
      </c>
      <c r="E607" s="1" t="s">
        <v>25</v>
      </c>
      <c r="F607" s="1" t="s">
        <v>82</v>
      </c>
      <c r="G607" s="4">
        <v>45134</v>
      </c>
      <c r="H607" s="4">
        <v>45135</v>
      </c>
      <c r="I607" s="1" t="s">
        <v>85</v>
      </c>
      <c r="J607" s="1" t="s">
        <v>44</v>
      </c>
      <c r="K607" s="3">
        <v>5</v>
      </c>
      <c r="L607" s="2">
        <v>67880</v>
      </c>
      <c r="M607" s="3">
        <v>5</v>
      </c>
      <c r="N607" s="1" t="s">
        <v>56</v>
      </c>
      <c r="O607" s="1" t="s">
        <v>173</v>
      </c>
      <c r="P607" s="1" t="s">
        <v>69</v>
      </c>
      <c r="Q607" s="1" t="s">
        <v>364</v>
      </c>
      <c r="R607" s="1" t="s">
        <v>2097</v>
      </c>
      <c r="S607" s="3">
        <v>4</v>
      </c>
      <c r="T607" s="1" t="s">
        <v>72</v>
      </c>
      <c r="U607" s="3">
        <v>72</v>
      </c>
      <c r="V607" s="1" t="s">
        <v>62</v>
      </c>
      <c r="W607" s="5">
        <f>Table1[[#This Row],[Quantity]]*Table1[[#This Row],[Price]]*(1-Table1[[#This Row],[Discount %]]/100)</f>
        <v>322430</v>
      </c>
      <c r="X607">
        <f>Table1[[#This Row],[DeliveryDate]]-Table1[[#This Row],[OrderDate]]</f>
        <v>1</v>
      </c>
      <c r="Y607" t="str">
        <f>TEXT(Table1[[#This Row],[OrderDate]],"MMMM")</f>
        <v>July</v>
      </c>
      <c r="Z607" s="5">
        <f>YEAR(Table1[[#This Row],[OrderDate]])</f>
        <v>2023</v>
      </c>
    </row>
    <row r="608" spans="1:26" x14ac:dyDescent="0.3">
      <c r="A608" s="1" t="s">
        <v>2098</v>
      </c>
      <c r="B608" t="s">
        <v>278</v>
      </c>
      <c r="C608" s="3">
        <v>60</v>
      </c>
      <c r="D608" s="1" t="s">
        <v>51</v>
      </c>
      <c r="E608" s="1" t="s">
        <v>131</v>
      </c>
      <c r="F608" s="1" t="s">
        <v>82</v>
      </c>
      <c r="G608" s="4">
        <v>45573</v>
      </c>
      <c r="H608" s="4">
        <v>45581</v>
      </c>
      <c r="I608" s="1" t="s">
        <v>108</v>
      </c>
      <c r="J608" s="1" t="s">
        <v>30</v>
      </c>
      <c r="K608" s="3">
        <v>3</v>
      </c>
      <c r="L608" s="2">
        <v>20512</v>
      </c>
      <c r="M608" s="3">
        <v>5</v>
      </c>
      <c r="N608" s="1" t="s">
        <v>166</v>
      </c>
      <c r="O608" s="1" t="s">
        <v>86</v>
      </c>
      <c r="P608" s="1" t="s">
        <v>33</v>
      </c>
      <c r="Q608" s="1" t="s">
        <v>282</v>
      </c>
      <c r="R608" s="1" t="s">
        <v>2101</v>
      </c>
      <c r="S608" s="3">
        <v>1</v>
      </c>
      <c r="T608" s="1" t="s">
        <v>96</v>
      </c>
      <c r="U608" s="3">
        <v>65</v>
      </c>
      <c r="V608" s="1" t="s">
        <v>79</v>
      </c>
      <c r="W608" s="5">
        <f>Table1[[#This Row],[Quantity]]*Table1[[#This Row],[Price]]*(1-Table1[[#This Row],[Discount %]]/100)</f>
        <v>58459.199999999997</v>
      </c>
      <c r="X608">
        <f>Table1[[#This Row],[DeliveryDate]]-Table1[[#This Row],[OrderDate]]</f>
        <v>8</v>
      </c>
      <c r="Y608" t="str">
        <f>TEXT(Table1[[#This Row],[OrderDate]],"MMMM")</f>
        <v>October</v>
      </c>
      <c r="Z608" s="5">
        <f>YEAR(Table1[[#This Row],[OrderDate]])</f>
        <v>2024</v>
      </c>
    </row>
    <row r="609" spans="1:26" x14ac:dyDescent="0.3">
      <c r="A609" s="1" t="s">
        <v>2102</v>
      </c>
      <c r="B609" t="s">
        <v>509</v>
      </c>
      <c r="C609" s="3">
        <v>53</v>
      </c>
      <c r="D609" s="1" t="s">
        <v>24</v>
      </c>
      <c r="E609" s="1" t="s">
        <v>26</v>
      </c>
      <c r="F609" s="1" t="s">
        <v>26</v>
      </c>
      <c r="G609" s="4">
        <v>45087</v>
      </c>
      <c r="H609" s="4">
        <v>45094</v>
      </c>
      <c r="I609" s="1" t="s">
        <v>77</v>
      </c>
      <c r="J609" s="1" t="s">
        <v>44</v>
      </c>
      <c r="K609" s="3">
        <v>2</v>
      </c>
      <c r="L609" s="2">
        <v>64493</v>
      </c>
      <c r="M609" s="3">
        <v>5</v>
      </c>
      <c r="N609" s="1" t="s">
        <v>31</v>
      </c>
      <c r="O609" s="1" t="s">
        <v>46</v>
      </c>
      <c r="P609" s="1" t="s">
        <v>174</v>
      </c>
      <c r="Q609" s="1" t="s">
        <v>512</v>
      </c>
      <c r="R609" s="1" t="s">
        <v>3415</v>
      </c>
      <c r="S609" s="3">
        <v>4</v>
      </c>
      <c r="T609" s="1" t="s">
        <v>36</v>
      </c>
      <c r="U609" s="3">
        <v>304</v>
      </c>
      <c r="V609" s="1" t="s">
        <v>79</v>
      </c>
      <c r="W609" s="5">
        <f>Table1[[#This Row],[Quantity]]*Table1[[#This Row],[Price]]*(1-Table1[[#This Row],[Discount %]]/100)</f>
        <v>122536.7</v>
      </c>
      <c r="X609">
        <f>Table1[[#This Row],[DeliveryDate]]-Table1[[#This Row],[OrderDate]]</f>
        <v>7</v>
      </c>
      <c r="Y609" t="str">
        <f>TEXT(Table1[[#This Row],[OrderDate]],"MMMM")</f>
        <v>June</v>
      </c>
      <c r="Z609" s="5">
        <f>YEAR(Table1[[#This Row],[OrderDate]])</f>
        <v>2023</v>
      </c>
    </row>
    <row r="610" spans="1:26" x14ac:dyDescent="0.3">
      <c r="A610" s="1" t="s">
        <v>2103</v>
      </c>
      <c r="B610" t="s">
        <v>1309</v>
      </c>
      <c r="C610" s="3">
        <v>23</v>
      </c>
      <c r="D610" s="1" t="s">
        <v>24</v>
      </c>
      <c r="E610" s="1" t="s">
        <v>52</v>
      </c>
      <c r="F610" s="1" t="s">
        <v>65</v>
      </c>
      <c r="G610" s="4">
        <v>45351</v>
      </c>
      <c r="H610" s="4">
        <v>45359</v>
      </c>
      <c r="I610" s="1" t="s">
        <v>77</v>
      </c>
      <c r="J610" s="1" t="s">
        <v>30</v>
      </c>
      <c r="K610" s="3">
        <v>4</v>
      </c>
      <c r="L610" s="2">
        <v>49378</v>
      </c>
      <c r="M610" s="3">
        <v>15</v>
      </c>
      <c r="N610" s="1" t="s">
        <v>45</v>
      </c>
      <c r="O610" s="1" t="s">
        <v>102</v>
      </c>
      <c r="P610" s="1" t="s">
        <v>33</v>
      </c>
      <c r="Q610" s="1" t="s">
        <v>1311</v>
      </c>
      <c r="R610" s="1" t="s">
        <v>2104</v>
      </c>
      <c r="S610" s="3">
        <v>4</v>
      </c>
      <c r="T610" s="1" t="s">
        <v>61</v>
      </c>
      <c r="U610" s="3">
        <v>485</v>
      </c>
      <c r="V610" s="1" t="s">
        <v>37</v>
      </c>
      <c r="W610" s="5">
        <f>Table1[[#This Row],[Quantity]]*Table1[[#This Row],[Price]]*(1-Table1[[#This Row],[Discount %]]/100)</f>
        <v>167885.19999999998</v>
      </c>
      <c r="X610">
        <f>Table1[[#This Row],[DeliveryDate]]-Table1[[#This Row],[OrderDate]]</f>
        <v>8</v>
      </c>
      <c r="Y610" t="str">
        <f>TEXT(Table1[[#This Row],[OrderDate]],"MMMM")</f>
        <v>February</v>
      </c>
      <c r="Z610" s="5">
        <f>YEAR(Table1[[#This Row],[OrderDate]])</f>
        <v>2024</v>
      </c>
    </row>
    <row r="611" spans="1:26" x14ac:dyDescent="0.3">
      <c r="A611" s="1" t="s">
        <v>2105</v>
      </c>
      <c r="B611" t="s">
        <v>660</v>
      </c>
      <c r="C611" s="3">
        <v>47</v>
      </c>
      <c r="D611" s="1" t="s">
        <v>51</v>
      </c>
      <c r="E611" s="1" t="s">
        <v>142</v>
      </c>
      <c r="F611" s="1" t="s">
        <v>26</v>
      </c>
      <c r="G611" s="4">
        <v>45261</v>
      </c>
      <c r="H611" s="4">
        <v>45265</v>
      </c>
      <c r="I611" s="1" t="s">
        <v>43</v>
      </c>
      <c r="J611" s="1" t="s">
        <v>30</v>
      </c>
      <c r="K611" s="3">
        <v>3</v>
      </c>
      <c r="L611" s="2">
        <v>60659</v>
      </c>
      <c r="M611" s="3">
        <v>0</v>
      </c>
      <c r="N611" s="1" t="s">
        <v>166</v>
      </c>
      <c r="O611" s="1" t="s">
        <v>86</v>
      </c>
      <c r="P611" s="1" t="s">
        <v>174</v>
      </c>
      <c r="Q611" s="1" t="s">
        <v>662</v>
      </c>
      <c r="R611" s="1" t="s">
        <v>2108</v>
      </c>
      <c r="S611" s="3">
        <v>4</v>
      </c>
      <c r="T611" s="1" t="s">
        <v>96</v>
      </c>
      <c r="U611" s="3">
        <v>58</v>
      </c>
      <c r="V611" s="1" t="s">
        <v>37</v>
      </c>
      <c r="W611" s="5">
        <f>Table1[[#This Row],[Quantity]]*Table1[[#This Row],[Price]]*(1-Table1[[#This Row],[Discount %]]/100)</f>
        <v>181977</v>
      </c>
      <c r="X611">
        <f>Table1[[#This Row],[DeliveryDate]]-Table1[[#This Row],[OrderDate]]</f>
        <v>4</v>
      </c>
      <c r="Y611" t="str">
        <f>TEXT(Table1[[#This Row],[OrderDate]],"MMMM")</f>
        <v>December</v>
      </c>
      <c r="Z611" s="5">
        <f>YEAR(Table1[[#This Row],[OrderDate]])</f>
        <v>2023</v>
      </c>
    </row>
    <row r="612" spans="1:26" x14ac:dyDescent="0.3">
      <c r="A612" s="1" t="s">
        <v>2109</v>
      </c>
      <c r="B612" t="s">
        <v>2016</v>
      </c>
      <c r="C612" s="3">
        <v>37</v>
      </c>
      <c r="D612" s="1" t="s">
        <v>51</v>
      </c>
      <c r="E612" s="1" t="s">
        <v>25</v>
      </c>
      <c r="F612" s="1" t="s">
        <v>91</v>
      </c>
      <c r="G612" s="4">
        <v>45489</v>
      </c>
      <c r="H612" s="4">
        <v>45490</v>
      </c>
      <c r="I612" s="1" t="s">
        <v>43</v>
      </c>
      <c r="J612" s="1" t="s">
        <v>30</v>
      </c>
      <c r="K612" s="3">
        <v>5</v>
      </c>
      <c r="L612" s="2">
        <v>19434</v>
      </c>
      <c r="M612" s="3">
        <v>0</v>
      </c>
      <c r="N612" s="1" t="s">
        <v>56</v>
      </c>
      <c r="O612" s="1" t="s">
        <v>46</v>
      </c>
      <c r="P612" s="1" t="s">
        <v>69</v>
      </c>
      <c r="Q612" s="1" t="s">
        <v>1792</v>
      </c>
      <c r="R612" s="1" t="s">
        <v>2110</v>
      </c>
      <c r="S612" s="3">
        <v>3</v>
      </c>
      <c r="T612" s="1" t="s">
        <v>72</v>
      </c>
      <c r="U612" s="3">
        <v>310</v>
      </c>
      <c r="V612" s="1" t="s">
        <v>37</v>
      </c>
      <c r="W612" s="5">
        <f>Table1[[#This Row],[Quantity]]*Table1[[#This Row],[Price]]*(1-Table1[[#This Row],[Discount %]]/100)</f>
        <v>97170</v>
      </c>
      <c r="X612">
        <f>Table1[[#This Row],[DeliveryDate]]-Table1[[#This Row],[OrderDate]]</f>
        <v>1</v>
      </c>
      <c r="Y612" t="str">
        <f>TEXT(Table1[[#This Row],[OrderDate]],"MMMM")</f>
        <v>July</v>
      </c>
      <c r="Z612" s="5">
        <f>YEAR(Table1[[#This Row],[OrderDate]])</f>
        <v>2024</v>
      </c>
    </row>
    <row r="613" spans="1:26" x14ac:dyDescent="0.3">
      <c r="A613" s="1" t="s">
        <v>2111</v>
      </c>
      <c r="B613" t="s">
        <v>113</v>
      </c>
      <c r="C613" s="3">
        <v>60</v>
      </c>
      <c r="D613" s="1" t="s">
        <v>24</v>
      </c>
      <c r="E613" s="1" t="s">
        <v>99</v>
      </c>
      <c r="F613" s="1" t="s">
        <v>65</v>
      </c>
      <c r="G613" s="4">
        <v>45361</v>
      </c>
      <c r="H613" s="4">
        <v>45366</v>
      </c>
      <c r="I613" s="1" t="s">
        <v>43</v>
      </c>
      <c r="J613" s="1" t="s">
        <v>44</v>
      </c>
      <c r="K613" s="3">
        <v>3</v>
      </c>
      <c r="L613" s="2">
        <v>16207</v>
      </c>
      <c r="M613" s="3">
        <v>10</v>
      </c>
      <c r="N613" s="1" t="s">
        <v>166</v>
      </c>
      <c r="O613" s="1" t="s">
        <v>68</v>
      </c>
      <c r="P613" s="1" t="s">
        <v>69</v>
      </c>
      <c r="Q613" s="1" t="s">
        <v>116</v>
      </c>
      <c r="R613" s="1" t="s">
        <v>2113</v>
      </c>
      <c r="S613" s="3">
        <v>3</v>
      </c>
      <c r="T613" s="1" t="s">
        <v>61</v>
      </c>
      <c r="U613" s="3">
        <v>252</v>
      </c>
      <c r="V613" s="1" t="s">
        <v>62</v>
      </c>
      <c r="W613" s="5">
        <f>Table1[[#This Row],[Quantity]]*Table1[[#This Row],[Price]]*(1-Table1[[#This Row],[Discount %]]/100)</f>
        <v>43758.9</v>
      </c>
      <c r="X613">
        <f>Table1[[#This Row],[DeliveryDate]]-Table1[[#This Row],[OrderDate]]</f>
        <v>5</v>
      </c>
      <c r="Y613" t="str">
        <f>TEXT(Table1[[#This Row],[OrderDate]],"MMMM")</f>
        <v>March</v>
      </c>
      <c r="Z613" s="5">
        <f>YEAR(Table1[[#This Row],[OrderDate]])</f>
        <v>2024</v>
      </c>
    </row>
    <row r="614" spans="1:26" x14ac:dyDescent="0.3">
      <c r="A614" s="1" t="s">
        <v>2114</v>
      </c>
      <c r="B614" t="s">
        <v>338</v>
      </c>
      <c r="C614" s="3">
        <v>26</v>
      </c>
      <c r="D614" s="1" t="s">
        <v>51</v>
      </c>
      <c r="E614" s="1" t="s">
        <v>40</v>
      </c>
      <c r="F614" s="1" t="s">
        <v>91</v>
      </c>
      <c r="G614" s="4">
        <v>45139</v>
      </c>
      <c r="H614" s="4">
        <v>45144</v>
      </c>
      <c r="I614" s="1" t="s">
        <v>43</v>
      </c>
      <c r="J614" s="1" t="s">
        <v>30</v>
      </c>
      <c r="K614" s="3">
        <v>1</v>
      </c>
      <c r="L614" s="2">
        <v>46557</v>
      </c>
      <c r="M614" s="3">
        <v>0</v>
      </c>
      <c r="N614" s="1" t="s">
        <v>45</v>
      </c>
      <c r="O614" s="1" t="s">
        <v>109</v>
      </c>
      <c r="P614" s="1" t="s">
        <v>174</v>
      </c>
      <c r="Q614" s="1" t="s">
        <v>341</v>
      </c>
      <c r="R614" s="1" t="s">
        <v>3415</v>
      </c>
      <c r="S614" s="3">
        <v>4</v>
      </c>
      <c r="T614" s="1" t="s">
        <v>72</v>
      </c>
      <c r="U614" s="3">
        <v>219</v>
      </c>
      <c r="V614" s="1" t="s">
        <v>62</v>
      </c>
      <c r="W614" s="5">
        <f>Table1[[#This Row],[Quantity]]*Table1[[#This Row],[Price]]*(1-Table1[[#This Row],[Discount %]]/100)</f>
        <v>46557</v>
      </c>
      <c r="X614">
        <f>Table1[[#This Row],[DeliveryDate]]-Table1[[#This Row],[OrderDate]]</f>
        <v>5</v>
      </c>
      <c r="Y614" t="str">
        <f>TEXT(Table1[[#This Row],[OrderDate]],"MMMM")</f>
        <v>August</v>
      </c>
      <c r="Z614" s="5">
        <f>YEAR(Table1[[#This Row],[OrderDate]])</f>
        <v>2023</v>
      </c>
    </row>
    <row r="615" spans="1:26" x14ac:dyDescent="0.3">
      <c r="A615" s="1" t="s">
        <v>2116</v>
      </c>
      <c r="B615" t="s">
        <v>23</v>
      </c>
      <c r="C615" s="3">
        <v>35</v>
      </c>
      <c r="D615" s="1" t="s">
        <v>24</v>
      </c>
      <c r="E615" s="1" t="s">
        <v>40</v>
      </c>
      <c r="F615" s="1" t="s">
        <v>26</v>
      </c>
      <c r="G615" s="4">
        <v>45402</v>
      </c>
      <c r="H615" s="4">
        <v>45410</v>
      </c>
      <c r="I615" s="1" t="s">
        <v>43</v>
      </c>
      <c r="J615" s="1" t="s">
        <v>44</v>
      </c>
      <c r="K615" s="3">
        <v>1</v>
      </c>
      <c r="L615" s="2">
        <v>12462</v>
      </c>
      <c r="M615" s="3">
        <v>10</v>
      </c>
      <c r="N615" s="1" t="s">
        <v>56</v>
      </c>
      <c r="O615" s="1" t="s">
        <v>32</v>
      </c>
      <c r="P615" s="1" t="s">
        <v>33</v>
      </c>
      <c r="Q615" s="1" t="s">
        <v>34</v>
      </c>
      <c r="R615" s="1" t="s">
        <v>2118</v>
      </c>
      <c r="S615" s="3">
        <v>2</v>
      </c>
      <c r="T615" s="1" t="s">
        <v>96</v>
      </c>
      <c r="U615" s="3">
        <v>76</v>
      </c>
      <c r="V615" s="1" t="s">
        <v>37</v>
      </c>
      <c r="W615" s="5">
        <f>Table1[[#This Row],[Quantity]]*Table1[[#This Row],[Price]]*(1-Table1[[#This Row],[Discount %]]/100)</f>
        <v>11215.800000000001</v>
      </c>
      <c r="X615">
        <f>Table1[[#This Row],[DeliveryDate]]-Table1[[#This Row],[OrderDate]]</f>
        <v>8</v>
      </c>
      <c r="Y615" t="str">
        <f>TEXT(Table1[[#This Row],[OrderDate]],"MMMM")</f>
        <v>April</v>
      </c>
      <c r="Z615" s="5">
        <f>YEAR(Table1[[#This Row],[OrderDate]])</f>
        <v>2024</v>
      </c>
    </row>
    <row r="616" spans="1:26" x14ac:dyDescent="0.3">
      <c r="A616" s="1" t="s">
        <v>2119</v>
      </c>
      <c r="B616" t="s">
        <v>170</v>
      </c>
      <c r="C616" s="3">
        <v>30</v>
      </c>
      <c r="D616" s="1" t="s">
        <v>51</v>
      </c>
      <c r="E616" s="1" t="s">
        <v>131</v>
      </c>
      <c r="F616" s="1" t="s">
        <v>82</v>
      </c>
      <c r="G616" s="4">
        <v>45181</v>
      </c>
      <c r="H616" s="4">
        <v>45184</v>
      </c>
      <c r="I616" s="1" t="s">
        <v>43</v>
      </c>
      <c r="J616" s="1" t="s">
        <v>44</v>
      </c>
      <c r="K616" s="3">
        <v>1</v>
      </c>
      <c r="L616" s="2">
        <v>52752</v>
      </c>
      <c r="M616" s="3">
        <v>5</v>
      </c>
      <c r="N616" s="1" t="s">
        <v>56</v>
      </c>
      <c r="O616" s="1" t="s">
        <v>173</v>
      </c>
      <c r="P616" s="1" t="s">
        <v>33</v>
      </c>
      <c r="Q616" s="1" t="s">
        <v>175</v>
      </c>
      <c r="R616" s="1" t="s">
        <v>2120</v>
      </c>
      <c r="S616" s="3">
        <v>3</v>
      </c>
      <c r="T616" s="1" t="s">
        <v>72</v>
      </c>
      <c r="U616" s="3">
        <v>130</v>
      </c>
      <c r="V616" s="1" t="s">
        <v>79</v>
      </c>
      <c r="W616" s="5">
        <f>Table1[[#This Row],[Quantity]]*Table1[[#This Row],[Price]]*(1-Table1[[#This Row],[Discount %]]/100)</f>
        <v>50114.399999999994</v>
      </c>
      <c r="X616">
        <f>Table1[[#This Row],[DeliveryDate]]-Table1[[#This Row],[OrderDate]]</f>
        <v>3</v>
      </c>
      <c r="Y616" t="str">
        <f>TEXT(Table1[[#This Row],[OrderDate]],"MMMM")</f>
        <v>September</v>
      </c>
      <c r="Z616" s="5">
        <f>YEAR(Table1[[#This Row],[OrderDate]])</f>
        <v>2023</v>
      </c>
    </row>
    <row r="617" spans="1:26" x14ac:dyDescent="0.3">
      <c r="A617" s="1" t="s">
        <v>2121</v>
      </c>
      <c r="B617" t="s">
        <v>1118</v>
      </c>
      <c r="C617" s="3">
        <v>34</v>
      </c>
      <c r="D617" s="1" t="s">
        <v>24</v>
      </c>
      <c r="E617" s="1" t="s">
        <v>229</v>
      </c>
      <c r="F617" s="1" t="s">
        <v>82</v>
      </c>
      <c r="G617" s="4">
        <v>45269</v>
      </c>
      <c r="H617" s="4">
        <v>45271</v>
      </c>
      <c r="I617" s="1" t="s">
        <v>85</v>
      </c>
      <c r="J617" s="1" t="s">
        <v>44</v>
      </c>
      <c r="K617" s="3">
        <v>1</v>
      </c>
      <c r="L617" s="2">
        <v>32657</v>
      </c>
      <c r="M617" s="3">
        <v>0</v>
      </c>
      <c r="N617" s="1" t="s">
        <v>166</v>
      </c>
      <c r="O617" s="1" t="s">
        <v>133</v>
      </c>
      <c r="P617" s="1" t="s">
        <v>174</v>
      </c>
      <c r="Q617" s="1" t="s">
        <v>1120</v>
      </c>
      <c r="R617" s="1" t="s">
        <v>2123</v>
      </c>
      <c r="S617" s="3">
        <v>2</v>
      </c>
      <c r="T617" s="1" t="s">
        <v>36</v>
      </c>
      <c r="U617" s="3">
        <v>461</v>
      </c>
      <c r="V617" s="1" t="s">
        <v>62</v>
      </c>
      <c r="W617" s="5">
        <f>Table1[[#This Row],[Quantity]]*Table1[[#This Row],[Price]]*(1-Table1[[#This Row],[Discount %]]/100)</f>
        <v>32657</v>
      </c>
      <c r="X617">
        <f>Table1[[#This Row],[DeliveryDate]]-Table1[[#This Row],[OrderDate]]</f>
        <v>2</v>
      </c>
      <c r="Y617" t="str">
        <f>TEXT(Table1[[#This Row],[OrderDate]],"MMMM")</f>
        <v>December</v>
      </c>
      <c r="Z617" s="5">
        <f>YEAR(Table1[[#This Row],[OrderDate]])</f>
        <v>2023</v>
      </c>
    </row>
    <row r="618" spans="1:26" x14ac:dyDescent="0.3">
      <c r="A618" s="1" t="s">
        <v>2124</v>
      </c>
      <c r="B618" t="s">
        <v>1080</v>
      </c>
      <c r="C618" s="3">
        <v>24</v>
      </c>
      <c r="D618" s="1" t="s">
        <v>51</v>
      </c>
      <c r="E618" s="1" t="s">
        <v>131</v>
      </c>
      <c r="F618" s="1" t="s">
        <v>82</v>
      </c>
      <c r="G618" s="4">
        <v>45171</v>
      </c>
      <c r="H618" s="4">
        <v>45180</v>
      </c>
      <c r="I618" s="1" t="s">
        <v>108</v>
      </c>
      <c r="J618" s="1" t="s">
        <v>44</v>
      </c>
      <c r="K618" s="3">
        <v>1</v>
      </c>
      <c r="L618" s="2">
        <v>24562</v>
      </c>
      <c r="M618" s="3">
        <v>5</v>
      </c>
      <c r="N618" s="1" t="s">
        <v>166</v>
      </c>
      <c r="O618" s="1" t="s">
        <v>32</v>
      </c>
      <c r="P618" s="1" t="s">
        <v>174</v>
      </c>
      <c r="Q618" s="1" t="s">
        <v>1082</v>
      </c>
      <c r="R618" s="1" t="s">
        <v>2125</v>
      </c>
      <c r="S618" s="3">
        <v>4</v>
      </c>
      <c r="T618" s="1" t="s">
        <v>36</v>
      </c>
      <c r="U618" s="3">
        <v>318</v>
      </c>
      <c r="V618" s="1" t="s">
        <v>79</v>
      </c>
      <c r="W618" s="5">
        <f>Table1[[#This Row],[Quantity]]*Table1[[#This Row],[Price]]*(1-Table1[[#This Row],[Discount %]]/100)</f>
        <v>23333.899999999998</v>
      </c>
      <c r="X618">
        <f>Table1[[#This Row],[DeliveryDate]]-Table1[[#This Row],[OrderDate]]</f>
        <v>9</v>
      </c>
      <c r="Y618" t="str">
        <f>TEXT(Table1[[#This Row],[OrderDate]],"MMMM")</f>
        <v>September</v>
      </c>
      <c r="Z618" s="5">
        <f>YEAR(Table1[[#This Row],[OrderDate]])</f>
        <v>2023</v>
      </c>
    </row>
    <row r="619" spans="1:26" x14ac:dyDescent="0.3">
      <c r="A619" s="1" t="s">
        <v>2126</v>
      </c>
      <c r="B619" t="s">
        <v>660</v>
      </c>
      <c r="C619" s="3">
        <v>41</v>
      </c>
      <c r="D619" s="1" t="s">
        <v>24</v>
      </c>
      <c r="E619" s="1" t="s">
        <v>52</v>
      </c>
      <c r="F619" s="1" t="s">
        <v>82</v>
      </c>
      <c r="G619" s="4">
        <v>45198</v>
      </c>
      <c r="H619" s="4">
        <v>45203</v>
      </c>
      <c r="I619" s="1" t="s">
        <v>108</v>
      </c>
      <c r="J619" s="1" t="s">
        <v>44</v>
      </c>
      <c r="K619" s="3">
        <v>2</v>
      </c>
      <c r="L619" s="2">
        <v>8423</v>
      </c>
      <c r="M619" s="3">
        <v>10</v>
      </c>
      <c r="N619" s="1" t="s">
        <v>45</v>
      </c>
      <c r="O619" s="1" t="s">
        <v>46</v>
      </c>
      <c r="P619" s="1" t="s">
        <v>58</v>
      </c>
      <c r="Q619" s="1" t="s">
        <v>662</v>
      </c>
      <c r="R619" s="1" t="s">
        <v>2127</v>
      </c>
      <c r="S619" s="3">
        <v>2</v>
      </c>
      <c r="T619" s="1" t="s">
        <v>72</v>
      </c>
      <c r="U619" s="3">
        <v>71</v>
      </c>
      <c r="V619" s="1" t="s">
        <v>62</v>
      </c>
      <c r="W619" s="5">
        <f>Table1[[#This Row],[Quantity]]*Table1[[#This Row],[Price]]*(1-Table1[[#This Row],[Discount %]]/100)</f>
        <v>15161.4</v>
      </c>
      <c r="X619">
        <f>Table1[[#This Row],[DeliveryDate]]-Table1[[#This Row],[OrderDate]]</f>
        <v>5</v>
      </c>
      <c r="Y619" t="str">
        <f>TEXT(Table1[[#This Row],[OrderDate]],"MMMM")</f>
        <v>September</v>
      </c>
      <c r="Z619" s="5">
        <f>YEAR(Table1[[#This Row],[OrderDate]])</f>
        <v>2023</v>
      </c>
    </row>
    <row r="620" spans="1:26" x14ac:dyDescent="0.3">
      <c r="A620" s="1" t="s">
        <v>2128</v>
      </c>
      <c r="B620" t="s">
        <v>860</v>
      </c>
      <c r="C620" s="3">
        <v>58</v>
      </c>
      <c r="D620" s="1" t="s">
        <v>51</v>
      </c>
      <c r="E620" s="1" t="s">
        <v>26</v>
      </c>
      <c r="F620" s="1" t="s">
        <v>53</v>
      </c>
      <c r="G620" s="4">
        <v>44965</v>
      </c>
      <c r="H620" s="4">
        <v>44966</v>
      </c>
      <c r="I620" s="1" t="s">
        <v>77</v>
      </c>
      <c r="J620" s="1" t="s">
        <v>30</v>
      </c>
      <c r="K620" s="3">
        <v>4</v>
      </c>
      <c r="L620" s="2">
        <v>78459</v>
      </c>
      <c r="M620" s="3">
        <v>15</v>
      </c>
      <c r="N620" s="1" t="s">
        <v>45</v>
      </c>
      <c r="O620" s="1" t="s">
        <v>133</v>
      </c>
      <c r="P620" s="1" t="s">
        <v>33</v>
      </c>
      <c r="Q620" s="1" t="s">
        <v>862</v>
      </c>
      <c r="R620" s="1" t="s">
        <v>2130</v>
      </c>
      <c r="S620" s="3">
        <v>1</v>
      </c>
      <c r="T620" s="1" t="s">
        <v>36</v>
      </c>
      <c r="U620" s="3">
        <v>352</v>
      </c>
      <c r="V620" s="1" t="s">
        <v>37</v>
      </c>
      <c r="W620" s="5">
        <f>Table1[[#This Row],[Quantity]]*Table1[[#This Row],[Price]]*(1-Table1[[#This Row],[Discount %]]/100)</f>
        <v>266760.59999999998</v>
      </c>
      <c r="X620">
        <f>Table1[[#This Row],[DeliveryDate]]-Table1[[#This Row],[OrderDate]]</f>
        <v>1</v>
      </c>
      <c r="Y620" t="str">
        <f>TEXT(Table1[[#This Row],[OrderDate]],"MMMM")</f>
        <v>February</v>
      </c>
      <c r="Z620" s="5">
        <f>YEAR(Table1[[#This Row],[OrderDate]])</f>
        <v>2023</v>
      </c>
    </row>
    <row r="621" spans="1:26" x14ac:dyDescent="0.3">
      <c r="A621" s="1" t="s">
        <v>2131</v>
      </c>
      <c r="B621" t="s">
        <v>684</v>
      </c>
      <c r="C621" s="3">
        <v>25</v>
      </c>
      <c r="D621" s="1" t="s">
        <v>24</v>
      </c>
      <c r="E621" s="1" t="s">
        <v>52</v>
      </c>
      <c r="F621" s="1" t="s">
        <v>82</v>
      </c>
      <c r="G621" s="4">
        <v>45346</v>
      </c>
      <c r="H621" s="4">
        <v>45353</v>
      </c>
      <c r="I621" s="1" t="s">
        <v>93</v>
      </c>
      <c r="J621" s="1" t="s">
        <v>30</v>
      </c>
      <c r="K621" s="3">
        <v>5</v>
      </c>
      <c r="L621" s="2">
        <v>52722</v>
      </c>
      <c r="M621" s="3">
        <v>15</v>
      </c>
      <c r="N621" s="1" t="s">
        <v>166</v>
      </c>
      <c r="O621" s="1" t="s">
        <v>173</v>
      </c>
      <c r="P621" s="1" t="s">
        <v>69</v>
      </c>
      <c r="Q621" s="1" t="s">
        <v>785</v>
      </c>
      <c r="R621" s="1" t="s">
        <v>2134</v>
      </c>
      <c r="S621" s="3">
        <v>5</v>
      </c>
      <c r="T621" s="1" t="s">
        <v>96</v>
      </c>
      <c r="U621" s="3">
        <v>462</v>
      </c>
      <c r="V621" s="1" t="s">
        <v>62</v>
      </c>
      <c r="W621" s="5">
        <f>Table1[[#This Row],[Quantity]]*Table1[[#This Row],[Price]]*(1-Table1[[#This Row],[Discount %]]/100)</f>
        <v>224068.5</v>
      </c>
      <c r="X621">
        <f>Table1[[#This Row],[DeliveryDate]]-Table1[[#This Row],[OrderDate]]</f>
        <v>7</v>
      </c>
      <c r="Y621" t="str">
        <f>TEXT(Table1[[#This Row],[OrderDate]],"MMMM")</f>
        <v>February</v>
      </c>
      <c r="Z621" s="5">
        <f>YEAR(Table1[[#This Row],[OrderDate]])</f>
        <v>2024</v>
      </c>
    </row>
    <row r="622" spans="1:26" x14ac:dyDescent="0.3">
      <c r="A622" s="1" t="s">
        <v>2135</v>
      </c>
      <c r="B622" t="s">
        <v>204</v>
      </c>
      <c r="C622" s="3">
        <v>32</v>
      </c>
      <c r="D622" s="1" t="s">
        <v>24</v>
      </c>
      <c r="E622" s="1" t="s">
        <v>25</v>
      </c>
      <c r="F622" s="1" t="s">
        <v>82</v>
      </c>
      <c r="G622" s="4">
        <v>44930</v>
      </c>
      <c r="H622" s="4">
        <v>44935</v>
      </c>
      <c r="I622" s="1" t="s">
        <v>108</v>
      </c>
      <c r="J622" s="1" t="s">
        <v>44</v>
      </c>
      <c r="K622" s="3">
        <v>1</v>
      </c>
      <c r="L622" s="2">
        <v>26716</v>
      </c>
      <c r="M622" s="3">
        <v>5</v>
      </c>
      <c r="N622" s="1" t="s">
        <v>31</v>
      </c>
      <c r="O622" s="1" t="s">
        <v>57</v>
      </c>
      <c r="P622" s="1" t="s">
        <v>174</v>
      </c>
      <c r="Q622" s="1" t="s">
        <v>207</v>
      </c>
      <c r="R622" s="1" t="s">
        <v>2136</v>
      </c>
      <c r="S622" s="3">
        <v>4</v>
      </c>
      <c r="T622" s="1" t="s">
        <v>96</v>
      </c>
      <c r="U622" s="3">
        <v>409</v>
      </c>
      <c r="V622" s="1" t="s">
        <v>62</v>
      </c>
      <c r="W622" s="5">
        <f>Table1[[#This Row],[Quantity]]*Table1[[#This Row],[Price]]*(1-Table1[[#This Row],[Discount %]]/100)</f>
        <v>25380.199999999997</v>
      </c>
      <c r="X622">
        <f>Table1[[#This Row],[DeliveryDate]]-Table1[[#This Row],[OrderDate]]</f>
        <v>5</v>
      </c>
      <c r="Y622" t="str">
        <f>TEXT(Table1[[#This Row],[OrderDate]],"MMMM")</f>
        <v>January</v>
      </c>
      <c r="Z622" s="5">
        <f>YEAR(Table1[[#This Row],[OrderDate]])</f>
        <v>2023</v>
      </c>
    </row>
    <row r="623" spans="1:26" x14ac:dyDescent="0.3">
      <c r="A623" s="1" t="s">
        <v>2137</v>
      </c>
      <c r="B623" t="s">
        <v>601</v>
      </c>
      <c r="C623" s="3">
        <v>31</v>
      </c>
      <c r="D623" s="1" t="s">
        <v>24</v>
      </c>
      <c r="E623" s="1" t="s">
        <v>40</v>
      </c>
      <c r="F623" s="1" t="s">
        <v>82</v>
      </c>
      <c r="G623" s="4">
        <v>45573</v>
      </c>
      <c r="H623" s="4">
        <v>45580</v>
      </c>
      <c r="I623" s="1" t="s">
        <v>108</v>
      </c>
      <c r="J623" s="1" t="s">
        <v>30</v>
      </c>
      <c r="K623" s="3">
        <v>2</v>
      </c>
      <c r="L623" s="2">
        <v>24930</v>
      </c>
      <c r="M623" s="3">
        <v>5</v>
      </c>
      <c r="N623" s="1" t="s">
        <v>45</v>
      </c>
      <c r="O623" s="1" t="s">
        <v>32</v>
      </c>
      <c r="P623" s="1" t="s">
        <v>69</v>
      </c>
      <c r="Q623" s="1" t="s">
        <v>603</v>
      </c>
      <c r="R623" s="1" t="s">
        <v>2138</v>
      </c>
      <c r="S623" s="3">
        <v>1</v>
      </c>
      <c r="T623" s="1" t="s">
        <v>36</v>
      </c>
      <c r="U623" s="3">
        <v>91</v>
      </c>
      <c r="V623" s="1" t="s">
        <v>62</v>
      </c>
      <c r="W623" s="5">
        <f>Table1[[#This Row],[Quantity]]*Table1[[#This Row],[Price]]*(1-Table1[[#This Row],[Discount %]]/100)</f>
        <v>47367</v>
      </c>
      <c r="X623">
        <f>Table1[[#This Row],[DeliveryDate]]-Table1[[#This Row],[OrderDate]]</f>
        <v>7</v>
      </c>
      <c r="Y623" t="str">
        <f>TEXT(Table1[[#This Row],[OrderDate]],"MMMM")</f>
        <v>October</v>
      </c>
      <c r="Z623" s="5">
        <f>YEAR(Table1[[#This Row],[OrderDate]])</f>
        <v>2024</v>
      </c>
    </row>
    <row r="624" spans="1:26" x14ac:dyDescent="0.3">
      <c r="A624" s="1" t="s">
        <v>2139</v>
      </c>
      <c r="B624" t="s">
        <v>150</v>
      </c>
      <c r="C624" s="3">
        <v>50</v>
      </c>
      <c r="D624" s="1" t="s">
        <v>24</v>
      </c>
      <c r="E624" s="1" t="s">
        <v>26</v>
      </c>
      <c r="F624" s="1" t="s">
        <v>82</v>
      </c>
      <c r="G624" s="4">
        <v>44939</v>
      </c>
      <c r="H624" s="4">
        <v>44941</v>
      </c>
      <c r="I624" s="1" t="s">
        <v>43</v>
      </c>
      <c r="J624" s="1" t="s">
        <v>44</v>
      </c>
      <c r="K624" s="3">
        <v>2.9447852760736195</v>
      </c>
      <c r="L624" s="2">
        <v>79638</v>
      </c>
      <c r="M624" s="3">
        <v>10</v>
      </c>
      <c r="N624" s="1" t="s">
        <v>166</v>
      </c>
      <c r="O624" s="1" t="s">
        <v>86</v>
      </c>
      <c r="P624" s="1" t="s">
        <v>58</v>
      </c>
      <c r="Q624" s="1" t="s">
        <v>153</v>
      </c>
      <c r="R624" s="1" t="s">
        <v>2141</v>
      </c>
      <c r="S624" s="3">
        <v>3</v>
      </c>
      <c r="T624" s="1" t="s">
        <v>36</v>
      </c>
      <c r="U624" s="3">
        <v>334</v>
      </c>
      <c r="V624" s="1" t="s">
        <v>79</v>
      </c>
      <c r="W624" s="5">
        <f>Table1[[#This Row],[Quantity]]*Table1[[#This Row],[Price]]*(1-Table1[[#This Row],[Discount %]]/100)</f>
        <v>211065.12883435583</v>
      </c>
      <c r="X624">
        <f>Table1[[#This Row],[DeliveryDate]]-Table1[[#This Row],[OrderDate]]</f>
        <v>2</v>
      </c>
      <c r="Y624" t="str">
        <f>TEXT(Table1[[#This Row],[OrderDate]],"MMMM")</f>
        <v>January</v>
      </c>
      <c r="Z624" s="5">
        <f>YEAR(Table1[[#This Row],[OrderDate]])</f>
        <v>2023</v>
      </c>
    </row>
    <row r="625" spans="1:26" x14ac:dyDescent="0.3">
      <c r="A625" s="1" t="s">
        <v>2142</v>
      </c>
      <c r="B625" t="s">
        <v>235</v>
      </c>
      <c r="C625" s="3">
        <v>54</v>
      </c>
      <c r="D625" s="1" t="s">
        <v>51</v>
      </c>
      <c r="E625" s="1" t="s">
        <v>142</v>
      </c>
      <c r="F625" s="1" t="s">
        <v>82</v>
      </c>
      <c r="G625" s="4">
        <v>45611</v>
      </c>
      <c r="H625" s="4">
        <v>45612</v>
      </c>
      <c r="I625" s="1" t="s">
        <v>43</v>
      </c>
      <c r="J625" s="1" t="s">
        <v>30</v>
      </c>
      <c r="K625" s="3">
        <v>1</v>
      </c>
      <c r="L625" s="2">
        <v>37598</v>
      </c>
      <c r="M625" s="3">
        <v>0</v>
      </c>
      <c r="N625" s="1" t="s">
        <v>166</v>
      </c>
      <c r="O625" s="1" t="s">
        <v>46</v>
      </c>
      <c r="P625" s="1" t="s">
        <v>33</v>
      </c>
      <c r="Q625" s="1" t="s">
        <v>871</v>
      </c>
      <c r="R625" s="1" t="s">
        <v>2143</v>
      </c>
      <c r="S625" s="3">
        <v>3</v>
      </c>
      <c r="T625" s="1" t="s">
        <v>96</v>
      </c>
      <c r="U625" s="3">
        <v>403</v>
      </c>
      <c r="V625" s="1" t="s">
        <v>62</v>
      </c>
      <c r="W625" s="5">
        <f>Table1[[#This Row],[Quantity]]*Table1[[#This Row],[Price]]*(1-Table1[[#This Row],[Discount %]]/100)</f>
        <v>37598</v>
      </c>
      <c r="X625">
        <f>Table1[[#This Row],[DeliveryDate]]-Table1[[#This Row],[OrderDate]]</f>
        <v>1</v>
      </c>
      <c r="Y625" t="str">
        <f>TEXT(Table1[[#This Row],[OrderDate]],"MMMM")</f>
        <v>November</v>
      </c>
      <c r="Z625" s="5">
        <f>YEAR(Table1[[#This Row],[OrderDate]])</f>
        <v>2024</v>
      </c>
    </row>
    <row r="626" spans="1:26" x14ac:dyDescent="0.3">
      <c r="A626" s="1" t="s">
        <v>2144</v>
      </c>
      <c r="B626" t="s">
        <v>840</v>
      </c>
      <c r="C626" s="3">
        <v>25</v>
      </c>
      <c r="D626" s="1" t="s">
        <v>24</v>
      </c>
      <c r="E626" s="1" t="s">
        <v>142</v>
      </c>
      <c r="F626" s="1" t="s">
        <v>53</v>
      </c>
      <c r="G626" s="4">
        <v>44965</v>
      </c>
      <c r="H626" s="4">
        <v>44971</v>
      </c>
      <c r="I626" s="1" t="s">
        <v>77</v>
      </c>
      <c r="J626" s="1" t="s">
        <v>30</v>
      </c>
      <c r="K626" s="3">
        <v>1</v>
      </c>
      <c r="L626" s="2">
        <v>47343</v>
      </c>
      <c r="M626" s="3">
        <v>10</v>
      </c>
      <c r="N626" s="1" t="s">
        <v>45</v>
      </c>
      <c r="O626" s="1" t="s">
        <v>281</v>
      </c>
      <c r="P626" s="1" t="s">
        <v>58</v>
      </c>
      <c r="Q626" s="1" t="s">
        <v>3415</v>
      </c>
      <c r="R626" s="1" t="s">
        <v>2145</v>
      </c>
      <c r="S626" s="3">
        <v>4</v>
      </c>
      <c r="T626" s="1" t="s">
        <v>96</v>
      </c>
      <c r="U626" s="3">
        <v>461</v>
      </c>
      <c r="V626" s="1" t="s">
        <v>79</v>
      </c>
      <c r="W626" s="5">
        <f>Table1[[#This Row],[Quantity]]*Table1[[#This Row],[Price]]*(1-Table1[[#This Row],[Discount %]]/100)</f>
        <v>42608.700000000004</v>
      </c>
      <c r="X626">
        <f>Table1[[#This Row],[DeliveryDate]]-Table1[[#This Row],[OrderDate]]</f>
        <v>6</v>
      </c>
      <c r="Y626" t="str">
        <f>TEXT(Table1[[#This Row],[OrderDate]],"MMMM")</f>
        <v>February</v>
      </c>
      <c r="Z626" s="5">
        <f>YEAR(Table1[[#This Row],[OrderDate]])</f>
        <v>2023</v>
      </c>
    </row>
    <row r="627" spans="1:26" x14ac:dyDescent="0.3">
      <c r="A627" s="1" t="s">
        <v>2146</v>
      </c>
      <c r="B627" t="s">
        <v>570</v>
      </c>
      <c r="C627" s="3">
        <v>59</v>
      </c>
      <c r="D627" s="1" t="s">
        <v>24</v>
      </c>
      <c r="E627" s="1" t="s">
        <v>131</v>
      </c>
      <c r="F627" s="1" t="s">
        <v>91</v>
      </c>
      <c r="G627" s="4">
        <v>44930</v>
      </c>
      <c r="H627" s="4">
        <v>44936</v>
      </c>
      <c r="I627" s="1" t="s">
        <v>77</v>
      </c>
      <c r="J627" s="1" t="s">
        <v>44</v>
      </c>
      <c r="K627" s="3">
        <v>1</v>
      </c>
      <c r="L627" s="2">
        <v>20853</v>
      </c>
      <c r="M627" s="3">
        <v>0</v>
      </c>
      <c r="N627" s="1" t="s">
        <v>56</v>
      </c>
      <c r="O627" s="1" t="s">
        <v>32</v>
      </c>
      <c r="P627" s="1" t="s">
        <v>69</v>
      </c>
      <c r="Q627" s="1" t="s">
        <v>573</v>
      </c>
      <c r="R627" s="1" t="s">
        <v>2147</v>
      </c>
      <c r="S627" s="3">
        <v>5</v>
      </c>
      <c r="T627" s="1" t="s">
        <v>72</v>
      </c>
      <c r="U627" s="3">
        <v>415</v>
      </c>
      <c r="V627" s="1" t="s">
        <v>62</v>
      </c>
      <c r="W627" s="5">
        <f>Table1[[#This Row],[Quantity]]*Table1[[#This Row],[Price]]*(1-Table1[[#This Row],[Discount %]]/100)</f>
        <v>20853</v>
      </c>
      <c r="X627">
        <f>Table1[[#This Row],[DeliveryDate]]-Table1[[#This Row],[OrderDate]]</f>
        <v>6</v>
      </c>
      <c r="Y627" t="str">
        <f>TEXT(Table1[[#This Row],[OrderDate]],"MMMM")</f>
        <v>January</v>
      </c>
      <c r="Z627" s="5">
        <f>YEAR(Table1[[#This Row],[OrderDate]])</f>
        <v>2023</v>
      </c>
    </row>
    <row r="628" spans="1:26" x14ac:dyDescent="0.3">
      <c r="A628" s="1" t="s">
        <v>2148</v>
      </c>
      <c r="B628" t="s">
        <v>1690</v>
      </c>
      <c r="C628" s="3">
        <v>59</v>
      </c>
      <c r="D628" s="1" t="s">
        <v>51</v>
      </c>
      <c r="E628" s="1" t="s">
        <v>52</v>
      </c>
      <c r="F628" s="1" t="s">
        <v>53</v>
      </c>
      <c r="G628" s="4">
        <v>45515</v>
      </c>
      <c r="H628" s="4">
        <v>45520</v>
      </c>
      <c r="I628" s="1" t="s">
        <v>77</v>
      </c>
      <c r="J628" s="1" t="s">
        <v>44</v>
      </c>
      <c r="K628" s="3">
        <v>3</v>
      </c>
      <c r="L628" s="2">
        <v>51207</v>
      </c>
      <c r="M628" s="3">
        <v>0</v>
      </c>
      <c r="N628" s="1" t="s">
        <v>166</v>
      </c>
      <c r="O628" s="1" t="s">
        <v>86</v>
      </c>
      <c r="P628" s="1" t="s">
        <v>69</v>
      </c>
      <c r="Q628" s="1" t="s">
        <v>87</v>
      </c>
      <c r="R628" s="1" t="s">
        <v>2149</v>
      </c>
      <c r="S628" s="3">
        <v>2</v>
      </c>
      <c r="T628" s="1" t="s">
        <v>61</v>
      </c>
      <c r="U628" s="3">
        <v>289</v>
      </c>
      <c r="V628" s="1" t="s">
        <v>79</v>
      </c>
      <c r="W628" s="5">
        <f>Table1[[#This Row],[Quantity]]*Table1[[#This Row],[Price]]*(1-Table1[[#This Row],[Discount %]]/100)</f>
        <v>153621</v>
      </c>
      <c r="X628">
        <f>Table1[[#This Row],[DeliveryDate]]-Table1[[#This Row],[OrderDate]]</f>
        <v>5</v>
      </c>
      <c r="Y628" t="str">
        <f>TEXT(Table1[[#This Row],[OrderDate]],"MMMM")</f>
        <v>August</v>
      </c>
      <c r="Z628" s="5">
        <f>YEAR(Table1[[#This Row],[OrderDate]])</f>
        <v>2024</v>
      </c>
    </row>
    <row r="629" spans="1:26" x14ac:dyDescent="0.3">
      <c r="A629" s="1" t="s">
        <v>2150</v>
      </c>
      <c r="B629" t="s">
        <v>484</v>
      </c>
      <c r="C629" s="3">
        <v>52</v>
      </c>
      <c r="D629" s="1" t="s">
        <v>24</v>
      </c>
      <c r="E629" s="1" t="s">
        <v>26</v>
      </c>
      <c r="F629" s="1" t="s">
        <v>82</v>
      </c>
      <c r="G629" s="4">
        <v>45553</v>
      </c>
      <c r="H629" s="4">
        <v>45555</v>
      </c>
      <c r="I629" s="1" t="s">
        <v>29</v>
      </c>
      <c r="J629" s="1" t="s">
        <v>44</v>
      </c>
      <c r="K629" s="3">
        <v>2</v>
      </c>
      <c r="L629" s="2">
        <v>64753</v>
      </c>
      <c r="M629" s="3">
        <v>5</v>
      </c>
      <c r="N629" s="1" t="s">
        <v>56</v>
      </c>
      <c r="O629" s="1" t="s">
        <v>57</v>
      </c>
      <c r="P629" s="1" t="s">
        <v>58</v>
      </c>
      <c r="Q629" s="1" t="s">
        <v>487</v>
      </c>
      <c r="R629" s="1" t="s">
        <v>2151</v>
      </c>
      <c r="S629" s="3">
        <v>2</v>
      </c>
      <c r="T629" s="1" t="s">
        <v>36</v>
      </c>
      <c r="U629" s="3">
        <v>418</v>
      </c>
      <c r="V629" s="1" t="s">
        <v>37</v>
      </c>
      <c r="W629" s="5">
        <f>Table1[[#This Row],[Quantity]]*Table1[[#This Row],[Price]]*(1-Table1[[#This Row],[Discount %]]/100)</f>
        <v>123030.7</v>
      </c>
      <c r="X629">
        <f>Table1[[#This Row],[DeliveryDate]]-Table1[[#This Row],[OrderDate]]</f>
        <v>2</v>
      </c>
      <c r="Y629" t="str">
        <f>TEXT(Table1[[#This Row],[OrderDate]],"MMMM")</f>
        <v>September</v>
      </c>
      <c r="Z629" s="5">
        <f>YEAR(Table1[[#This Row],[OrderDate]])</f>
        <v>2024</v>
      </c>
    </row>
    <row r="630" spans="1:26" x14ac:dyDescent="0.3">
      <c r="A630" s="1" t="s">
        <v>2152</v>
      </c>
      <c r="B630" t="s">
        <v>204</v>
      </c>
      <c r="C630" s="3">
        <v>59</v>
      </c>
      <c r="D630" s="1" t="s">
        <v>51</v>
      </c>
      <c r="E630" s="1" t="s">
        <v>26</v>
      </c>
      <c r="F630" s="1" t="s">
        <v>53</v>
      </c>
      <c r="G630" s="4">
        <v>45277</v>
      </c>
      <c r="H630" s="4">
        <v>45287</v>
      </c>
      <c r="I630" s="1" t="s">
        <v>77</v>
      </c>
      <c r="J630" s="1" t="s">
        <v>44</v>
      </c>
      <c r="K630" s="3">
        <v>4</v>
      </c>
      <c r="L630" s="2">
        <v>19784</v>
      </c>
      <c r="M630" s="3">
        <v>10</v>
      </c>
      <c r="N630" s="1" t="s">
        <v>56</v>
      </c>
      <c r="O630" s="1" t="s">
        <v>46</v>
      </c>
      <c r="P630" s="1" t="s">
        <v>58</v>
      </c>
      <c r="Q630" s="1" t="s">
        <v>207</v>
      </c>
      <c r="R630" s="1" t="s">
        <v>3415</v>
      </c>
      <c r="S630" s="3">
        <v>5</v>
      </c>
      <c r="T630" s="1" t="s">
        <v>96</v>
      </c>
      <c r="U630" s="3">
        <v>460</v>
      </c>
      <c r="V630" s="1" t="s">
        <v>79</v>
      </c>
      <c r="W630" s="5">
        <f>Table1[[#This Row],[Quantity]]*Table1[[#This Row],[Price]]*(1-Table1[[#This Row],[Discount %]]/100)</f>
        <v>71222.400000000009</v>
      </c>
      <c r="X630">
        <f>Table1[[#This Row],[DeliveryDate]]-Table1[[#This Row],[OrderDate]]</f>
        <v>10</v>
      </c>
      <c r="Y630" t="str">
        <f>TEXT(Table1[[#This Row],[OrderDate]],"MMMM")</f>
        <v>December</v>
      </c>
      <c r="Z630" s="5">
        <f>YEAR(Table1[[#This Row],[OrderDate]])</f>
        <v>2023</v>
      </c>
    </row>
    <row r="631" spans="1:26" x14ac:dyDescent="0.3">
      <c r="A631" s="1" t="s">
        <v>2154</v>
      </c>
      <c r="B631" t="s">
        <v>850</v>
      </c>
      <c r="C631" s="3">
        <v>44</v>
      </c>
      <c r="D631" s="1" t="s">
        <v>24</v>
      </c>
      <c r="E631" s="1" t="s">
        <v>40</v>
      </c>
      <c r="F631" s="1" t="s">
        <v>91</v>
      </c>
      <c r="G631" s="4">
        <v>45320</v>
      </c>
      <c r="H631" s="4">
        <v>45328</v>
      </c>
      <c r="I631" s="1" t="s">
        <v>85</v>
      </c>
      <c r="J631" s="1" t="s">
        <v>30</v>
      </c>
      <c r="K631" s="3">
        <v>5</v>
      </c>
      <c r="L631" s="2">
        <v>51796</v>
      </c>
      <c r="M631" s="3">
        <v>5</v>
      </c>
      <c r="N631" s="1" t="s">
        <v>45</v>
      </c>
      <c r="O631" s="1" t="s">
        <v>68</v>
      </c>
      <c r="P631" s="1" t="s">
        <v>33</v>
      </c>
      <c r="Q631" s="1" t="s">
        <v>258</v>
      </c>
      <c r="R631" s="1" t="s">
        <v>2155</v>
      </c>
      <c r="S631" s="3">
        <v>5</v>
      </c>
      <c r="T631" s="1" t="s">
        <v>96</v>
      </c>
      <c r="U631" s="3">
        <v>69</v>
      </c>
      <c r="V631" s="1" t="s">
        <v>79</v>
      </c>
      <c r="W631" s="5">
        <f>Table1[[#This Row],[Quantity]]*Table1[[#This Row],[Price]]*(1-Table1[[#This Row],[Discount %]]/100)</f>
        <v>246031</v>
      </c>
      <c r="X631">
        <f>Table1[[#This Row],[DeliveryDate]]-Table1[[#This Row],[OrderDate]]</f>
        <v>8</v>
      </c>
      <c r="Y631" t="str">
        <f>TEXT(Table1[[#This Row],[OrderDate]],"MMMM")</f>
        <v>January</v>
      </c>
      <c r="Z631" s="5">
        <f>YEAR(Table1[[#This Row],[OrderDate]])</f>
        <v>2024</v>
      </c>
    </row>
    <row r="632" spans="1:26" x14ac:dyDescent="0.3">
      <c r="A632" s="1" t="s">
        <v>2156</v>
      </c>
      <c r="B632" t="s">
        <v>933</v>
      </c>
      <c r="C632" s="3">
        <v>57</v>
      </c>
      <c r="D632" s="1" t="s">
        <v>24</v>
      </c>
      <c r="E632" s="1" t="s">
        <v>40</v>
      </c>
      <c r="F632" s="1" t="s">
        <v>26</v>
      </c>
      <c r="G632" s="4">
        <v>45156</v>
      </c>
      <c r="H632" s="4">
        <v>45161</v>
      </c>
      <c r="I632" s="1" t="s">
        <v>93</v>
      </c>
      <c r="J632" s="1" t="s">
        <v>44</v>
      </c>
      <c r="K632" s="3">
        <v>1</v>
      </c>
      <c r="L632" s="2">
        <v>17854</v>
      </c>
      <c r="M632" s="3">
        <v>0</v>
      </c>
      <c r="N632" s="1" t="s">
        <v>45</v>
      </c>
      <c r="O632" s="1" t="s">
        <v>109</v>
      </c>
      <c r="P632" s="1" t="s">
        <v>69</v>
      </c>
      <c r="Q632" s="1" t="s">
        <v>935</v>
      </c>
      <c r="R632" s="1" t="s">
        <v>2157</v>
      </c>
      <c r="S632" s="3">
        <v>2</v>
      </c>
      <c r="T632" s="1" t="s">
        <v>61</v>
      </c>
      <c r="U632" s="3">
        <v>339</v>
      </c>
      <c r="V632" s="1" t="s">
        <v>79</v>
      </c>
      <c r="W632" s="5">
        <f>Table1[[#This Row],[Quantity]]*Table1[[#This Row],[Price]]*(1-Table1[[#This Row],[Discount %]]/100)</f>
        <v>17854</v>
      </c>
      <c r="X632">
        <f>Table1[[#This Row],[DeliveryDate]]-Table1[[#This Row],[OrderDate]]</f>
        <v>5</v>
      </c>
      <c r="Y632" t="str">
        <f>TEXT(Table1[[#This Row],[OrderDate]],"MMMM")</f>
        <v>August</v>
      </c>
      <c r="Z632" s="5">
        <f>YEAR(Table1[[#This Row],[OrderDate]])</f>
        <v>2023</v>
      </c>
    </row>
    <row r="633" spans="1:26" x14ac:dyDescent="0.3">
      <c r="A633" s="1" t="s">
        <v>2158</v>
      </c>
      <c r="B633" t="s">
        <v>338</v>
      </c>
      <c r="C633" s="3">
        <v>36</v>
      </c>
      <c r="D633" s="1" t="s">
        <v>24</v>
      </c>
      <c r="E633" s="1" t="s">
        <v>40</v>
      </c>
      <c r="F633" s="1" t="s">
        <v>53</v>
      </c>
      <c r="G633" s="4">
        <v>45109</v>
      </c>
      <c r="H633" s="4">
        <v>45114</v>
      </c>
      <c r="I633" s="1" t="s">
        <v>108</v>
      </c>
      <c r="J633" s="1" t="s">
        <v>44</v>
      </c>
      <c r="K633" s="3">
        <v>3</v>
      </c>
      <c r="L633" s="2">
        <v>42109.716287215415</v>
      </c>
      <c r="M633" s="3">
        <v>10</v>
      </c>
      <c r="N633" s="1" t="s">
        <v>45</v>
      </c>
      <c r="O633" s="1" t="s">
        <v>68</v>
      </c>
      <c r="P633" s="1" t="s">
        <v>33</v>
      </c>
      <c r="Q633" s="1" t="s">
        <v>341</v>
      </c>
      <c r="R633" s="1" t="s">
        <v>2160</v>
      </c>
      <c r="S633" s="3">
        <v>3</v>
      </c>
      <c r="T633" s="1" t="s">
        <v>36</v>
      </c>
      <c r="U633" s="3">
        <v>425</v>
      </c>
      <c r="V633" s="1" t="s">
        <v>79</v>
      </c>
      <c r="W633" s="5">
        <f>Table1[[#This Row],[Quantity]]*Table1[[#This Row],[Price]]*(1-Table1[[#This Row],[Discount %]]/100)</f>
        <v>113696.23397548162</v>
      </c>
      <c r="X633">
        <f>Table1[[#This Row],[DeliveryDate]]-Table1[[#This Row],[OrderDate]]</f>
        <v>5</v>
      </c>
      <c r="Y633" t="str">
        <f>TEXT(Table1[[#This Row],[OrderDate]],"MMMM")</f>
        <v>July</v>
      </c>
      <c r="Z633" s="5">
        <f>YEAR(Table1[[#This Row],[OrderDate]])</f>
        <v>2023</v>
      </c>
    </row>
    <row r="634" spans="1:26" x14ac:dyDescent="0.3">
      <c r="A634" s="1" t="s">
        <v>2161</v>
      </c>
      <c r="B634" t="s">
        <v>361</v>
      </c>
      <c r="C634" s="3">
        <v>34</v>
      </c>
      <c r="D634" s="1" t="s">
        <v>24</v>
      </c>
      <c r="E634" s="1" t="s">
        <v>26</v>
      </c>
      <c r="F634" s="1" t="s">
        <v>26</v>
      </c>
      <c r="G634" s="4">
        <v>45253</v>
      </c>
      <c r="H634" s="4">
        <v>45260</v>
      </c>
      <c r="I634" s="1" t="s">
        <v>85</v>
      </c>
      <c r="J634" s="1" t="s">
        <v>44</v>
      </c>
      <c r="K634" s="3">
        <v>3</v>
      </c>
      <c r="L634" s="2">
        <v>67078</v>
      </c>
      <c r="M634" s="3">
        <v>10</v>
      </c>
      <c r="N634" s="1" t="s">
        <v>166</v>
      </c>
      <c r="O634" s="1" t="s">
        <v>281</v>
      </c>
      <c r="P634" s="1" t="s">
        <v>58</v>
      </c>
      <c r="Q634" s="1" t="s">
        <v>364</v>
      </c>
      <c r="R634" s="1" t="s">
        <v>3415</v>
      </c>
      <c r="S634" s="3">
        <v>5</v>
      </c>
      <c r="T634" s="1" t="s">
        <v>72</v>
      </c>
      <c r="U634" s="3">
        <v>60</v>
      </c>
      <c r="V634" s="1" t="s">
        <v>62</v>
      </c>
      <c r="W634" s="5">
        <f>Table1[[#This Row],[Quantity]]*Table1[[#This Row],[Price]]*(1-Table1[[#This Row],[Discount %]]/100)</f>
        <v>181110.6</v>
      </c>
      <c r="X634">
        <f>Table1[[#This Row],[DeliveryDate]]-Table1[[#This Row],[OrderDate]]</f>
        <v>7</v>
      </c>
      <c r="Y634" t="str">
        <f>TEXT(Table1[[#This Row],[OrderDate]],"MMMM")</f>
        <v>November</v>
      </c>
      <c r="Z634" s="5">
        <f>YEAR(Table1[[#This Row],[OrderDate]])</f>
        <v>2023</v>
      </c>
    </row>
    <row r="635" spans="1:26" x14ac:dyDescent="0.3">
      <c r="A635" s="1" t="s">
        <v>2162</v>
      </c>
      <c r="B635" t="s">
        <v>509</v>
      </c>
      <c r="C635" s="3">
        <v>28</v>
      </c>
      <c r="D635" s="1" t="s">
        <v>24</v>
      </c>
      <c r="E635" s="1" t="s">
        <v>229</v>
      </c>
      <c r="F635" s="1" t="s">
        <v>91</v>
      </c>
      <c r="G635" s="4">
        <v>45042</v>
      </c>
      <c r="H635" s="4">
        <v>45043</v>
      </c>
      <c r="I635" s="1" t="s">
        <v>77</v>
      </c>
      <c r="J635" s="1" t="s">
        <v>30</v>
      </c>
      <c r="K635" s="3">
        <v>5</v>
      </c>
      <c r="L635" s="2">
        <v>41325</v>
      </c>
      <c r="M635" s="3">
        <v>5</v>
      </c>
      <c r="N635" s="1" t="s">
        <v>45</v>
      </c>
      <c r="O635" s="1" t="s">
        <v>133</v>
      </c>
      <c r="P635" s="1" t="s">
        <v>174</v>
      </c>
      <c r="Q635" s="1" t="s">
        <v>512</v>
      </c>
      <c r="R635" s="1" t="s">
        <v>2164</v>
      </c>
      <c r="S635" s="3">
        <v>2</v>
      </c>
      <c r="T635" s="1" t="s">
        <v>72</v>
      </c>
      <c r="U635" s="3">
        <v>186</v>
      </c>
      <c r="V635" s="1" t="s">
        <v>37</v>
      </c>
      <c r="W635" s="5">
        <f>Table1[[#This Row],[Quantity]]*Table1[[#This Row],[Price]]*(1-Table1[[#This Row],[Discount %]]/100)</f>
        <v>196293.75</v>
      </c>
      <c r="X635">
        <f>Table1[[#This Row],[DeliveryDate]]-Table1[[#This Row],[OrderDate]]</f>
        <v>1</v>
      </c>
      <c r="Y635" t="str">
        <f>TEXT(Table1[[#This Row],[OrderDate]],"MMMM")</f>
        <v>April</v>
      </c>
      <c r="Z635" s="5">
        <f>YEAR(Table1[[#This Row],[OrderDate]])</f>
        <v>2023</v>
      </c>
    </row>
    <row r="636" spans="1:26" x14ac:dyDescent="0.3">
      <c r="A636" s="1" t="s">
        <v>2165</v>
      </c>
      <c r="B636" t="s">
        <v>209</v>
      </c>
      <c r="C636" s="3">
        <v>53</v>
      </c>
      <c r="D636" s="1" t="s">
        <v>24</v>
      </c>
      <c r="E636" s="1" t="s">
        <v>26</v>
      </c>
      <c r="F636" s="1" t="s">
        <v>53</v>
      </c>
      <c r="G636" s="4">
        <v>44988</v>
      </c>
      <c r="H636" s="4">
        <v>44995</v>
      </c>
      <c r="I636" s="1" t="s">
        <v>77</v>
      </c>
      <c r="J636" s="1" t="s">
        <v>30</v>
      </c>
      <c r="K636" s="3">
        <v>2.9447852760736195</v>
      </c>
      <c r="L636" s="2">
        <v>28770</v>
      </c>
      <c r="M636" s="3">
        <v>0</v>
      </c>
      <c r="N636" s="1" t="s">
        <v>166</v>
      </c>
      <c r="O636" s="1" t="s">
        <v>46</v>
      </c>
      <c r="P636" s="1" t="s">
        <v>58</v>
      </c>
      <c r="Q636" s="1" t="s">
        <v>1001</v>
      </c>
      <c r="R636" s="1" t="s">
        <v>2167</v>
      </c>
      <c r="S636" s="3">
        <v>1</v>
      </c>
      <c r="T636" s="1" t="s">
        <v>61</v>
      </c>
      <c r="U636" s="3">
        <v>113</v>
      </c>
      <c r="V636" s="1" t="s">
        <v>37</v>
      </c>
      <c r="W636" s="5">
        <f>Table1[[#This Row],[Quantity]]*Table1[[#This Row],[Price]]*(1-Table1[[#This Row],[Discount %]]/100)</f>
        <v>84721.472392638039</v>
      </c>
      <c r="X636">
        <f>Table1[[#This Row],[DeliveryDate]]-Table1[[#This Row],[OrderDate]]</f>
        <v>7</v>
      </c>
      <c r="Y636" t="str">
        <f>TEXT(Table1[[#This Row],[OrderDate]],"MMMM")</f>
        <v>March</v>
      </c>
      <c r="Z636" s="5">
        <f>YEAR(Table1[[#This Row],[OrderDate]])</f>
        <v>2023</v>
      </c>
    </row>
    <row r="637" spans="1:26" x14ac:dyDescent="0.3">
      <c r="A637" s="1" t="s">
        <v>2168</v>
      </c>
      <c r="B637" t="s">
        <v>285</v>
      </c>
      <c r="C637" s="3">
        <v>19</v>
      </c>
      <c r="D637" s="1" t="s">
        <v>51</v>
      </c>
      <c r="E637" s="1" t="s">
        <v>142</v>
      </c>
      <c r="F637" s="1" t="s">
        <v>91</v>
      </c>
      <c r="G637" s="4">
        <v>45036</v>
      </c>
      <c r="H637" s="4">
        <v>45044</v>
      </c>
      <c r="I637" s="1" t="s">
        <v>85</v>
      </c>
      <c r="J637" s="1" t="s">
        <v>44</v>
      </c>
      <c r="K637" s="3">
        <v>3</v>
      </c>
      <c r="L637" s="2">
        <v>72407</v>
      </c>
      <c r="M637" s="3">
        <v>5</v>
      </c>
      <c r="N637" s="1" t="s">
        <v>31</v>
      </c>
      <c r="O637" s="1" t="s">
        <v>46</v>
      </c>
      <c r="P637" s="1" t="s">
        <v>174</v>
      </c>
      <c r="Q637" s="1" t="s">
        <v>300</v>
      </c>
      <c r="R637" s="1" t="s">
        <v>2169</v>
      </c>
      <c r="S637" s="3">
        <v>5</v>
      </c>
      <c r="T637" s="1" t="s">
        <v>61</v>
      </c>
      <c r="U637" s="3">
        <v>92</v>
      </c>
      <c r="V637" s="1" t="s">
        <v>37</v>
      </c>
      <c r="W637" s="5">
        <f>Table1[[#This Row],[Quantity]]*Table1[[#This Row],[Price]]*(1-Table1[[#This Row],[Discount %]]/100)</f>
        <v>206359.94999999998</v>
      </c>
      <c r="X637">
        <f>Table1[[#This Row],[DeliveryDate]]-Table1[[#This Row],[OrderDate]]</f>
        <v>8</v>
      </c>
      <c r="Y637" t="str">
        <f>TEXT(Table1[[#This Row],[OrderDate]],"MMMM")</f>
        <v>April</v>
      </c>
      <c r="Z637" s="5">
        <f>YEAR(Table1[[#This Row],[OrderDate]])</f>
        <v>2023</v>
      </c>
    </row>
    <row r="638" spans="1:26" x14ac:dyDescent="0.3">
      <c r="A638" s="1" t="s">
        <v>2170</v>
      </c>
      <c r="B638" t="s">
        <v>285</v>
      </c>
      <c r="C638" s="3">
        <v>19</v>
      </c>
      <c r="D638" s="1" t="s">
        <v>24</v>
      </c>
      <c r="E638" s="1" t="s">
        <v>131</v>
      </c>
      <c r="F638" s="1" t="s">
        <v>26</v>
      </c>
      <c r="G638" s="4">
        <v>45326</v>
      </c>
      <c r="H638" s="4">
        <v>45336</v>
      </c>
      <c r="I638" s="1" t="s">
        <v>85</v>
      </c>
      <c r="J638" s="1" t="s">
        <v>30</v>
      </c>
      <c r="K638" s="3">
        <v>3</v>
      </c>
      <c r="L638" s="2">
        <v>27640</v>
      </c>
      <c r="M638" s="3">
        <v>15</v>
      </c>
      <c r="N638" s="1" t="s">
        <v>56</v>
      </c>
      <c r="O638" s="1" t="s">
        <v>173</v>
      </c>
      <c r="P638" s="1" t="s">
        <v>69</v>
      </c>
      <c r="Q638" s="1" t="s">
        <v>300</v>
      </c>
      <c r="R638" s="1" t="s">
        <v>2171</v>
      </c>
      <c r="S638" s="3">
        <v>2</v>
      </c>
      <c r="T638" s="1" t="s">
        <v>96</v>
      </c>
      <c r="U638" s="3">
        <v>282</v>
      </c>
      <c r="V638" s="1" t="s">
        <v>62</v>
      </c>
      <c r="W638" s="5">
        <f>Table1[[#This Row],[Quantity]]*Table1[[#This Row],[Price]]*(1-Table1[[#This Row],[Discount %]]/100)</f>
        <v>70482</v>
      </c>
      <c r="X638">
        <f>Table1[[#This Row],[DeliveryDate]]-Table1[[#This Row],[OrderDate]]</f>
        <v>10</v>
      </c>
      <c r="Y638" t="str">
        <f>TEXT(Table1[[#This Row],[OrderDate]],"MMMM")</f>
        <v>February</v>
      </c>
      <c r="Z638" s="5">
        <f>YEAR(Table1[[#This Row],[OrderDate]])</f>
        <v>2024</v>
      </c>
    </row>
    <row r="639" spans="1:26" x14ac:dyDescent="0.3">
      <c r="A639" s="1" t="s">
        <v>2172</v>
      </c>
      <c r="B639" t="s">
        <v>570</v>
      </c>
      <c r="C639" s="3">
        <v>60</v>
      </c>
      <c r="D639" s="1" t="s">
        <v>24</v>
      </c>
      <c r="E639" s="1" t="s">
        <v>26</v>
      </c>
      <c r="F639" s="1" t="s">
        <v>65</v>
      </c>
      <c r="G639" s="4">
        <v>45379</v>
      </c>
      <c r="H639" s="4">
        <v>45381</v>
      </c>
      <c r="I639" s="1" t="s">
        <v>85</v>
      </c>
      <c r="J639" s="1" t="s">
        <v>44</v>
      </c>
      <c r="K639" s="3">
        <v>1</v>
      </c>
      <c r="L639" s="2">
        <v>48382</v>
      </c>
      <c r="M639" s="3">
        <v>15</v>
      </c>
      <c r="N639" s="1" t="s">
        <v>45</v>
      </c>
      <c r="O639" s="1" t="s">
        <v>173</v>
      </c>
      <c r="P639" s="1" t="s">
        <v>69</v>
      </c>
      <c r="Q639" s="1" t="s">
        <v>573</v>
      </c>
      <c r="R639" s="1" t="s">
        <v>2173</v>
      </c>
      <c r="S639" s="3">
        <v>5</v>
      </c>
      <c r="T639" s="1" t="s">
        <v>72</v>
      </c>
      <c r="U639" s="3">
        <v>288</v>
      </c>
      <c r="V639" s="1" t="s">
        <v>62</v>
      </c>
      <c r="W639" s="5">
        <f>Table1[[#This Row],[Quantity]]*Table1[[#This Row],[Price]]*(1-Table1[[#This Row],[Discount %]]/100)</f>
        <v>41124.699999999997</v>
      </c>
      <c r="X639">
        <f>Table1[[#This Row],[DeliveryDate]]-Table1[[#This Row],[OrderDate]]</f>
        <v>2</v>
      </c>
      <c r="Y639" t="str">
        <f>TEXT(Table1[[#This Row],[OrderDate]],"MMMM")</f>
        <v>March</v>
      </c>
      <c r="Z639" s="5">
        <f>YEAR(Table1[[#This Row],[OrderDate]])</f>
        <v>2024</v>
      </c>
    </row>
    <row r="640" spans="1:26" x14ac:dyDescent="0.3">
      <c r="A640" s="1" t="s">
        <v>2174</v>
      </c>
      <c r="B640" t="s">
        <v>645</v>
      </c>
      <c r="C640" s="3">
        <v>27</v>
      </c>
      <c r="D640" s="1" t="s">
        <v>51</v>
      </c>
      <c r="E640" s="1" t="s">
        <v>131</v>
      </c>
      <c r="F640" s="1" t="s">
        <v>26</v>
      </c>
      <c r="G640" s="4">
        <v>45520</v>
      </c>
      <c r="H640" s="4">
        <v>45523</v>
      </c>
      <c r="I640" s="1" t="s">
        <v>43</v>
      </c>
      <c r="J640" s="1" t="s">
        <v>44</v>
      </c>
      <c r="K640" s="3">
        <v>1</v>
      </c>
      <c r="L640" s="2">
        <v>64454</v>
      </c>
      <c r="M640" s="3">
        <v>10</v>
      </c>
      <c r="N640" s="1" t="s">
        <v>166</v>
      </c>
      <c r="O640" s="1" t="s">
        <v>68</v>
      </c>
      <c r="P640" s="1" t="s">
        <v>58</v>
      </c>
      <c r="Q640" s="1" t="s">
        <v>647</v>
      </c>
      <c r="R640" s="1" t="s">
        <v>2177</v>
      </c>
      <c r="S640" s="3">
        <v>4</v>
      </c>
      <c r="T640" s="1" t="s">
        <v>96</v>
      </c>
      <c r="U640" s="3">
        <v>420</v>
      </c>
      <c r="V640" s="1" t="s">
        <v>37</v>
      </c>
      <c r="W640" s="5">
        <f>Table1[[#This Row],[Quantity]]*Table1[[#This Row],[Price]]*(1-Table1[[#This Row],[Discount %]]/100)</f>
        <v>58008.6</v>
      </c>
      <c r="X640">
        <f>Table1[[#This Row],[DeliveryDate]]-Table1[[#This Row],[OrderDate]]</f>
        <v>3</v>
      </c>
      <c r="Y640" t="str">
        <f>TEXT(Table1[[#This Row],[OrderDate]],"MMMM")</f>
        <v>August</v>
      </c>
      <c r="Z640" s="5">
        <f>YEAR(Table1[[#This Row],[OrderDate]])</f>
        <v>2024</v>
      </c>
    </row>
    <row r="641" spans="1:26" x14ac:dyDescent="0.3">
      <c r="A641" s="1" t="s">
        <v>2178</v>
      </c>
      <c r="B641" t="s">
        <v>527</v>
      </c>
      <c r="C641" s="3">
        <v>20</v>
      </c>
      <c r="D641" s="1" t="s">
        <v>24</v>
      </c>
      <c r="E641" s="1" t="s">
        <v>99</v>
      </c>
      <c r="F641" s="1" t="s">
        <v>53</v>
      </c>
      <c r="G641" s="4">
        <v>45265</v>
      </c>
      <c r="H641" s="4">
        <v>45272</v>
      </c>
      <c r="I641" s="1" t="s">
        <v>29</v>
      </c>
      <c r="J641" s="1" t="s">
        <v>44</v>
      </c>
      <c r="K641" s="3">
        <v>4</v>
      </c>
      <c r="L641" s="2">
        <v>51342</v>
      </c>
      <c r="M641" s="3">
        <v>5</v>
      </c>
      <c r="N641" s="1" t="s">
        <v>166</v>
      </c>
      <c r="O641" s="1" t="s">
        <v>173</v>
      </c>
      <c r="P641" s="1" t="s">
        <v>33</v>
      </c>
      <c r="Q641" s="1" t="s">
        <v>530</v>
      </c>
      <c r="R641" s="1" t="s">
        <v>3415</v>
      </c>
      <c r="S641" s="3">
        <v>3</v>
      </c>
      <c r="T641" s="1" t="s">
        <v>36</v>
      </c>
      <c r="U641" s="3">
        <v>203</v>
      </c>
      <c r="V641" s="1" t="s">
        <v>79</v>
      </c>
      <c r="W641" s="5">
        <f>Table1[[#This Row],[Quantity]]*Table1[[#This Row],[Price]]*(1-Table1[[#This Row],[Discount %]]/100)</f>
        <v>195099.59999999998</v>
      </c>
      <c r="X641">
        <f>Table1[[#This Row],[DeliveryDate]]-Table1[[#This Row],[OrderDate]]</f>
        <v>7</v>
      </c>
      <c r="Y641" t="str">
        <f>TEXT(Table1[[#This Row],[OrderDate]],"MMMM")</f>
        <v>December</v>
      </c>
      <c r="Z641" s="5">
        <f>YEAR(Table1[[#This Row],[OrderDate]])</f>
        <v>2023</v>
      </c>
    </row>
    <row r="642" spans="1:26" x14ac:dyDescent="0.3">
      <c r="A642" s="1" t="s">
        <v>2179</v>
      </c>
      <c r="B642" t="s">
        <v>1080</v>
      </c>
      <c r="C642" s="3">
        <v>34</v>
      </c>
      <c r="D642" s="1" t="s">
        <v>51</v>
      </c>
      <c r="E642" s="1" t="s">
        <v>142</v>
      </c>
      <c r="F642" s="1" t="s">
        <v>26</v>
      </c>
      <c r="G642" s="4">
        <v>45125</v>
      </c>
      <c r="H642" s="4">
        <v>45131</v>
      </c>
      <c r="I642" s="1" t="s">
        <v>93</v>
      </c>
      <c r="J642" s="1" t="s">
        <v>30</v>
      </c>
      <c r="K642" s="3">
        <v>4</v>
      </c>
      <c r="L642" s="2">
        <v>47771</v>
      </c>
      <c r="M642" s="3">
        <v>0</v>
      </c>
      <c r="N642" s="1" t="s">
        <v>56</v>
      </c>
      <c r="O642" s="1" t="s">
        <v>173</v>
      </c>
      <c r="P642" s="1" t="s">
        <v>58</v>
      </c>
      <c r="Q642" s="1" t="s">
        <v>1082</v>
      </c>
      <c r="R642" s="1" t="s">
        <v>2180</v>
      </c>
      <c r="S642" s="3">
        <v>3</v>
      </c>
      <c r="T642" s="1" t="s">
        <v>61</v>
      </c>
      <c r="U642" s="3">
        <v>71</v>
      </c>
      <c r="V642" s="1" t="s">
        <v>37</v>
      </c>
      <c r="W642" s="5">
        <f>Table1[[#This Row],[Quantity]]*Table1[[#This Row],[Price]]*(1-Table1[[#This Row],[Discount %]]/100)</f>
        <v>191084</v>
      </c>
      <c r="X642">
        <f>Table1[[#This Row],[DeliveryDate]]-Table1[[#This Row],[OrderDate]]</f>
        <v>6</v>
      </c>
      <c r="Y642" t="str">
        <f>TEXT(Table1[[#This Row],[OrderDate]],"MMMM")</f>
        <v>July</v>
      </c>
      <c r="Z642" s="5">
        <f>YEAR(Table1[[#This Row],[OrderDate]])</f>
        <v>2023</v>
      </c>
    </row>
    <row r="643" spans="1:26" x14ac:dyDescent="0.3">
      <c r="A643" s="1" t="s">
        <v>2181</v>
      </c>
      <c r="B643" t="s">
        <v>361</v>
      </c>
      <c r="C643" s="3">
        <v>36</v>
      </c>
      <c r="D643" s="1" t="s">
        <v>24</v>
      </c>
      <c r="E643" s="1" t="s">
        <v>131</v>
      </c>
      <c r="F643" s="1" t="s">
        <v>65</v>
      </c>
      <c r="G643" s="4">
        <v>45043</v>
      </c>
      <c r="H643" s="4">
        <v>45046</v>
      </c>
      <c r="I643" s="1" t="s">
        <v>85</v>
      </c>
      <c r="J643" s="1" t="s">
        <v>30</v>
      </c>
      <c r="K643" s="3">
        <v>5</v>
      </c>
      <c r="L643" s="2">
        <v>65988</v>
      </c>
      <c r="M643" s="3">
        <v>15</v>
      </c>
      <c r="N643" s="1" t="s">
        <v>166</v>
      </c>
      <c r="O643" s="1" t="s">
        <v>173</v>
      </c>
      <c r="P643" s="1" t="s">
        <v>174</v>
      </c>
      <c r="Q643" s="1" t="s">
        <v>364</v>
      </c>
      <c r="R643" s="1" t="s">
        <v>2182</v>
      </c>
      <c r="S643" s="3">
        <v>5</v>
      </c>
      <c r="T643" s="1" t="s">
        <v>72</v>
      </c>
      <c r="U643" s="3">
        <v>491</v>
      </c>
      <c r="V643" s="1" t="s">
        <v>62</v>
      </c>
      <c r="W643" s="5">
        <f>Table1[[#This Row],[Quantity]]*Table1[[#This Row],[Price]]*(1-Table1[[#This Row],[Discount %]]/100)</f>
        <v>280449</v>
      </c>
      <c r="X643">
        <f>Table1[[#This Row],[DeliveryDate]]-Table1[[#This Row],[OrderDate]]</f>
        <v>3</v>
      </c>
      <c r="Y643" t="str">
        <f>TEXT(Table1[[#This Row],[OrderDate]],"MMMM")</f>
        <v>April</v>
      </c>
      <c r="Z643" s="5">
        <f>YEAR(Table1[[#This Row],[OrderDate]])</f>
        <v>2023</v>
      </c>
    </row>
    <row r="644" spans="1:26" x14ac:dyDescent="0.3">
      <c r="A644" s="1" t="s">
        <v>2183</v>
      </c>
      <c r="B644" t="s">
        <v>457</v>
      </c>
      <c r="C644" s="3">
        <v>56</v>
      </c>
      <c r="D644" s="1" t="s">
        <v>51</v>
      </c>
      <c r="E644" s="1" t="s">
        <v>40</v>
      </c>
      <c r="F644" s="1" t="s">
        <v>82</v>
      </c>
      <c r="G644" s="4">
        <v>45430</v>
      </c>
      <c r="H644" s="4">
        <v>45432</v>
      </c>
      <c r="I644" s="1" t="s">
        <v>29</v>
      </c>
      <c r="J644" s="1" t="s">
        <v>30</v>
      </c>
      <c r="K644" s="3">
        <v>3</v>
      </c>
      <c r="L644" s="2">
        <v>76140</v>
      </c>
      <c r="M644" s="3">
        <v>15</v>
      </c>
      <c r="N644" s="1" t="s">
        <v>31</v>
      </c>
      <c r="O644" s="1" t="s">
        <v>32</v>
      </c>
      <c r="P644" s="1" t="s">
        <v>33</v>
      </c>
      <c r="Q644" s="1" t="s">
        <v>595</v>
      </c>
      <c r="R644" s="1" t="s">
        <v>2185</v>
      </c>
      <c r="S644" s="3">
        <v>4</v>
      </c>
      <c r="T644" s="1" t="s">
        <v>61</v>
      </c>
      <c r="U644" s="3">
        <v>321</v>
      </c>
      <c r="V644" s="1" t="s">
        <v>37</v>
      </c>
      <c r="W644" s="5">
        <f>Table1[[#This Row],[Quantity]]*Table1[[#This Row],[Price]]*(1-Table1[[#This Row],[Discount %]]/100)</f>
        <v>194157</v>
      </c>
      <c r="X644">
        <f>Table1[[#This Row],[DeliveryDate]]-Table1[[#This Row],[OrderDate]]</f>
        <v>2</v>
      </c>
      <c r="Y644" t="str">
        <f>TEXT(Table1[[#This Row],[OrderDate]],"MMMM")</f>
        <v>May</v>
      </c>
      <c r="Z644" s="5">
        <f>YEAR(Table1[[#This Row],[OrderDate]])</f>
        <v>2024</v>
      </c>
    </row>
    <row r="645" spans="1:26" x14ac:dyDescent="0.3">
      <c r="A645" s="1" t="s">
        <v>2186</v>
      </c>
      <c r="B645" t="s">
        <v>141</v>
      </c>
      <c r="C645" s="3">
        <v>42</v>
      </c>
      <c r="D645" s="1" t="s">
        <v>24</v>
      </c>
      <c r="E645" s="1" t="s">
        <v>99</v>
      </c>
      <c r="F645" s="1" t="s">
        <v>82</v>
      </c>
      <c r="G645" s="4">
        <v>45392</v>
      </c>
      <c r="H645" s="4">
        <v>45402</v>
      </c>
      <c r="I645" s="1" t="s">
        <v>93</v>
      </c>
      <c r="J645" s="1" t="s">
        <v>44</v>
      </c>
      <c r="K645" s="3">
        <v>4</v>
      </c>
      <c r="L645" s="2">
        <v>62350</v>
      </c>
      <c r="M645" s="3">
        <v>5</v>
      </c>
      <c r="N645" s="1" t="s">
        <v>45</v>
      </c>
      <c r="O645" s="1" t="s">
        <v>32</v>
      </c>
      <c r="P645" s="1" t="s">
        <v>58</v>
      </c>
      <c r="Q645" s="1" t="s">
        <v>144</v>
      </c>
      <c r="R645" s="1" t="s">
        <v>2188</v>
      </c>
      <c r="S645" s="3">
        <v>5</v>
      </c>
      <c r="T645" s="1" t="s">
        <v>61</v>
      </c>
      <c r="U645" s="3">
        <v>362</v>
      </c>
      <c r="V645" s="1" t="s">
        <v>79</v>
      </c>
      <c r="W645" s="5">
        <f>Table1[[#This Row],[Quantity]]*Table1[[#This Row],[Price]]*(1-Table1[[#This Row],[Discount %]]/100)</f>
        <v>236930</v>
      </c>
      <c r="X645">
        <f>Table1[[#This Row],[DeliveryDate]]-Table1[[#This Row],[OrderDate]]</f>
        <v>10</v>
      </c>
      <c r="Y645" t="str">
        <f>TEXT(Table1[[#This Row],[OrderDate]],"MMMM")</f>
        <v>April</v>
      </c>
      <c r="Z645" s="5">
        <f>YEAR(Table1[[#This Row],[OrderDate]])</f>
        <v>2024</v>
      </c>
    </row>
    <row r="646" spans="1:26" x14ac:dyDescent="0.3">
      <c r="A646" s="1" t="s">
        <v>2189</v>
      </c>
      <c r="B646" t="s">
        <v>589</v>
      </c>
      <c r="C646" s="3">
        <v>50</v>
      </c>
      <c r="D646" s="1" t="s">
        <v>51</v>
      </c>
      <c r="E646" s="1" t="s">
        <v>229</v>
      </c>
      <c r="F646" s="1" t="s">
        <v>26</v>
      </c>
      <c r="G646" s="4">
        <v>45353</v>
      </c>
      <c r="H646" s="4">
        <v>45355</v>
      </c>
      <c r="I646" s="1" t="s">
        <v>93</v>
      </c>
      <c r="J646" s="1" t="s">
        <v>44</v>
      </c>
      <c r="K646" s="3">
        <v>3</v>
      </c>
      <c r="L646" s="2">
        <v>65701</v>
      </c>
      <c r="M646" s="3">
        <v>15</v>
      </c>
      <c r="N646" s="1" t="s">
        <v>45</v>
      </c>
      <c r="O646" s="1" t="s">
        <v>133</v>
      </c>
      <c r="P646" s="1" t="s">
        <v>174</v>
      </c>
      <c r="Q646" s="1" t="s">
        <v>591</v>
      </c>
      <c r="R646" s="1" t="s">
        <v>2190</v>
      </c>
      <c r="S646" s="3">
        <v>5</v>
      </c>
      <c r="T646" s="1" t="s">
        <v>96</v>
      </c>
      <c r="U646" s="3">
        <v>448</v>
      </c>
      <c r="V646" s="1" t="s">
        <v>79</v>
      </c>
      <c r="W646" s="5">
        <f>Table1[[#This Row],[Quantity]]*Table1[[#This Row],[Price]]*(1-Table1[[#This Row],[Discount %]]/100)</f>
        <v>167537.54999999999</v>
      </c>
      <c r="X646">
        <f>Table1[[#This Row],[DeliveryDate]]-Table1[[#This Row],[OrderDate]]</f>
        <v>2</v>
      </c>
      <c r="Y646" t="str">
        <f>TEXT(Table1[[#This Row],[OrderDate]],"MMMM")</f>
        <v>March</v>
      </c>
      <c r="Z646" s="5">
        <f>YEAR(Table1[[#This Row],[OrderDate]])</f>
        <v>2024</v>
      </c>
    </row>
    <row r="647" spans="1:26" x14ac:dyDescent="0.3">
      <c r="A647" s="1" t="s">
        <v>2191</v>
      </c>
      <c r="B647" t="s">
        <v>589</v>
      </c>
      <c r="C647" s="3">
        <v>56</v>
      </c>
      <c r="D647" s="1" t="s">
        <v>24</v>
      </c>
      <c r="E647" s="1" t="s">
        <v>52</v>
      </c>
      <c r="F647" s="1" t="s">
        <v>53</v>
      </c>
      <c r="G647" s="4">
        <v>45537</v>
      </c>
      <c r="H647" s="4">
        <v>45538</v>
      </c>
      <c r="I647" s="1" t="s">
        <v>77</v>
      </c>
      <c r="J647" s="1" t="s">
        <v>30</v>
      </c>
      <c r="K647" s="3">
        <v>3</v>
      </c>
      <c r="L647" s="2">
        <v>49587</v>
      </c>
      <c r="M647" s="3">
        <v>5</v>
      </c>
      <c r="N647" s="1" t="s">
        <v>45</v>
      </c>
      <c r="O647" s="1" t="s">
        <v>32</v>
      </c>
      <c r="P647" s="1" t="s">
        <v>174</v>
      </c>
      <c r="Q647" s="1" t="s">
        <v>591</v>
      </c>
      <c r="R647" s="1" t="s">
        <v>2192</v>
      </c>
      <c r="S647" s="3">
        <v>3</v>
      </c>
      <c r="T647" s="1" t="s">
        <v>96</v>
      </c>
      <c r="U647" s="3">
        <v>473</v>
      </c>
      <c r="V647" s="1" t="s">
        <v>79</v>
      </c>
      <c r="W647" s="5">
        <f>Table1[[#This Row],[Quantity]]*Table1[[#This Row],[Price]]*(1-Table1[[#This Row],[Discount %]]/100)</f>
        <v>141322.94999999998</v>
      </c>
      <c r="X647">
        <f>Table1[[#This Row],[DeliveryDate]]-Table1[[#This Row],[OrderDate]]</f>
        <v>1</v>
      </c>
      <c r="Y647" t="str">
        <f>TEXT(Table1[[#This Row],[OrderDate]],"MMMM")</f>
        <v>September</v>
      </c>
      <c r="Z647" s="5">
        <f>YEAR(Table1[[#This Row],[OrderDate]])</f>
        <v>2024</v>
      </c>
    </row>
    <row r="648" spans="1:26" x14ac:dyDescent="0.3">
      <c r="A648" s="1" t="s">
        <v>2193</v>
      </c>
      <c r="B648" t="s">
        <v>555</v>
      </c>
      <c r="C648" s="3">
        <v>24</v>
      </c>
      <c r="D648" s="1" t="s">
        <v>51</v>
      </c>
      <c r="E648" s="1" t="s">
        <v>142</v>
      </c>
      <c r="F648" s="1" t="s">
        <v>82</v>
      </c>
      <c r="G648" s="4">
        <v>45471</v>
      </c>
      <c r="H648" s="4">
        <v>45476</v>
      </c>
      <c r="I648" s="1" t="s">
        <v>108</v>
      </c>
      <c r="J648" s="1" t="s">
        <v>44</v>
      </c>
      <c r="K648" s="3">
        <v>1</v>
      </c>
      <c r="L648" s="2">
        <v>42109.716287215415</v>
      </c>
      <c r="M648" s="3">
        <v>10</v>
      </c>
      <c r="N648" s="1" t="s">
        <v>31</v>
      </c>
      <c r="O648" s="1" t="s">
        <v>32</v>
      </c>
      <c r="P648" s="1" t="s">
        <v>174</v>
      </c>
      <c r="Q648" s="1" t="s">
        <v>558</v>
      </c>
      <c r="R648" s="1" t="s">
        <v>2195</v>
      </c>
      <c r="S648" s="3">
        <v>3</v>
      </c>
      <c r="T648" s="1" t="s">
        <v>96</v>
      </c>
      <c r="U648" s="3">
        <v>340</v>
      </c>
      <c r="V648" s="1" t="s">
        <v>37</v>
      </c>
      <c r="W648" s="5">
        <f>Table1[[#This Row],[Quantity]]*Table1[[#This Row],[Price]]*(1-Table1[[#This Row],[Discount %]]/100)</f>
        <v>37898.744658493873</v>
      </c>
      <c r="X648">
        <f>Table1[[#This Row],[DeliveryDate]]-Table1[[#This Row],[OrderDate]]</f>
        <v>5</v>
      </c>
      <c r="Y648" t="str">
        <f>TEXT(Table1[[#This Row],[OrderDate]],"MMMM")</f>
        <v>June</v>
      </c>
      <c r="Z648" s="5">
        <f>YEAR(Table1[[#This Row],[OrderDate]])</f>
        <v>2024</v>
      </c>
    </row>
    <row r="649" spans="1:26" x14ac:dyDescent="0.3">
      <c r="A649" s="1" t="s">
        <v>2196</v>
      </c>
      <c r="B649" t="s">
        <v>272</v>
      </c>
      <c r="C649" s="3">
        <v>48</v>
      </c>
      <c r="D649" s="1" t="s">
        <v>24</v>
      </c>
      <c r="E649" s="1" t="s">
        <v>99</v>
      </c>
      <c r="F649" s="1" t="s">
        <v>53</v>
      </c>
      <c r="G649" s="4">
        <v>45433</v>
      </c>
      <c r="H649" s="4">
        <v>45436</v>
      </c>
      <c r="I649" s="1" t="s">
        <v>29</v>
      </c>
      <c r="J649" s="1" t="s">
        <v>30</v>
      </c>
      <c r="K649" s="3">
        <v>5</v>
      </c>
      <c r="L649" s="2">
        <v>29910</v>
      </c>
      <c r="M649" s="3">
        <v>10</v>
      </c>
      <c r="N649" s="1" t="s">
        <v>56</v>
      </c>
      <c r="O649" s="1" t="s">
        <v>102</v>
      </c>
      <c r="P649" s="1" t="s">
        <v>174</v>
      </c>
      <c r="Q649" s="1" t="s">
        <v>3415</v>
      </c>
      <c r="R649" s="1" t="s">
        <v>2197</v>
      </c>
      <c r="S649" s="3">
        <v>3</v>
      </c>
      <c r="T649" s="1" t="s">
        <v>36</v>
      </c>
      <c r="U649" s="3">
        <v>68</v>
      </c>
      <c r="V649" s="1" t="s">
        <v>37</v>
      </c>
      <c r="W649" s="5">
        <f>Table1[[#This Row],[Quantity]]*Table1[[#This Row],[Price]]*(1-Table1[[#This Row],[Discount %]]/100)</f>
        <v>134595</v>
      </c>
      <c r="X649">
        <f>Table1[[#This Row],[DeliveryDate]]-Table1[[#This Row],[OrderDate]]</f>
        <v>3</v>
      </c>
      <c r="Y649" t="str">
        <f>TEXT(Table1[[#This Row],[OrderDate]],"MMMM")</f>
        <v>May</v>
      </c>
      <c r="Z649" s="5">
        <f>YEAR(Table1[[#This Row],[OrderDate]])</f>
        <v>2024</v>
      </c>
    </row>
    <row r="650" spans="1:26" x14ac:dyDescent="0.3">
      <c r="A650" s="1" t="s">
        <v>2198</v>
      </c>
      <c r="B650" t="s">
        <v>707</v>
      </c>
      <c r="C650" s="3">
        <v>28</v>
      </c>
      <c r="D650" s="1" t="s">
        <v>51</v>
      </c>
      <c r="E650" s="1" t="s">
        <v>40</v>
      </c>
      <c r="F650" s="1" t="s">
        <v>65</v>
      </c>
      <c r="G650" s="4">
        <v>45135</v>
      </c>
      <c r="H650" s="4">
        <v>45136</v>
      </c>
      <c r="I650" s="1" t="s">
        <v>85</v>
      </c>
      <c r="J650" s="1" t="s">
        <v>44</v>
      </c>
      <c r="K650" s="3">
        <v>4</v>
      </c>
      <c r="L650" s="2">
        <v>30965</v>
      </c>
      <c r="M650" s="3">
        <v>5</v>
      </c>
      <c r="N650" s="1" t="s">
        <v>31</v>
      </c>
      <c r="O650" s="1" t="s">
        <v>32</v>
      </c>
      <c r="P650" s="1" t="s">
        <v>69</v>
      </c>
      <c r="Q650" s="1" t="s">
        <v>709</v>
      </c>
      <c r="R650" s="1" t="s">
        <v>2200</v>
      </c>
      <c r="S650" s="3">
        <v>1</v>
      </c>
      <c r="T650" s="1" t="s">
        <v>96</v>
      </c>
      <c r="U650" s="3">
        <v>235</v>
      </c>
      <c r="V650" s="1" t="s">
        <v>62</v>
      </c>
      <c r="W650" s="5">
        <f>Table1[[#This Row],[Quantity]]*Table1[[#This Row],[Price]]*(1-Table1[[#This Row],[Discount %]]/100)</f>
        <v>117667</v>
      </c>
      <c r="X650">
        <f>Table1[[#This Row],[DeliveryDate]]-Table1[[#This Row],[OrderDate]]</f>
        <v>1</v>
      </c>
      <c r="Y650" t="str">
        <f>TEXT(Table1[[#This Row],[OrderDate]],"MMMM")</f>
        <v>July</v>
      </c>
      <c r="Z650" s="5">
        <f>YEAR(Table1[[#This Row],[OrderDate]])</f>
        <v>2023</v>
      </c>
    </row>
    <row r="651" spans="1:26" x14ac:dyDescent="0.3">
      <c r="A651" s="1" t="s">
        <v>2201</v>
      </c>
      <c r="B651" t="s">
        <v>933</v>
      </c>
      <c r="C651" s="3">
        <v>47</v>
      </c>
      <c r="D651" s="1" t="s">
        <v>24</v>
      </c>
      <c r="E651" s="1" t="s">
        <v>25</v>
      </c>
      <c r="F651" s="1" t="s">
        <v>65</v>
      </c>
      <c r="G651" s="4">
        <v>45184</v>
      </c>
      <c r="H651" s="4">
        <v>45194</v>
      </c>
      <c r="I651" s="1" t="s">
        <v>85</v>
      </c>
      <c r="J651" s="1" t="s">
        <v>44</v>
      </c>
      <c r="K651" s="3">
        <v>2</v>
      </c>
      <c r="L651" s="2">
        <v>41924</v>
      </c>
      <c r="M651" s="3">
        <v>0</v>
      </c>
      <c r="N651" s="1" t="s">
        <v>31</v>
      </c>
      <c r="O651" s="1" t="s">
        <v>102</v>
      </c>
      <c r="P651" s="1" t="s">
        <v>33</v>
      </c>
      <c r="Q651" s="1" t="s">
        <v>935</v>
      </c>
      <c r="R651" s="1" t="s">
        <v>2202</v>
      </c>
      <c r="S651" s="3">
        <v>3</v>
      </c>
      <c r="T651" s="1" t="s">
        <v>61</v>
      </c>
      <c r="U651" s="3">
        <v>422</v>
      </c>
      <c r="V651" s="1" t="s">
        <v>79</v>
      </c>
      <c r="W651" s="5">
        <f>Table1[[#This Row],[Quantity]]*Table1[[#This Row],[Price]]*(1-Table1[[#This Row],[Discount %]]/100)</f>
        <v>83848</v>
      </c>
      <c r="X651">
        <f>Table1[[#This Row],[DeliveryDate]]-Table1[[#This Row],[OrderDate]]</f>
        <v>10</v>
      </c>
      <c r="Y651" t="str">
        <f>TEXT(Table1[[#This Row],[OrderDate]],"MMMM")</f>
        <v>September</v>
      </c>
      <c r="Z651" s="5">
        <f>YEAR(Table1[[#This Row],[OrderDate]])</f>
        <v>2023</v>
      </c>
    </row>
    <row r="652" spans="1:26" x14ac:dyDescent="0.3">
      <c r="A652" s="1" t="s">
        <v>2203</v>
      </c>
      <c r="B652" t="s">
        <v>105</v>
      </c>
      <c r="C652" s="3">
        <v>52</v>
      </c>
      <c r="D652" s="1" t="s">
        <v>24</v>
      </c>
      <c r="E652" s="1" t="s">
        <v>52</v>
      </c>
      <c r="F652" s="1" t="s">
        <v>82</v>
      </c>
      <c r="G652" s="4">
        <v>45503</v>
      </c>
      <c r="H652" s="4">
        <v>45504</v>
      </c>
      <c r="I652" s="1" t="s">
        <v>43</v>
      </c>
      <c r="J652" s="1" t="s">
        <v>44</v>
      </c>
      <c r="K652" s="3">
        <v>1</v>
      </c>
      <c r="L652" s="2">
        <v>44992</v>
      </c>
      <c r="M652" s="3">
        <v>0</v>
      </c>
      <c r="N652" s="1" t="s">
        <v>45</v>
      </c>
      <c r="O652" s="1" t="s">
        <v>133</v>
      </c>
      <c r="P652" s="1" t="s">
        <v>58</v>
      </c>
      <c r="Q652" s="1" t="s">
        <v>110</v>
      </c>
      <c r="R652" s="1" t="s">
        <v>2204</v>
      </c>
      <c r="S652" s="3">
        <v>5</v>
      </c>
      <c r="T652" s="1" t="s">
        <v>36</v>
      </c>
      <c r="U652" s="3">
        <v>324</v>
      </c>
      <c r="V652" s="1" t="s">
        <v>62</v>
      </c>
      <c r="W652" s="5">
        <f>Table1[[#This Row],[Quantity]]*Table1[[#This Row],[Price]]*(1-Table1[[#This Row],[Discount %]]/100)</f>
        <v>44992</v>
      </c>
      <c r="X652">
        <f>Table1[[#This Row],[DeliveryDate]]-Table1[[#This Row],[OrderDate]]</f>
        <v>1</v>
      </c>
      <c r="Y652" t="str">
        <f>TEXT(Table1[[#This Row],[OrderDate]],"MMMM")</f>
        <v>July</v>
      </c>
      <c r="Z652" s="5">
        <f>YEAR(Table1[[#This Row],[OrderDate]])</f>
        <v>2024</v>
      </c>
    </row>
    <row r="653" spans="1:26" x14ac:dyDescent="0.3">
      <c r="A653" s="1" t="s">
        <v>2205</v>
      </c>
      <c r="B653" t="s">
        <v>235</v>
      </c>
      <c r="C653" s="3">
        <v>39</v>
      </c>
      <c r="D653" s="1" t="s">
        <v>51</v>
      </c>
      <c r="E653" s="1" t="s">
        <v>26</v>
      </c>
      <c r="F653" s="1" t="s">
        <v>26</v>
      </c>
      <c r="G653" s="4">
        <v>45544</v>
      </c>
      <c r="H653" s="4">
        <v>45554</v>
      </c>
      <c r="I653" s="1" t="s">
        <v>85</v>
      </c>
      <c r="J653" s="1" t="s">
        <v>30</v>
      </c>
      <c r="K653" s="3">
        <v>4</v>
      </c>
      <c r="L653" s="2">
        <v>60127</v>
      </c>
      <c r="M653" s="3">
        <v>0</v>
      </c>
      <c r="N653" s="1" t="s">
        <v>166</v>
      </c>
      <c r="O653" s="1" t="s">
        <v>46</v>
      </c>
      <c r="P653" s="1" t="s">
        <v>58</v>
      </c>
      <c r="Q653" s="1" t="s">
        <v>871</v>
      </c>
      <c r="R653" s="1" t="s">
        <v>2206</v>
      </c>
      <c r="S653" s="3">
        <v>4</v>
      </c>
      <c r="T653" s="1" t="s">
        <v>72</v>
      </c>
      <c r="U653" s="3">
        <v>57</v>
      </c>
      <c r="V653" s="1" t="s">
        <v>62</v>
      </c>
      <c r="W653" s="5">
        <f>Table1[[#This Row],[Quantity]]*Table1[[#This Row],[Price]]*(1-Table1[[#This Row],[Discount %]]/100)</f>
        <v>240508</v>
      </c>
      <c r="X653">
        <f>Table1[[#This Row],[DeliveryDate]]-Table1[[#This Row],[OrderDate]]</f>
        <v>10</v>
      </c>
      <c r="Y653" t="str">
        <f>TEXT(Table1[[#This Row],[OrderDate]],"MMMM")</f>
        <v>September</v>
      </c>
      <c r="Z653" s="5">
        <f>YEAR(Table1[[#This Row],[OrderDate]])</f>
        <v>2024</v>
      </c>
    </row>
    <row r="654" spans="1:26" x14ac:dyDescent="0.3">
      <c r="A654" s="1" t="s">
        <v>2207</v>
      </c>
      <c r="B654" t="s">
        <v>471</v>
      </c>
      <c r="C654" s="3">
        <v>29</v>
      </c>
      <c r="D654" s="1" t="s">
        <v>24</v>
      </c>
      <c r="E654" s="1" t="s">
        <v>142</v>
      </c>
      <c r="F654" s="1" t="s">
        <v>53</v>
      </c>
      <c r="G654" s="4">
        <v>45539</v>
      </c>
      <c r="H654" s="4">
        <v>45547</v>
      </c>
      <c r="I654" s="1" t="s">
        <v>43</v>
      </c>
      <c r="J654" s="1" t="s">
        <v>30</v>
      </c>
      <c r="K654" s="3">
        <v>2.9447852760736195</v>
      </c>
      <c r="L654" s="2">
        <v>41701</v>
      </c>
      <c r="M654" s="3">
        <v>5</v>
      </c>
      <c r="N654" s="1" t="s">
        <v>166</v>
      </c>
      <c r="O654" s="1" t="s">
        <v>173</v>
      </c>
      <c r="P654" s="1" t="s">
        <v>174</v>
      </c>
      <c r="Q654" s="1" t="s">
        <v>3415</v>
      </c>
      <c r="R654" s="1" t="s">
        <v>2208</v>
      </c>
      <c r="S654" s="3">
        <v>1</v>
      </c>
      <c r="T654" s="1" t="s">
        <v>96</v>
      </c>
      <c r="U654" s="3">
        <v>333</v>
      </c>
      <c r="V654" s="1" t="s">
        <v>62</v>
      </c>
      <c r="W654" s="5">
        <f>Table1[[#This Row],[Quantity]]*Table1[[#This Row],[Price]]*(1-Table1[[#This Row],[Discount %]]/100)</f>
        <v>116660.4662576687</v>
      </c>
      <c r="X654">
        <f>Table1[[#This Row],[DeliveryDate]]-Table1[[#This Row],[OrderDate]]</f>
        <v>8</v>
      </c>
      <c r="Y654" t="str">
        <f>TEXT(Table1[[#This Row],[OrderDate]],"MMMM")</f>
        <v>September</v>
      </c>
      <c r="Z654" s="5">
        <f>YEAR(Table1[[#This Row],[OrderDate]])</f>
        <v>2024</v>
      </c>
    </row>
    <row r="655" spans="1:26" x14ac:dyDescent="0.3">
      <c r="A655" s="1" t="s">
        <v>2209</v>
      </c>
      <c r="B655" t="s">
        <v>466</v>
      </c>
      <c r="C655" s="3">
        <v>56</v>
      </c>
      <c r="D655" s="1" t="s">
        <v>24</v>
      </c>
      <c r="E655" s="1" t="s">
        <v>26</v>
      </c>
      <c r="F655" s="1" t="s">
        <v>53</v>
      </c>
      <c r="G655" s="4">
        <v>45287</v>
      </c>
      <c r="H655" s="4">
        <v>45293</v>
      </c>
      <c r="I655" s="1" t="s">
        <v>77</v>
      </c>
      <c r="J655" s="1" t="s">
        <v>30</v>
      </c>
      <c r="K655" s="3">
        <v>1</v>
      </c>
      <c r="L655" s="2">
        <v>77308</v>
      </c>
      <c r="M655" s="3">
        <v>0</v>
      </c>
      <c r="N655" s="1" t="s">
        <v>31</v>
      </c>
      <c r="O655" s="1" t="s">
        <v>133</v>
      </c>
      <c r="P655" s="1" t="s">
        <v>33</v>
      </c>
      <c r="Q655" s="1" t="s">
        <v>468</v>
      </c>
      <c r="R655" s="1" t="s">
        <v>2210</v>
      </c>
      <c r="S655" s="3">
        <v>4</v>
      </c>
      <c r="T655" s="1" t="s">
        <v>96</v>
      </c>
      <c r="U655" s="3">
        <v>247</v>
      </c>
      <c r="V655" s="1" t="s">
        <v>62</v>
      </c>
      <c r="W655" s="5">
        <f>Table1[[#This Row],[Quantity]]*Table1[[#This Row],[Price]]*(1-Table1[[#This Row],[Discount %]]/100)</f>
        <v>77308</v>
      </c>
      <c r="X655">
        <f>Table1[[#This Row],[DeliveryDate]]-Table1[[#This Row],[OrderDate]]</f>
        <v>6</v>
      </c>
      <c r="Y655" t="str">
        <f>TEXT(Table1[[#This Row],[OrderDate]],"MMMM")</f>
        <v>December</v>
      </c>
      <c r="Z655" s="5">
        <f>YEAR(Table1[[#This Row],[OrderDate]])</f>
        <v>2023</v>
      </c>
    </row>
    <row r="656" spans="1:26" x14ac:dyDescent="0.3">
      <c r="A656" s="1" t="s">
        <v>2211</v>
      </c>
      <c r="B656" t="s">
        <v>689</v>
      </c>
      <c r="C656" s="3">
        <v>24</v>
      </c>
      <c r="D656" s="1" t="s">
        <v>24</v>
      </c>
      <c r="E656" s="1" t="s">
        <v>25</v>
      </c>
      <c r="F656" s="1" t="s">
        <v>82</v>
      </c>
      <c r="G656" s="4">
        <v>45499</v>
      </c>
      <c r="H656" s="4">
        <v>45509</v>
      </c>
      <c r="I656" s="1" t="s">
        <v>77</v>
      </c>
      <c r="J656" s="1" t="s">
        <v>44</v>
      </c>
      <c r="K656" s="3">
        <v>3</v>
      </c>
      <c r="L656" s="2">
        <v>59053</v>
      </c>
      <c r="M656" s="3">
        <v>15</v>
      </c>
      <c r="N656" s="1" t="s">
        <v>56</v>
      </c>
      <c r="O656" s="1" t="s">
        <v>173</v>
      </c>
      <c r="P656" s="1" t="s">
        <v>69</v>
      </c>
      <c r="Q656" s="1" t="s">
        <v>1105</v>
      </c>
      <c r="R656" s="1" t="s">
        <v>2212</v>
      </c>
      <c r="S656" s="3">
        <v>3</v>
      </c>
      <c r="T656" s="1" t="s">
        <v>72</v>
      </c>
      <c r="U656" s="3">
        <v>429</v>
      </c>
      <c r="V656" s="1" t="s">
        <v>79</v>
      </c>
      <c r="W656" s="5">
        <f>Table1[[#This Row],[Quantity]]*Table1[[#This Row],[Price]]*(1-Table1[[#This Row],[Discount %]]/100)</f>
        <v>150585.15</v>
      </c>
      <c r="X656">
        <f>Table1[[#This Row],[DeliveryDate]]-Table1[[#This Row],[OrderDate]]</f>
        <v>10</v>
      </c>
      <c r="Y656" t="str">
        <f>TEXT(Table1[[#This Row],[OrderDate]],"MMMM")</f>
        <v>July</v>
      </c>
      <c r="Z656" s="5">
        <f>YEAR(Table1[[#This Row],[OrderDate]])</f>
        <v>2024</v>
      </c>
    </row>
    <row r="657" spans="1:26" x14ac:dyDescent="0.3">
      <c r="A657" s="1" t="s">
        <v>2213</v>
      </c>
      <c r="B657" t="s">
        <v>209</v>
      </c>
      <c r="C657" s="3">
        <v>47</v>
      </c>
      <c r="D657" s="1" t="s">
        <v>51</v>
      </c>
      <c r="E657" s="1" t="s">
        <v>142</v>
      </c>
      <c r="F657" s="1" t="s">
        <v>82</v>
      </c>
      <c r="G657" s="4">
        <v>45562</v>
      </c>
      <c r="H657" s="4">
        <v>45566</v>
      </c>
      <c r="I657" s="1" t="s">
        <v>85</v>
      </c>
      <c r="J657" s="1" t="s">
        <v>44</v>
      </c>
      <c r="K657" s="3">
        <v>5</v>
      </c>
      <c r="L657" s="2">
        <v>8738</v>
      </c>
      <c r="M657" s="3">
        <v>5</v>
      </c>
      <c r="N657" s="1" t="s">
        <v>166</v>
      </c>
      <c r="O657" s="1" t="s">
        <v>133</v>
      </c>
      <c r="P657" s="1" t="s">
        <v>174</v>
      </c>
      <c r="Q657" s="1" t="s">
        <v>1001</v>
      </c>
      <c r="R657" s="1" t="s">
        <v>3415</v>
      </c>
      <c r="S657" s="3">
        <v>1</v>
      </c>
      <c r="T657" s="1" t="s">
        <v>61</v>
      </c>
      <c r="U657" s="3">
        <v>397</v>
      </c>
      <c r="V657" s="1" t="s">
        <v>62</v>
      </c>
      <c r="W657" s="5">
        <f>Table1[[#This Row],[Quantity]]*Table1[[#This Row],[Price]]*(1-Table1[[#This Row],[Discount %]]/100)</f>
        <v>41505.5</v>
      </c>
      <c r="X657">
        <f>Table1[[#This Row],[DeliveryDate]]-Table1[[#This Row],[OrderDate]]</f>
        <v>4</v>
      </c>
      <c r="Y657" t="str">
        <f>TEXT(Table1[[#This Row],[OrderDate]],"MMMM")</f>
        <v>September</v>
      </c>
      <c r="Z657" s="5">
        <f>YEAR(Table1[[#This Row],[OrderDate]])</f>
        <v>2024</v>
      </c>
    </row>
    <row r="658" spans="1:26" x14ac:dyDescent="0.3">
      <c r="A658" s="1" t="s">
        <v>2214</v>
      </c>
      <c r="B658" t="s">
        <v>707</v>
      </c>
      <c r="C658" s="3">
        <v>39</v>
      </c>
      <c r="D658" s="1" t="s">
        <v>24</v>
      </c>
      <c r="E658" s="1" t="s">
        <v>25</v>
      </c>
      <c r="F658" s="1" t="s">
        <v>65</v>
      </c>
      <c r="G658" s="4">
        <v>45331</v>
      </c>
      <c r="H658" s="4">
        <v>45336</v>
      </c>
      <c r="I658" s="1" t="s">
        <v>29</v>
      </c>
      <c r="J658" s="1" t="s">
        <v>44</v>
      </c>
      <c r="K658" s="3">
        <v>5</v>
      </c>
      <c r="L658" s="2">
        <v>18021</v>
      </c>
      <c r="M658" s="3">
        <v>0</v>
      </c>
      <c r="N658" s="1" t="s">
        <v>166</v>
      </c>
      <c r="O658" s="1" t="s">
        <v>32</v>
      </c>
      <c r="P658" s="1" t="s">
        <v>33</v>
      </c>
      <c r="Q658" s="1" t="s">
        <v>709</v>
      </c>
      <c r="R658" s="1" t="s">
        <v>2215</v>
      </c>
      <c r="S658" s="3">
        <v>1</v>
      </c>
      <c r="T658" s="1" t="s">
        <v>72</v>
      </c>
      <c r="U658" s="3">
        <v>417</v>
      </c>
      <c r="V658" s="1" t="s">
        <v>37</v>
      </c>
      <c r="W658" s="5">
        <f>Table1[[#This Row],[Quantity]]*Table1[[#This Row],[Price]]*(1-Table1[[#This Row],[Discount %]]/100)</f>
        <v>90105</v>
      </c>
      <c r="X658">
        <f>Table1[[#This Row],[DeliveryDate]]-Table1[[#This Row],[OrderDate]]</f>
        <v>5</v>
      </c>
      <c r="Y658" t="str">
        <f>TEXT(Table1[[#This Row],[OrderDate]],"MMMM")</f>
        <v>February</v>
      </c>
      <c r="Z658" s="5">
        <f>YEAR(Table1[[#This Row],[OrderDate]])</f>
        <v>2024</v>
      </c>
    </row>
    <row r="659" spans="1:26" x14ac:dyDescent="0.3">
      <c r="A659" s="1" t="s">
        <v>2216</v>
      </c>
      <c r="B659" t="s">
        <v>933</v>
      </c>
      <c r="C659" s="3">
        <v>36</v>
      </c>
      <c r="D659" s="1" t="s">
        <v>51</v>
      </c>
      <c r="E659" s="1" t="s">
        <v>99</v>
      </c>
      <c r="F659" s="1" t="s">
        <v>82</v>
      </c>
      <c r="G659" s="4">
        <v>45070</v>
      </c>
      <c r="H659" s="4">
        <v>45071</v>
      </c>
      <c r="I659" s="1" t="s">
        <v>29</v>
      </c>
      <c r="J659" s="1" t="s">
        <v>44</v>
      </c>
      <c r="K659" s="3">
        <v>3</v>
      </c>
      <c r="L659" s="2">
        <v>57460</v>
      </c>
      <c r="M659" s="3">
        <v>5</v>
      </c>
      <c r="N659" s="1" t="s">
        <v>31</v>
      </c>
      <c r="O659" s="1" t="s">
        <v>133</v>
      </c>
      <c r="P659" s="1" t="s">
        <v>58</v>
      </c>
      <c r="Q659" s="1" t="s">
        <v>935</v>
      </c>
      <c r="R659" s="1" t="s">
        <v>2217</v>
      </c>
      <c r="S659" s="3">
        <v>5</v>
      </c>
      <c r="T659" s="1" t="s">
        <v>36</v>
      </c>
      <c r="U659" s="3">
        <v>338</v>
      </c>
      <c r="V659" s="1" t="s">
        <v>37</v>
      </c>
      <c r="W659" s="5">
        <f>Table1[[#This Row],[Quantity]]*Table1[[#This Row],[Price]]*(1-Table1[[#This Row],[Discount %]]/100)</f>
        <v>163761</v>
      </c>
      <c r="X659">
        <f>Table1[[#This Row],[DeliveryDate]]-Table1[[#This Row],[OrderDate]]</f>
        <v>1</v>
      </c>
      <c r="Y659" t="str">
        <f>TEXT(Table1[[#This Row],[OrderDate]],"MMMM")</f>
        <v>May</v>
      </c>
      <c r="Z659" s="5">
        <f>YEAR(Table1[[#This Row],[OrderDate]])</f>
        <v>2023</v>
      </c>
    </row>
    <row r="660" spans="1:26" x14ac:dyDescent="0.3">
      <c r="A660" s="1" t="s">
        <v>2218</v>
      </c>
      <c r="B660" t="s">
        <v>228</v>
      </c>
      <c r="C660" s="3">
        <v>56</v>
      </c>
      <c r="D660" s="1" t="s">
        <v>24</v>
      </c>
      <c r="E660" s="1" t="s">
        <v>99</v>
      </c>
      <c r="F660" s="1" t="s">
        <v>65</v>
      </c>
      <c r="G660" s="4">
        <v>45064</v>
      </c>
      <c r="H660" s="4">
        <v>45074</v>
      </c>
      <c r="I660" s="1" t="s">
        <v>93</v>
      </c>
      <c r="J660" s="1" t="s">
        <v>30</v>
      </c>
      <c r="K660" s="3">
        <v>3</v>
      </c>
      <c r="L660" s="2">
        <v>46821</v>
      </c>
      <c r="M660" s="3">
        <v>10</v>
      </c>
      <c r="N660" s="1" t="s">
        <v>31</v>
      </c>
      <c r="O660" s="1" t="s">
        <v>281</v>
      </c>
      <c r="P660" s="1" t="s">
        <v>33</v>
      </c>
      <c r="Q660" s="1" t="s">
        <v>3415</v>
      </c>
      <c r="R660" s="1" t="s">
        <v>2219</v>
      </c>
      <c r="S660" s="3">
        <v>4</v>
      </c>
      <c r="T660" s="1" t="s">
        <v>72</v>
      </c>
      <c r="U660" s="3">
        <v>446</v>
      </c>
      <c r="V660" s="1" t="s">
        <v>37</v>
      </c>
      <c r="W660" s="5">
        <f>Table1[[#This Row],[Quantity]]*Table1[[#This Row],[Price]]*(1-Table1[[#This Row],[Discount %]]/100)</f>
        <v>126416.7</v>
      </c>
      <c r="X660">
        <f>Table1[[#This Row],[DeliveryDate]]-Table1[[#This Row],[OrderDate]]</f>
        <v>10</v>
      </c>
      <c r="Y660" t="str">
        <f>TEXT(Table1[[#This Row],[OrderDate]],"MMMM")</f>
        <v>May</v>
      </c>
      <c r="Z660" s="5">
        <f>YEAR(Table1[[#This Row],[OrderDate]])</f>
        <v>2023</v>
      </c>
    </row>
    <row r="661" spans="1:26" x14ac:dyDescent="0.3">
      <c r="A661" s="1" t="s">
        <v>2220</v>
      </c>
      <c r="B661" t="s">
        <v>222</v>
      </c>
      <c r="C661" s="3">
        <v>23</v>
      </c>
      <c r="D661" s="1" t="s">
        <v>51</v>
      </c>
      <c r="E661" s="1" t="s">
        <v>99</v>
      </c>
      <c r="F661" s="1" t="s">
        <v>26</v>
      </c>
      <c r="G661" s="4">
        <v>45042</v>
      </c>
      <c r="H661" s="4">
        <v>45051</v>
      </c>
      <c r="I661" s="1" t="s">
        <v>29</v>
      </c>
      <c r="J661" s="1" t="s">
        <v>30</v>
      </c>
      <c r="K661" s="3">
        <v>3</v>
      </c>
      <c r="L661" s="2">
        <v>9413</v>
      </c>
      <c r="M661" s="3">
        <v>15</v>
      </c>
      <c r="N661" s="1" t="s">
        <v>31</v>
      </c>
      <c r="O661" s="1" t="s">
        <v>133</v>
      </c>
      <c r="P661" s="1" t="s">
        <v>58</v>
      </c>
      <c r="Q661" s="1" t="s">
        <v>225</v>
      </c>
      <c r="R661" s="1" t="s">
        <v>2221</v>
      </c>
      <c r="S661" s="3">
        <v>4</v>
      </c>
      <c r="T661" s="1" t="s">
        <v>72</v>
      </c>
      <c r="U661" s="3">
        <v>203</v>
      </c>
      <c r="V661" s="1" t="s">
        <v>79</v>
      </c>
      <c r="W661" s="5">
        <f>Table1[[#This Row],[Quantity]]*Table1[[#This Row],[Price]]*(1-Table1[[#This Row],[Discount %]]/100)</f>
        <v>24003.149999999998</v>
      </c>
      <c r="X661">
        <f>Table1[[#This Row],[DeliveryDate]]-Table1[[#This Row],[OrderDate]]</f>
        <v>9</v>
      </c>
      <c r="Y661" t="str">
        <f>TEXT(Table1[[#This Row],[OrderDate]],"MMMM")</f>
        <v>April</v>
      </c>
      <c r="Z661" s="5">
        <f>YEAR(Table1[[#This Row],[OrderDate]])</f>
        <v>2023</v>
      </c>
    </row>
    <row r="662" spans="1:26" x14ac:dyDescent="0.3">
      <c r="A662" s="1" t="s">
        <v>2222</v>
      </c>
      <c r="B662" t="s">
        <v>850</v>
      </c>
      <c r="C662" s="3">
        <v>50</v>
      </c>
      <c r="D662" s="1" t="s">
        <v>51</v>
      </c>
      <c r="E662" s="1" t="s">
        <v>229</v>
      </c>
      <c r="F662" s="1" t="s">
        <v>26</v>
      </c>
      <c r="G662" s="4">
        <v>45571</v>
      </c>
      <c r="H662" s="4">
        <v>45573</v>
      </c>
      <c r="I662" s="1" t="s">
        <v>85</v>
      </c>
      <c r="J662" s="1" t="s">
        <v>30</v>
      </c>
      <c r="K662" s="3">
        <v>3</v>
      </c>
      <c r="L662" s="2">
        <v>11791</v>
      </c>
      <c r="M662" s="3">
        <v>5</v>
      </c>
      <c r="N662" s="1" t="s">
        <v>56</v>
      </c>
      <c r="O662" s="1" t="s">
        <v>46</v>
      </c>
      <c r="P662" s="1" t="s">
        <v>33</v>
      </c>
      <c r="Q662" s="1" t="s">
        <v>258</v>
      </c>
      <c r="R662" s="1" t="s">
        <v>2224</v>
      </c>
      <c r="S662" s="3">
        <v>4</v>
      </c>
      <c r="T662" s="1" t="s">
        <v>61</v>
      </c>
      <c r="U662" s="3">
        <v>59</v>
      </c>
      <c r="V662" s="1" t="s">
        <v>37</v>
      </c>
      <c r="W662" s="5">
        <f>Table1[[#This Row],[Quantity]]*Table1[[#This Row],[Price]]*(1-Table1[[#This Row],[Discount %]]/100)</f>
        <v>33604.35</v>
      </c>
      <c r="X662">
        <f>Table1[[#This Row],[DeliveryDate]]-Table1[[#This Row],[OrderDate]]</f>
        <v>2</v>
      </c>
      <c r="Y662" t="str">
        <f>TEXT(Table1[[#This Row],[OrderDate]],"MMMM")</f>
        <v>October</v>
      </c>
      <c r="Z662" s="5">
        <f>YEAR(Table1[[#This Row],[OrderDate]])</f>
        <v>2024</v>
      </c>
    </row>
    <row r="663" spans="1:26" x14ac:dyDescent="0.3">
      <c r="A663" s="1" t="s">
        <v>2225</v>
      </c>
      <c r="B663" t="s">
        <v>1045</v>
      </c>
      <c r="C663" s="3">
        <v>55</v>
      </c>
      <c r="D663" s="1" t="s">
        <v>51</v>
      </c>
      <c r="E663" s="1" t="s">
        <v>25</v>
      </c>
      <c r="F663" s="1" t="s">
        <v>26</v>
      </c>
      <c r="G663" s="4">
        <v>45012</v>
      </c>
      <c r="H663" s="4">
        <v>45014</v>
      </c>
      <c r="I663" s="1" t="s">
        <v>43</v>
      </c>
      <c r="J663" s="1" t="s">
        <v>44</v>
      </c>
      <c r="K663" s="3">
        <v>2.9447852760736195</v>
      </c>
      <c r="L663" s="2">
        <v>37780</v>
      </c>
      <c r="M663" s="3">
        <v>0</v>
      </c>
      <c r="N663" s="1" t="s">
        <v>31</v>
      </c>
      <c r="O663" s="1" t="s">
        <v>102</v>
      </c>
      <c r="P663" s="1" t="s">
        <v>69</v>
      </c>
      <c r="Q663" s="1" t="s">
        <v>1048</v>
      </c>
      <c r="R663" s="1" t="s">
        <v>2226</v>
      </c>
      <c r="S663" s="3">
        <v>5</v>
      </c>
      <c r="T663" s="1" t="s">
        <v>61</v>
      </c>
      <c r="U663" s="3">
        <v>351</v>
      </c>
      <c r="V663" s="1" t="s">
        <v>62</v>
      </c>
      <c r="W663" s="5">
        <f>Table1[[#This Row],[Quantity]]*Table1[[#This Row],[Price]]*(1-Table1[[#This Row],[Discount %]]/100)</f>
        <v>111253.98773006134</v>
      </c>
      <c r="X663">
        <f>Table1[[#This Row],[DeliveryDate]]-Table1[[#This Row],[OrderDate]]</f>
        <v>2</v>
      </c>
      <c r="Y663" t="str">
        <f>TEXT(Table1[[#This Row],[OrderDate]],"MMMM")</f>
        <v>March</v>
      </c>
      <c r="Z663" s="5">
        <f>YEAR(Table1[[#This Row],[OrderDate]])</f>
        <v>2023</v>
      </c>
    </row>
    <row r="664" spans="1:26" x14ac:dyDescent="0.3">
      <c r="A664" s="1" t="s">
        <v>2227</v>
      </c>
      <c r="B664" t="s">
        <v>1876</v>
      </c>
      <c r="C664" s="3">
        <v>36</v>
      </c>
      <c r="D664" s="1" t="s">
        <v>51</v>
      </c>
      <c r="E664" s="1" t="s">
        <v>142</v>
      </c>
      <c r="F664" s="1" t="s">
        <v>26</v>
      </c>
      <c r="G664" s="4">
        <v>45325</v>
      </c>
      <c r="H664" s="4">
        <v>45328</v>
      </c>
      <c r="I664" s="1" t="s">
        <v>85</v>
      </c>
      <c r="J664" s="1" t="s">
        <v>44</v>
      </c>
      <c r="K664" s="3">
        <v>1</v>
      </c>
      <c r="L664" s="2">
        <v>13078</v>
      </c>
      <c r="M664" s="3">
        <v>10</v>
      </c>
      <c r="N664" s="1" t="s">
        <v>45</v>
      </c>
      <c r="O664" s="1" t="s">
        <v>281</v>
      </c>
      <c r="P664" s="1" t="s">
        <v>58</v>
      </c>
      <c r="Q664" s="1" t="s">
        <v>1427</v>
      </c>
      <c r="R664" s="1" t="s">
        <v>2229</v>
      </c>
      <c r="S664" s="3">
        <v>4</v>
      </c>
      <c r="T664" s="1" t="s">
        <v>61</v>
      </c>
      <c r="U664" s="3">
        <v>329</v>
      </c>
      <c r="V664" s="1" t="s">
        <v>37</v>
      </c>
      <c r="W664" s="5">
        <f>Table1[[#This Row],[Quantity]]*Table1[[#This Row],[Price]]*(1-Table1[[#This Row],[Discount %]]/100)</f>
        <v>11770.2</v>
      </c>
      <c r="X664">
        <f>Table1[[#This Row],[DeliveryDate]]-Table1[[#This Row],[OrderDate]]</f>
        <v>3</v>
      </c>
      <c r="Y664" t="str">
        <f>TEXT(Table1[[#This Row],[OrderDate]],"MMMM")</f>
        <v>February</v>
      </c>
      <c r="Z664" s="5">
        <f>YEAR(Table1[[#This Row],[OrderDate]])</f>
        <v>2024</v>
      </c>
    </row>
    <row r="665" spans="1:26" x14ac:dyDescent="0.3">
      <c r="A665" s="1" t="s">
        <v>2230</v>
      </c>
      <c r="B665" t="s">
        <v>803</v>
      </c>
      <c r="C665" s="3">
        <v>37</v>
      </c>
      <c r="D665" s="1" t="s">
        <v>24</v>
      </c>
      <c r="E665" s="1" t="s">
        <v>142</v>
      </c>
      <c r="F665" s="1" t="s">
        <v>65</v>
      </c>
      <c r="G665" s="4">
        <v>45487</v>
      </c>
      <c r="H665" s="4">
        <v>45489</v>
      </c>
      <c r="I665" s="1" t="s">
        <v>29</v>
      </c>
      <c r="J665" s="1" t="s">
        <v>44</v>
      </c>
      <c r="K665" s="3">
        <v>4</v>
      </c>
      <c r="L665" s="2">
        <v>37537</v>
      </c>
      <c r="M665" s="3">
        <v>0</v>
      </c>
      <c r="N665" s="1" t="s">
        <v>31</v>
      </c>
      <c r="O665" s="1" t="s">
        <v>68</v>
      </c>
      <c r="P665" s="1" t="s">
        <v>174</v>
      </c>
      <c r="Q665" s="1" t="s">
        <v>3415</v>
      </c>
      <c r="R665" s="1" t="s">
        <v>2231</v>
      </c>
      <c r="S665" s="3">
        <v>4</v>
      </c>
      <c r="T665" s="1" t="s">
        <v>72</v>
      </c>
      <c r="U665" s="3">
        <v>90</v>
      </c>
      <c r="V665" s="1" t="s">
        <v>62</v>
      </c>
      <c r="W665" s="5">
        <f>Table1[[#This Row],[Quantity]]*Table1[[#This Row],[Price]]*(1-Table1[[#This Row],[Discount %]]/100)</f>
        <v>150148</v>
      </c>
      <c r="X665">
        <f>Table1[[#This Row],[DeliveryDate]]-Table1[[#This Row],[OrderDate]]</f>
        <v>2</v>
      </c>
      <c r="Y665" t="str">
        <f>TEXT(Table1[[#This Row],[OrderDate]],"MMMM")</f>
        <v>July</v>
      </c>
      <c r="Z665" s="5">
        <f>YEAR(Table1[[#This Row],[OrderDate]])</f>
        <v>2024</v>
      </c>
    </row>
    <row r="666" spans="1:26" x14ac:dyDescent="0.3">
      <c r="A666" s="1" t="s">
        <v>2232</v>
      </c>
      <c r="B666" t="s">
        <v>840</v>
      </c>
      <c r="C666" s="3">
        <v>51</v>
      </c>
      <c r="D666" s="1" t="s">
        <v>24</v>
      </c>
      <c r="E666" s="1" t="s">
        <v>25</v>
      </c>
      <c r="F666" s="1" t="s">
        <v>82</v>
      </c>
      <c r="G666" s="4">
        <v>45365</v>
      </c>
      <c r="H666" s="4">
        <v>45367</v>
      </c>
      <c r="I666" s="1" t="s">
        <v>43</v>
      </c>
      <c r="J666" s="1" t="s">
        <v>30</v>
      </c>
      <c r="K666" s="3">
        <v>3</v>
      </c>
      <c r="L666" s="2">
        <v>12452</v>
      </c>
      <c r="M666" s="3">
        <v>0</v>
      </c>
      <c r="N666" s="1" t="s">
        <v>45</v>
      </c>
      <c r="O666" s="1" t="s">
        <v>68</v>
      </c>
      <c r="P666" s="1" t="s">
        <v>174</v>
      </c>
      <c r="Q666" s="1" t="s">
        <v>1147</v>
      </c>
      <c r="R666" s="1" t="s">
        <v>3415</v>
      </c>
      <c r="S666" s="3">
        <v>1</v>
      </c>
      <c r="T666" s="1" t="s">
        <v>61</v>
      </c>
      <c r="U666" s="3">
        <v>274</v>
      </c>
      <c r="V666" s="1" t="s">
        <v>79</v>
      </c>
      <c r="W666" s="5">
        <f>Table1[[#This Row],[Quantity]]*Table1[[#This Row],[Price]]*(1-Table1[[#This Row],[Discount %]]/100)</f>
        <v>37356</v>
      </c>
      <c r="X666">
        <f>Table1[[#This Row],[DeliveryDate]]-Table1[[#This Row],[OrderDate]]</f>
        <v>2</v>
      </c>
      <c r="Y666" t="str">
        <f>TEXT(Table1[[#This Row],[OrderDate]],"MMMM")</f>
        <v>March</v>
      </c>
      <c r="Z666" s="5">
        <f>YEAR(Table1[[#This Row],[OrderDate]])</f>
        <v>2024</v>
      </c>
    </row>
    <row r="667" spans="1:26" x14ac:dyDescent="0.3">
      <c r="A667" s="1" t="s">
        <v>2235</v>
      </c>
      <c r="B667" t="s">
        <v>119</v>
      </c>
      <c r="C667" s="3">
        <v>59</v>
      </c>
      <c r="D667" s="1" t="s">
        <v>24</v>
      </c>
      <c r="E667" s="1" t="s">
        <v>25</v>
      </c>
      <c r="F667" s="1" t="s">
        <v>82</v>
      </c>
      <c r="G667" s="4">
        <v>45401</v>
      </c>
      <c r="H667" s="4">
        <v>45408</v>
      </c>
      <c r="I667" s="1" t="s">
        <v>85</v>
      </c>
      <c r="J667" s="1" t="s">
        <v>30</v>
      </c>
      <c r="K667" s="3">
        <v>5</v>
      </c>
      <c r="L667" s="2">
        <v>60647</v>
      </c>
      <c r="M667" s="3">
        <v>15</v>
      </c>
      <c r="N667" s="1" t="s">
        <v>166</v>
      </c>
      <c r="O667" s="1" t="s">
        <v>102</v>
      </c>
      <c r="P667" s="1" t="s">
        <v>58</v>
      </c>
      <c r="Q667" s="1" t="s">
        <v>122</v>
      </c>
      <c r="R667" s="1" t="s">
        <v>2237</v>
      </c>
      <c r="S667" s="3">
        <v>2</v>
      </c>
      <c r="T667" s="1" t="s">
        <v>72</v>
      </c>
      <c r="U667" s="3">
        <v>326</v>
      </c>
      <c r="V667" s="1" t="s">
        <v>79</v>
      </c>
      <c r="W667" s="5">
        <f>Table1[[#This Row],[Quantity]]*Table1[[#This Row],[Price]]*(1-Table1[[#This Row],[Discount %]]/100)</f>
        <v>257749.75</v>
      </c>
      <c r="X667">
        <f>Table1[[#This Row],[DeliveryDate]]-Table1[[#This Row],[OrderDate]]</f>
        <v>7</v>
      </c>
      <c r="Y667" t="str">
        <f>TEXT(Table1[[#This Row],[OrderDate]],"MMMM")</f>
        <v>April</v>
      </c>
      <c r="Z667" s="5">
        <f>YEAR(Table1[[#This Row],[OrderDate]])</f>
        <v>2024</v>
      </c>
    </row>
    <row r="668" spans="1:26" x14ac:dyDescent="0.3">
      <c r="A668" s="1" t="s">
        <v>2238</v>
      </c>
      <c r="B668" t="s">
        <v>1008</v>
      </c>
      <c r="C668" s="3">
        <v>59</v>
      </c>
      <c r="D668" s="1" t="s">
        <v>51</v>
      </c>
      <c r="E668" s="1" t="s">
        <v>99</v>
      </c>
      <c r="F668" s="1" t="s">
        <v>91</v>
      </c>
      <c r="G668" s="4">
        <v>45225</v>
      </c>
      <c r="H668" s="4">
        <v>45235</v>
      </c>
      <c r="I668" s="1" t="s">
        <v>93</v>
      </c>
      <c r="J668" s="1" t="s">
        <v>44</v>
      </c>
      <c r="K668" s="3">
        <v>4</v>
      </c>
      <c r="L668" s="2">
        <v>42109.716287215415</v>
      </c>
      <c r="M668" s="3">
        <v>10</v>
      </c>
      <c r="N668" s="1" t="s">
        <v>31</v>
      </c>
      <c r="O668" s="1" t="s">
        <v>102</v>
      </c>
      <c r="P668" s="1" t="s">
        <v>33</v>
      </c>
      <c r="Q668" s="1" t="s">
        <v>1011</v>
      </c>
      <c r="R668" s="1" t="s">
        <v>2240</v>
      </c>
      <c r="S668" s="3">
        <v>4</v>
      </c>
      <c r="T668" s="1" t="s">
        <v>61</v>
      </c>
      <c r="U668" s="3">
        <v>93</v>
      </c>
      <c r="V668" s="1" t="s">
        <v>79</v>
      </c>
      <c r="W668" s="5">
        <f>Table1[[#This Row],[Quantity]]*Table1[[#This Row],[Price]]*(1-Table1[[#This Row],[Discount %]]/100)</f>
        <v>151594.97863397549</v>
      </c>
      <c r="X668">
        <f>Table1[[#This Row],[DeliveryDate]]-Table1[[#This Row],[OrderDate]]</f>
        <v>10</v>
      </c>
      <c r="Y668" t="str">
        <f>TEXT(Table1[[#This Row],[OrderDate]],"MMMM")</f>
        <v>October</v>
      </c>
      <c r="Z668" s="5">
        <f>YEAR(Table1[[#This Row],[OrderDate]])</f>
        <v>2023</v>
      </c>
    </row>
    <row r="669" spans="1:26" x14ac:dyDescent="0.3">
      <c r="A669" s="1" t="s">
        <v>2241</v>
      </c>
      <c r="B669" t="s">
        <v>650</v>
      </c>
      <c r="C669" s="3">
        <v>53</v>
      </c>
      <c r="D669" s="1" t="s">
        <v>51</v>
      </c>
      <c r="E669" s="1" t="s">
        <v>25</v>
      </c>
      <c r="F669" s="1" t="s">
        <v>65</v>
      </c>
      <c r="G669" s="4">
        <v>45161</v>
      </c>
      <c r="H669" s="4">
        <v>45169</v>
      </c>
      <c r="I669" s="1" t="s">
        <v>29</v>
      </c>
      <c r="J669" s="1" t="s">
        <v>30</v>
      </c>
      <c r="K669" s="3">
        <v>1</v>
      </c>
      <c r="L669" s="2">
        <v>11160</v>
      </c>
      <c r="M669" s="3">
        <v>10</v>
      </c>
      <c r="N669" s="1" t="s">
        <v>166</v>
      </c>
      <c r="O669" s="1" t="s">
        <v>102</v>
      </c>
      <c r="P669" s="1" t="s">
        <v>58</v>
      </c>
      <c r="Q669" s="1" t="s">
        <v>653</v>
      </c>
      <c r="R669" s="1" t="s">
        <v>2243</v>
      </c>
      <c r="S669" s="3">
        <v>1</v>
      </c>
      <c r="T669" s="1" t="s">
        <v>72</v>
      </c>
      <c r="U669" s="3">
        <v>429</v>
      </c>
      <c r="V669" s="1" t="s">
        <v>79</v>
      </c>
      <c r="W669" s="5">
        <f>Table1[[#This Row],[Quantity]]*Table1[[#This Row],[Price]]*(1-Table1[[#This Row],[Discount %]]/100)</f>
        <v>10044</v>
      </c>
      <c r="X669">
        <f>Table1[[#This Row],[DeliveryDate]]-Table1[[#This Row],[OrderDate]]</f>
        <v>8</v>
      </c>
      <c r="Y669" t="str">
        <f>TEXT(Table1[[#This Row],[OrderDate]],"MMMM")</f>
        <v>August</v>
      </c>
      <c r="Z669" s="5">
        <f>YEAR(Table1[[#This Row],[OrderDate]])</f>
        <v>2023</v>
      </c>
    </row>
    <row r="670" spans="1:26" x14ac:dyDescent="0.3">
      <c r="A670" s="1" t="s">
        <v>2244</v>
      </c>
      <c r="B670" t="s">
        <v>689</v>
      </c>
      <c r="C670" s="3">
        <v>42</v>
      </c>
      <c r="D670" s="1" t="s">
        <v>51</v>
      </c>
      <c r="E670" s="1" t="s">
        <v>52</v>
      </c>
      <c r="F670" s="1" t="s">
        <v>65</v>
      </c>
      <c r="G670" s="4">
        <v>45053</v>
      </c>
      <c r="H670" s="4">
        <v>45059</v>
      </c>
      <c r="I670" s="1" t="s">
        <v>77</v>
      </c>
      <c r="J670" s="1" t="s">
        <v>30</v>
      </c>
      <c r="K670" s="3">
        <v>2.9447852760736195</v>
      </c>
      <c r="L670" s="2">
        <v>39890</v>
      </c>
      <c r="M670" s="3">
        <v>10</v>
      </c>
      <c r="N670" s="1" t="s">
        <v>166</v>
      </c>
      <c r="O670" s="1" t="s">
        <v>32</v>
      </c>
      <c r="P670" s="1" t="s">
        <v>69</v>
      </c>
      <c r="Q670" s="1" t="s">
        <v>1105</v>
      </c>
      <c r="R670" s="1" t="s">
        <v>2246</v>
      </c>
      <c r="S670" s="3">
        <v>2</v>
      </c>
      <c r="T670" s="1" t="s">
        <v>61</v>
      </c>
      <c r="U670" s="3">
        <v>287</v>
      </c>
      <c r="V670" s="1" t="s">
        <v>62</v>
      </c>
      <c r="W670" s="5">
        <f>Table1[[#This Row],[Quantity]]*Table1[[#This Row],[Price]]*(1-Table1[[#This Row],[Discount %]]/100)</f>
        <v>105720.73619631902</v>
      </c>
      <c r="X670">
        <f>Table1[[#This Row],[DeliveryDate]]-Table1[[#This Row],[OrderDate]]</f>
        <v>6</v>
      </c>
      <c r="Y670" t="str">
        <f>TEXT(Table1[[#This Row],[OrderDate]],"MMMM")</f>
        <v>May</v>
      </c>
      <c r="Z670" s="5">
        <f>YEAR(Table1[[#This Row],[OrderDate]])</f>
        <v>2023</v>
      </c>
    </row>
    <row r="671" spans="1:26" x14ac:dyDescent="0.3">
      <c r="A671" s="1" t="s">
        <v>2247</v>
      </c>
      <c r="B671" t="s">
        <v>637</v>
      </c>
      <c r="C671" s="3">
        <v>43</v>
      </c>
      <c r="D671" s="1" t="s">
        <v>24</v>
      </c>
      <c r="E671" s="1" t="s">
        <v>52</v>
      </c>
      <c r="F671" s="1" t="s">
        <v>91</v>
      </c>
      <c r="G671" s="4">
        <v>45620</v>
      </c>
      <c r="H671" s="4">
        <v>45626</v>
      </c>
      <c r="I671" s="1" t="s">
        <v>93</v>
      </c>
      <c r="J671" s="1" t="s">
        <v>30</v>
      </c>
      <c r="K671" s="3">
        <v>3</v>
      </c>
      <c r="L671" s="2">
        <v>55797</v>
      </c>
      <c r="M671" s="3">
        <v>15</v>
      </c>
      <c r="N671" s="1" t="s">
        <v>56</v>
      </c>
      <c r="O671" s="1" t="s">
        <v>133</v>
      </c>
      <c r="P671" s="1" t="s">
        <v>174</v>
      </c>
      <c r="Q671" s="1" t="s">
        <v>2248</v>
      </c>
      <c r="R671" s="1" t="s">
        <v>2249</v>
      </c>
      <c r="S671" s="3">
        <v>2</v>
      </c>
      <c r="T671" s="1" t="s">
        <v>96</v>
      </c>
      <c r="U671" s="3">
        <v>164</v>
      </c>
      <c r="V671" s="1" t="s">
        <v>62</v>
      </c>
      <c r="W671" s="5">
        <f>Table1[[#This Row],[Quantity]]*Table1[[#This Row],[Price]]*(1-Table1[[#This Row],[Discount %]]/100)</f>
        <v>142282.35</v>
      </c>
      <c r="X671">
        <f>Table1[[#This Row],[DeliveryDate]]-Table1[[#This Row],[OrderDate]]</f>
        <v>6</v>
      </c>
      <c r="Y671" t="str">
        <f>TEXT(Table1[[#This Row],[OrderDate]],"MMMM")</f>
        <v>November</v>
      </c>
      <c r="Z671" s="5">
        <f>YEAR(Table1[[#This Row],[OrderDate]])</f>
        <v>2024</v>
      </c>
    </row>
    <row r="672" spans="1:26" x14ac:dyDescent="0.3">
      <c r="A672" s="1" t="s">
        <v>2250</v>
      </c>
      <c r="B672" t="s">
        <v>216</v>
      </c>
      <c r="C672" s="3">
        <v>44</v>
      </c>
      <c r="D672" s="1" t="s">
        <v>51</v>
      </c>
      <c r="E672" s="1" t="s">
        <v>25</v>
      </c>
      <c r="F672" s="1" t="s">
        <v>65</v>
      </c>
      <c r="G672" s="4">
        <v>45279</v>
      </c>
      <c r="H672" s="4">
        <v>45282</v>
      </c>
      <c r="I672" s="1" t="s">
        <v>93</v>
      </c>
      <c r="J672" s="1" t="s">
        <v>44</v>
      </c>
      <c r="K672" s="3">
        <v>2</v>
      </c>
      <c r="L672" s="2">
        <v>21697</v>
      </c>
      <c r="M672" s="3">
        <v>15</v>
      </c>
      <c r="N672" s="1" t="s">
        <v>31</v>
      </c>
      <c r="O672" s="1" t="s">
        <v>281</v>
      </c>
      <c r="P672" s="1" t="s">
        <v>58</v>
      </c>
      <c r="Q672" s="1" t="s">
        <v>219</v>
      </c>
      <c r="R672" s="1" t="s">
        <v>2251</v>
      </c>
      <c r="S672" s="3">
        <v>5</v>
      </c>
      <c r="T672" s="1" t="s">
        <v>72</v>
      </c>
      <c r="U672" s="3">
        <v>364</v>
      </c>
      <c r="V672" s="1" t="s">
        <v>79</v>
      </c>
      <c r="W672" s="5">
        <f>Table1[[#This Row],[Quantity]]*Table1[[#This Row],[Price]]*(1-Table1[[#This Row],[Discount %]]/100)</f>
        <v>36884.9</v>
      </c>
      <c r="X672">
        <f>Table1[[#This Row],[DeliveryDate]]-Table1[[#This Row],[OrderDate]]</f>
        <v>3</v>
      </c>
      <c r="Y672" t="str">
        <f>TEXT(Table1[[#This Row],[OrderDate]],"MMMM")</f>
        <v>December</v>
      </c>
      <c r="Z672" s="5">
        <f>YEAR(Table1[[#This Row],[OrderDate]])</f>
        <v>2023</v>
      </c>
    </row>
    <row r="673" spans="1:26" x14ac:dyDescent="0.3">
      <c r="A673" s="1" t="s">
        <v>2252</v>
      </c>
      <c r="B673" t="s">
        <v>344</v>
      </c>
      <c r="C673" s="3">
        <v>40</v>
      </c>
      <c r="D673" s="1" t="s">
        <v>24</v>
      </c>
      <c r="E673" s="1" t="s">
        <v>131</v>
      </c>
      <c r="F673" s="1" t="s">
        <v>65</v>
      </c>
      <c r="G673" s="4">
        <v>45083</v>
      </c>
      <c r="H673" s="4">
        <v>45086</v>
      </c>
      <c r="I673" s="1" t="s">
        <v>29</v>
      </c>
      <c r="J673" s="1" t="s">
        <v>30</v>
      </c>
      <c r="K673" s="3">
        <v>4</v>
      </c>
      <c r="L673" s="2">
        <v>47420</v>
      </c>
      <c r="M673" s="3">
        <v>0</v>
      </c>
      <c r="N673" s="1" t="s">
        <v>31</v>
      </c>
      <c r="O673" s="1" t="s">
        <v>102</v>
      </c>
      <c r="P673" s="1" t="s">
        <v>69</v>
      </c>
      <c r="Q673" s="1" t="s">
        <v>3415</v>
      </c>
      <c r="R673" s="1" t="s">
        <v>2253</v>
      </c>
      <c r="S673" s="3">
        <v>5</v>
      </c>
      <c r="T673" s="1" t="s">
        <v>72</v>
      </c>
      <c r="U673" s="3">
        <v>479</v>
      </c>
      <c r="V673" s="1" t="s">
        <v>62</v>
      </c>
      <c r="W673" s="5">
        <f>Table1[[#This Row],[Quantity]]*Table1[[#This Row],[Price]]*(1-Table1[[#This Row],[Discount %]]/100)</f>
        <v>189680</v>
      </c>
      <c r="X673">
        <f>Table1[[#This Row],[DeliveryDate]]-Table1[[#This Row],[OrderDate]]</f>
        <v>3</v>
      </c>
      <c r="Y673" t="str">
        <f>TEXT(Table1[[#This Row],[OrderDate]],"MMMM")</f>
        <v>June</v>
      </c>
      <c r="Z673" s="5">
        <f>YEAR(Table1[[#This Row],[OrderDate]])</f>
        <v>2023</v>
      </c>
    </row>
    <row r="674" spans="1:26" x14ac:dyDescent="0.3">
      <c r="A674" s="1" t="s">
        <v>2254</v>
      </c>
      <c r="B674" t="s">
        <v>637</v>
      </c>
      <c r="C674" s="3">
        <v>25</v>
      </c>
      <c r="D674" s="1" t="s">
        <v>51</v>
      </c>
      <c r="E674" s="1" t="s">
        <v>229</v>
      </c>
      <c r="F674" s="1" t="s">
        <v>53</v>
      </c>
      <c r="G674" s="4">
        <v>45484</v>
      </c>
      <c r="H674" s="4">
        <v>45490</v>
      </c>
      <c r="I674" s="1" t="s">
        <v>43</v>
      </c>
      <c r="J674" s="1" t="s">
        <v>44</v>
      </c>
      <c r="K674" s="3">
        <v>3</v>
      </c>
      <c r="L674" s="2">
        <v>70579</v>
      </c>
      <c r="M674" s="3">
        <v>15</v>
      </c>
      <c r="N674" s="1" t="s">
        <v>31</v>
      </c>
      <c r="O674" s="1" t="s">
        <v>32</v>
      </c>
      <c r="P674" s="1" t="s">
        <v>174</v>
      </c>
      <c r="Q674" s="1" t="s">
        <v>2248</v>
      </c>
      <c r="R674" s="1" t="s">
        <v>2255</v>
      </c>
      <c r="S674" s="3">
        <v>2</v>
      </c>
      <c r="T674" s="1" t="s">
        <v>36</v>
      </c>
      <c r="U674" s="3">
        <v>349</v>
      </c>
      <c r="V674" s="1" t="s">
        <v>37</v>
      </c>
      <c r="W674" s="5">
        <f>Table1[[#This Row],[Quantity]]*Table1[[#This Row],[Price]]*(1-Table1[[#This Row],[Discount %]]/100)</f>
        <v>179976.44999999998</v>
      </c>
      <c r="X674">
        <f>Table1[[#This Row],[DeliveryDate]]-Table1[[#This Row],[OrderDate]]</f>
        <v>6</v>
      </c>
      <c r="Y674" t="str">
        <f>TEXT(Table1[[#This Row],[OrderDate]],"MMMM")</f>
        <v>July</v>
      </c>
      <c r="Z674" s="5">
        <f>YEAR(Table1[[#This Row],[OrderDate]])</f>
        <v>2024</v>
      </c>
    </row>
    <row r="675" spans="1:26" x14ac:dyDescent="0.3">
      <c r="A675" s="1" t="s">
        <v>2256</v>
      </c>
      <c r="B675" t="s">
        <v>660</v>
      </c>
      <c r="C675" s="3">
        <v>39</v>
      </c>
      <c r="D675" s="1" t="s">
        <v>24</v>
      </c>
      <c r="E675" s="1" t="s">
        <v>142</v>
      </c>
      <c r="F675" s="1" t="s">
        <v>53</v>
      </c>
      <c r="G675" s="4">
        <v>45060</v>
      </c>
      <c r="H675" s="4">
        <v>45067</v>
      </c>
      <c r="I675" s="1" t="s">
        <v>77</v>
      </c>
      <c r="J675" s="1" t="s">
        <v>44</v>
      </c>
      <c r="K675" s="3">
        <v>2.9447852760736195</v>
      </c>
      <c r="L675" s="2">
        <v>22960</v>
      </c>
      <c r="M675" s="3">
        <v>10</v>
      </c>
      <c r="N675" s="1" t="s">
        <v>45</v>
      </c>
      <c r="O675" s="1" t="s">
        <v>281</v>
      </c>
      <c r="P675" s="1" t="s">
        <v>33</v>
      </c>
      <c r="Q675" s="1" t="s">
        <v>3415</v>
      </c>
      <c r="R675" s="1" t="s">
        <v>2259</v>
      </c>
      <c r="S675" s="3">
        <v>3</v>
      </c>
      <c r="T675" s="1" t="s">
        <v>61</v>
      </c>
      <c r="U675" s="3">
        <v>292</v>
      </c>
      <c r="V675" s="1" t="s">
        <v>79</v>
      </c>
      <c r="W675" s="5">
        <f>Table1[[#This Row],[Quantity]]*Table1[[#This Row],[Price]]*(1-Table1[[#This Row],[Discount %]]/100)</f>
        <v>60851.04294478528</v>
      </c>
      <c r="X675">
        <f>Table1[[#This Row],[DeliveryDate]]-Table1[[#This Row],[OrderDate]]</f>
        <v>7</v>
      </c>
      <c r="Y675" t="str">
        <f>TEXT(Table1[[#This Row],[OrderDate]],"MMMM")</f>
        <v>May</v>
      </c>
      <c r="Z675" s="5">
        <f>YEAR(Table1[[#This Row],[OrderDate]])</f>
        <v>2023</v>
      </c>
    </row>
    <row r="676" spans="1:26" x14ac:dyDescent="0.3">
      <c r="A676" s="1" t="s">
        <v>2260</v>
      </c>
      <c r="B676" t="s">
        <v>555</v>
      </c>
      <c r="C676" s="3">
        <v>36</v>
      </c>
      <c r="D676" s="1" t="s">
        <v>51</v>
      </c>
      <c r="E676" s="1" t="s">
        <v>99</v>
      </c>
      <c r="F676" s="1" t="s">
        <v>65</v>
      </c>
      <c r="G676" s="4">
        <v>45530</v>
      </c>
      <c r="H676" s="4">
        <v>45540</v>
      </c>
      <c r="I676" s="1" t="s">
        <v>108</v>
      </c>
      <c r="J676" s="1" t="s">
        <v>44</v>
      </c>
      <c r="K676" s="3">
        <v>2</v>
      </c>
      <c r="L676" s="2">
        <v>6851</v>
      </c>
      <c r="M676" s="3">
        <v>5</v>
      </c>
      <c r="N676" s="1" t="s">
        <v>45</v>
      </c>
      <c r="O676" s="1" t="s">
        <v>46</v>
      </c>
      <c r="P676" s="1" t="s">
        <v>174</v>
      </c>
      <c r="Q676" s="1" t="s">
        <v>558</v>
      </c>
      <c r="R676" s="1" t="s">
        <v>2261</v>
      </c>
      <c r="S676" s="3">
        <v>4</v>
      </c>
      <c r="T676" s="1" t="s">
        <v>96</v>
      </c>
      <c r="U676" s="3">
        <v>332</v>
      </c>
      <c r="V676" s="1" t="s">
        <v>62</v>
      </c>
      <c r="W676" s="5">
        <f>Table1[[#This Row],[Quantity]]*Table1[[#This Row],[Price]]*(1-Table1[[#This Row],[Discount %]]/100)</f>
        <v>13016.9</v>
      </c>
      <c r="X676">
        <f>Table1[[#This Row],[DeliveryDate]]-Table1[[#This Row],[OrderDate]]</f>
        <v>10</v>
      </c>
      <c r="Y676" t="str">
        <f>TEXT(Table1[[#This Row],[OrderDate]],"MMMM")</f>
        <v>August</v>
      </c>
      <c r="Z676" s="5">
        <f>YEAR(Table1[[#This Row],[OrderDate]])</f>
        <v>2024</v>
      </c>
    </row>
    <row r="677" spans="1:26" x14ac:dyDescent="0.3">
      <c r="A677" s="1" t="s">
        <v>2262</v>
      </c>
      <c r="B677" t="s">
        <v>1690</v>
      </c>
      <c r="C677" s="3">
        <v>59</v>
      </c>
      <c r="D677" s="1" t="s">
        <v>51</v>
      </c>
      <c r="E677" s="1" t="s">
        <v>25</v>
      </c>
      <c r="F677" s="1" t="s">
        <v>65</v>
      </c>
      <c r="G677" s="4">
        <v>45226</v>
      </c>
      <c r="H677" s="4">
        <v>45230</v>
      </c>
      <c r="I677" s="1" t="s">
        <v>85</v>
      </c>
      <c r="J677" s="1" t="s">
        <v>44</v>
      </c>
      <c r="K677" s="3">
        <v>4</v>
      </c>
      <c r="L677" s="2">
        <v>27801</v>
      </c>
      <c r="M677" s="3">
        <v>10</v>
      </c>
      <c r="N677" s="1" t="s">
        <v>45</v>
      </c>
      <c r="O677" s="1" t="s">
        <v>68</v>
      </c>
      <c r="P677" s="1" t="s">
        <v>33</v>
      </c>
      <c r="Q677" s="1" t="s">
        <v>3415</v>
      </c>
      <c r="R677" s="1" t="s">
        <v>2263</v>
      </c>
      <c r="S677" s="3">
        <v>2</v>
      </c>
      <c r="T677" s="1" t="s">
        <v>96</v>
      </c>
      <c r="U677" s="3">
        <v>156</v>
      </c>
      <c r="V677" s="1" t="s">
        <v>79</v>
      </c>
      <c r="W677" s="5">
        <f>Table1[[#This Row],[Quantity]]*Table1[[#This Row],[Price]]*(1-Table1[[#This Row],[Discount %]]/100)</f>
        <v>100083.6</v>
      </c>
      <c r="X677">
        <f>Table1[[#This Row],[DeliveryDate]]-Table1[[#This Row],[OrderDate]]</f>
        <v>4</v>
      </c>
      <c r="Y677" t="str">
        <f>TEXT(Table1[[#This Row],[OrderDate]],"MMMM")</f>
        <v>October</v>
      </c>
      <c r="Z677" s="5">
        <f>YEAR(Table1[[#This Row],[OrderDate]])</f>
        <v>2023</v>
      </c>
    </row>
    <row r="678" spans="1:26" x14ac:dyDescent="0.3">
      <c r="A678" s="1" t="s">
        <v>2264</v>
      </c>
      <c r="B678" t="s">
        <v>684</v>
      </c>
      <c r="C678" s="3">
        <v>41</v>
      </c>
      <c r="D678" s="1" t="s">
        <v>51</v>
      </c>
      <c r="E678" s="1" t="s">
        <v>131</v>
      </c>
      <c r="F678" s="1" t="s">
        <v>53</v>
      </c>
      <c r="G678" s="4">
        <v>45473</v>
      </c>
      <c r="H678" s="4">
        <v>45477</v>
      </c>
      <c r="I678" s="1" t="s">
        <v>93</v>
      </c>
      <c r="J678" s="1" t="s">
        <v>44</v>
      </c>
      <c r="K678" s="3">
        <v>3</v>
      </c>
      <c r="L678" s="2">
        <v>66282</v>
      </c>
      <c r="M678" s="3">
        <v>0</v>
      </c>
      <c r="N678" s="1" t="s">
        <v>166</v>
      </c>
      <c r="O678" s="1" t="s">
        <v>68</v>
      </c>
      <c r="P678" s="1" t="s">
        <v>58</v>
      </c>
      <c r="Q678" s="1" t="s">
        <v>3415</v>
      </c>
      <c r="R678" s="1" t="s">
        <v>2265</v>
      </c>
      <c r="S678" s="3">
        <v>1</v>
      </c>
      <c r="T678" s="1" t="s">
        <v>96</v>
      </c>
      <c r="U678" s="3">
        <v>330</v>
      </c>
      <c r="V678" s="1" t="s">
        <v>79</v>
      </c>
      <c r="W678" s="5">
        <f>Table1[[#This Row],[Quantity]]*Table1[[#This Row],[Price]]*(1-Table1[[#This Row],[Discount %]]/100)</f>
        <v>198846</v>
      </c>
      <c r="X678">
        <f>Table1[[#This Row],[DeliveryDate]]-Table1[[#This Row],[OrderDate]]</f>
        <v>4</v>
      </c>
      <c r="Y678" t="str">
        <f>TEXT(Table1[[#This Row],[OrderDate]],"MMMM")</f>
        <v>June</v>
      </c>
      <c r="Z678" s="5">
        <f>YEAR(Table1[[#This Row],[OrderDate]])</f>
        <v>2024</v>
      </c>
    </row>
    <row r="679" spans="1:26" x14ac:dyDescent="0.3">
      <c r="A679" s="1" t="s">
        <v>2266</v>
      </c>
      <c r="B679" t="s">
        <v>606</v>
      </c>
      <c r="C679" s="3">
        <v>31</v>
      </c>
      <c r="D679" s="1" t="s">
        <v>51</v>
      </c>
      <c r="E679" s="1" t="s">
        <v>25</v>
      </c>
      <c r="F679" s="1" t="s">
        <v>53</v>
      </c>
      <c r="G679" s="4">
        <v>45403</v>
      </c>
      <c r="H679" s="4">
        <v>45407</v>
      </c>
      <c r="I679" s="1" t="s">
        <v>29</v>
      </c>
      <c r="J679" s="1" t="s">
        <v>30</v>
      </c>
      <c r="K679" s="3">
        <v>3</v>
      </c>
      <c r="L679" s="2">
        <v>28326</v>
      </c>
      <c r="M679" s="3">
        <v>10</v>
      </c>
      <c r="N679" s="1" t="s">
        <v>45</v>
      </c>
      <c r="O679" s="1" t="s">
        <v>57</v>
      </c>
      <c r="P679" s="1" t="s">
        <v>33</v>
      </c>
      <c r="Q679" s="1" t="s">
        <v>608</v>
      </c>
      <c r="R679" s="1" t="s">
        <v>3415</v>
      </c>
      <c r="S679" s="3">
        <v>2</v>
      </c>
      <c r="T679" s="1" t="s">
        <v>61</v>
      </c>
      <c r="U679" s="3">
        <v>240</v>
      </c>
      <c r="V679" s="1" t="s">
        <v>37</v>
      </c>
      <c r="W679" s="5">
        <f>Table1[[#This Row],[Quantity]]*Table1[[#This Row],[Price]]*(1-Table1[[#This Row],[Discount %]]/100)</f>
        <v>76480.2</v>
      </c>
      <c r="X679">
        <f>Table1[[#This Row],[DeliveryDate]]-Table1[[#This Row],[OrderDate]]</f>
        <v>4</v>
      </c>
      <c r="Y679" t="str">
        <f>TEXT(Table1[[#This Row],[OrderDate]],"MMMM")</f>
        <v>April</v>
      </c>
      <c r="Z679" s="5">
        <f>YEAR(Table1[[#This Row],[OrderDate]])</f>
        <v>2024</v>
      </c>
    </row>
    <row r="680" spans="1:26" x14ac:dyDescent="0.3">
      <c r="A680" s="1" t="s">
        <v>2268</v>
      </c>
      <c r="B680" t="s">
        <v>1008</v>
      </c>
      <c r="C680" s="3">
        <v>52</v>
      </c>
      <c r="D680" s="1" t="s">
        <v>24</v>
      </c>
      <c r="E680" s="1" t="s">
        <v>229</v>
      </c>
      <c r="F680" s="1" t="s">
        <v>53</v>
      </c>
      <c r="G680" s="4">
        <v>45038</v>
      </c>
      <c r="H680" s="4">
        <v>45041</v>
      </c>
      <c r="I680" s="1" t="s">
        <v>29</v>
      </c>
      <c r="J680" s="1" t="s">
        <v>44</v>
      </c>
      <c r="K680" s="3">
        <v>2</v>
      </c>
      <c r="L680" s="2">
        <v>46549</v>
      </c>
      <c r="M680" s="3">
        <v>5</v>
      </c>
      <c r="N680" s="1" t="s">
        <v>166</v>
      </c>
      <c r="O680" s="1" t="s">
        <v>46</v>
      </c>
      <c r="P680" s="1" t="s">
        <v>58</v>
      </c>
      <c r="Q680" s="1" t="s">
        <v>1011</v>
      </c>
      <c r="R680" s="1" t="s">
        <v>2269</v>
      </c>
      <c r="S680" s="3">
        <v>4</v>
      </c>
      <c r="T680" s="1" t="s">
        <v>61</v>
      </c>
      <c r="U680" s="3">
        <v>427</v>
      </c>
      <c r="V680" s="1" t="s">
        <v>37</v>
      </c>
      <c r="W680" s="5">
        <f>Table1[[#This Row],[Quantity]]*Table1[[#This Row],[Price]]*(1-Table1[[#This Row],[Discount %]]/100)</f>
        <v>88443.099999999991</v>
      </c>
      <c r="X680">
        <f>Table1[[#This Row],[DeliveryDate]]-Table1[[#This Row],[OrderDate]]</f>
        <v>3</v>
      </c>
      <c r="Y680" t="str">
        <f>TEXT(Table1[[#This Row],[OrderDate]],"MMMM")</f>
        <v>April</v>
      </c>
      <c r="Z680" s="5">
        <f>YEAR(Table1[[#This Row],[OrderDate]])</f>
        <v>2023</v>
      </c>
    </row>
    <row r="681" spans="1:26" x14ac:dyDescent="0.3">
      <c r="A681" s="1" t="s">
        <v>2270</v>
      </c>
      <c r="B681" t="s">
        <v>466</v>
      </c>
      <c r="C681" s="3">
        <v>22</v>
      </c>
      <c r="D681" s="1" t="s">
        <v>51</v>
      </c>
      <c r="E681" s="1" t="s">
        <v>142</v>
      </c>
      <c r="F681" s="1" t="s">
        <v>91</v>
      </c>
      <c r="G681" s="4">
        <v>45506</v>
      </c>
      <c r="H681" s="4">
        <v>45513</v>
      </c>
      <c r="I681" s="1" t="s">
        <v>93</v>
      </c>
      <c r="J681" s="1" t="s">
        <v>30</v>
      </c>
      <c r="K681" s="3">
        <v>2</v>
      </c>
      <c r="L681" s="2">
        <v>63325</v>
      </c>
      <c r="M681" s="3">
        <v>15</v>
      </c>
      <c r="N681" s="1" t="s">
        <v>45</v>
      </c>
      <c r="O681" s="1" t="s">
        <v>68</v>
      </c>
      <c r="P681" s="1" t="s">
        <v>69</v>
      </c>
      <c r="Q681" s="1" t="s">
        <v>468</v>
      </c>
      <c r="R681" s="1" t="s">
        <v>2272</v>
      </c>
      <c r="S681" s="3">
        <v>5</v>
      </c>
      <c r="T681" s="1" t="s">
        <v>96</v>
      </c>
      <c r="U681" s="3">
        <v>385</v>
      </c>
      <c r="V681" s="1" t="s">
        <v>37</v>
      </c>
      <c r="W681" s="5">
        <f>Table1[[#This Row],[Quantity]]*Table1[[#This Row],[Price]]*(1-Table1[[#This Row],[Discount %]]/100)</f>
        <v>107652.5</v>
      </c>
      <c r="X681">
        <f>Table1[[#This Row],[DeliveryDate]]-Table1[[#This Row],[OrderDate]]</f>
        <v>7</v>
      </c>
      <c r="Y681" t="str">
        <f>TEXT(Table1[[#This Row],[OrderDate]],"MMMM")</f>
        <v>August</v>
      </c>
      <c r="Z681" s="5">
        <f>YEAR(Table1[[#This Row],[OrderDate]])</f>
        <v>2024</v>
      </c>
    </row>
    <row r="682" spans="1:26" x14ac:dyDescent="0.3">
      <c r="A682" s="1" t="s">
        <v>2273</v>
      </c>
      <c r="B682" t="s">
        <v>606</v>
      </c>
      <c r="C682" s="3">
        <v>55</v>
      </c>
      <c r="D682" s="1" t="s">
        <v>51</v>
      </c>
      <c r="E682" s="1" t="s">
        <v>99</v>
      </c>
      <c r="F682" s="1" t="s">
        <v>91</v>
      </c>
      <c r="G682" s="4">
        <v>45278</v>
      </c>
      <c r="H682" s="4">
        <v>45281</v>
      </c>
      <c r="I682" s="1" t="s">
        <v>108</v>
      </c>
      <c r="J682" s="1" t="s">
        <v>30</v>
      </c>
      <c r="K682" s="3">
        <v>1</v>
      </c>
      <c r="L682" s="2">
        <v>67801</v>
      </c>
      <c r="M682" s="3">
        <v>5</v>
      </c>
      <c r="N682" s="1" t="s">
        <v>166</v>
      </c>
      <c r="O682" s="1" t="s">
        <v>102</v>
      </c>
      <c r="P682" s="1" t="s">
        <v>69</v>
      </c>
      <c r="Q682" s="1" t="s">
        <v>608</v>
      </c>
      <c r="R682" s="1" t="s">
        <v>2276</v>
      </c>
      <c r="S682" s="3">
        <v>1</v>
      </c>
      <c r="T682" s="1" t="s">
        <v>96</v>
      </c>
      <c r="U682" s="3">
        <v>461</v>
      </c>
      <c r="V682" s="1" t="s">
        <v>79</v>
      </c>
      <c r="W682" s="5">
        <f>Table1[[#This Row],[Quantity]]*Table1[[#This Row],[Price]]*(1-Table1[[#This Row],[Discount %]]/100)</f>
        <v>64410.95</v>
      </c>
      <c r="X682">
        <f>Table1[[#This Row],[DeliveryDate]]-Table1[[#This Row],[OrderDate]]</f>
        <v>3</v>
      </c>
      <c r="Y682" t="str">
        <f>TEXT(Table1[[#This Row],[OrderDate]],"MMMM")</f>
        <v>December</v>
      </c>
      <c r="Z682" s="5">
        <f>YEAR(Table1[[#This Row],[OrderDate]])</f>
        <v>2023</v>
      </c>
    </row>
    <row r="683" spans="1:26" x14ac:dyDescent="0.3">
      <c r="A683" s="1" t="s">
        <v>2277</v>
      </c>
      <c r="B683" t="s">
        <v>623</v>
      </c>
      <c r="C683" s="3">
        <v>43</v>
      </c>
      <c r="D683" s="1" t="s">
        <v>24</v>
      </c>
      <c r="E683" s="1" t="s">
        <v>99</v>
      </c>
      <c r="F683" s="1" t="s">
        <v>82</v>
      </c>
      <c r="G683" s="4">
        <v>45311</v>
      </c>
      <c r="H683" s="4">
        <v>45312</v>
      </c>
      <c r="I683" s="1" t="s">
        <v>29</v>
      </c>
      <c r="J683" s="1" t="s">
        <v>44</v>
      </c>
      <c r="K683" s="3">
        <v>5</v>
      </c>
      <c r="L683" s="2">
        <v>77370</v>
      </c>
      <c r="M683" s="3">
        <v>0</v>
      </c>
      <c r="N683" s="1" t="s">
        <v>31</v>
      </c>
      <c r="O683" s="1" t="s">
        <v>133</v>
      </c>
      <c r="P683" s="1" t="s">
        <v>69</v>
      </c>
      <c r="Q683" s="1" t="s">
        <v>626</v>
      </c>
      <c r="R683" s="1" t="s">
        <v>2278</v>
      </c>
      <c r="S683" s="3">
        <v>5</v>
      </c>
      <c r="T683" s="1" t="s">
        <v>36</v>
      </c>
      <c r="U683" s="3">
        <v>286</v>
      </c>
      <c r="V683" s="1" t="s">
        <v>79</v>
      </c>
      <c r="W683" s="5">
        <f>Table1[[#This Row],[Quantity]]*Table1[[#This Row],[Price]]*(1-Table1[[#This Row],[Discount %]]/100)</f>
        <v>386850</v>
      </c>
      <c r="X683">
        <f>Table1[[#This Row],[DeliveryDate]]-Table1[[#This Row],[OrderDate]]</f>
        <v>1</v>
      </c>
      <c r="Y683" t="str">
        <f>TEXT(Table1[[#This Row],[OrderDate]],"MMMM")</f>
        <v>January</v>
      </c>
      <c r="Z683" s="5">
        <f>YEAR(Table1[[#This Row],[OrderDate]])</f>
        <v>2024</v>
      </c>
    </row>
    <row r="684" spans="1:26" x14ac:dyDescent="0.3">
      <c r="A684" s="1" t="s">
        <v>2279</v>
      </c>
      <c r="B684" t="s">
        <v>278</v>
      </c>
      <c r="C684" s="3">
        <v>26</v>
      </c>
      <c r="D684" s="1" t="s">
        <v>24</v>
      </c>
      <c r="E684" s="1" t="s">
        <v>99</v>
      </c>
      <c r="F684" s="1" t="s">
        <v>82</v>
      </c>
      <c r="G684" s="4">
        <v>45301</v>
      </c>
      <c r="H684" s="4">
        <v>45303</v>
      </c>
      <c r="I684" s="1" t="s">
        <v>29</v>
      </c>
      <c r="J684" s="1" t="s">
        <v>30</v>
      </c>
      <c r="K684" s="3">
        <v>3</v>
      </c>
      <c r="L684" s="2">
        <v>15493</v>
      </c>
      <c r="M684" s="3">
        <v>15</v>
      </c>
      <c r="N684" s="1" t="s">
        <v>31</v>
      </c>
      <c r="O684" s="1" t="s">
        <v>32</v>
      </c>
      <c r="P684" s="1" t="s">
        <v>33</v>
      </c>
      <c r="Q684" s="1" t="s">
        <v>282</v>
      </c>
      <c r="R684" s="1" t="s">
        <v>2280</v>
      </c>
      <c r="S684" s="3">
        <v>3</v>
      </c>
      <c r="T684" s="1" t="s">
        <v>36</v>
      </c>
      <c r="U684" s="3">
        <v>422</v>
      </c>
      <c r="V684" s="1" t="s">
        <v>62</v>
      </c>
      <c r="W684" s="5">
        <f>Table1[[#This Row],[Quantity]]*Table1[[#This Row],[Price]]*(1-Table1[[#This Row],[Discount %]]/100)</f>
        <v>39507.15</v>
      </c>
      <c r="X684">
        <f>Table1[[#This Row],[DeliveryDate]]-Table1[[#This Row],[OrderDate]]</f>
        <v>2</v>
      </c>
      <c r="Y684" t="str">
        <f>TEXT(Table1[[#This Row],[OrderDate]],"MMMM")</f>
        <v>January</v>
      </c>
      <c r="Z684" s="5">
        <f>YEAR(Table1[[#This Row],[OrderDate]])</f>
        <v>2024</v>
      </c>
    </row>
    <row r="685" spans="1:26" x14ac:dyDescent="0.3">
      <c r="A685" s="1" t="s">
        <v>2281</v>
      </c>
      <c r="B685" t="s">
        <v>249</v>
      </c>
      <c r="C685" s="3">
        <v>48</v>
      </c>
      <c r="D685" s="1" t="s">
        <v>24</v>
      </c>
      <c r="E685" s="1" t="s">
        <v>40</v>
      </c>
      <c r="F685" s="1" t="s">
        <v>65</v>
      </c>
      <c r="G685" s="4">
        <v>45002</v>
      </c>
      <c r="H685" s="4">
        <v>45010</v>
      </c>
      <c r="I685" s="1" t="s">
        <v>29</v>
      </c>
      <c r="J685" s="1" t="s">
        <v>44</v>
      </c>
      <c r="K685" s="3">
        <v>2</v>
      </c>
      <c r="L685" s="2">
        <v>38515</v>
      </c>
      <c r="M685" s="3">
        <v>0</v>
      </c>
      <c r="N685" s="1" t="s">
        <v>166</v>
      </c>
      <c r="O685" s="1" t="s">
        <v>46</v>
      </c>
      <c r="P685" s="1" t="s">
        <v>69</v>
      </c>
      <c r="Q685" s="1" t="s">
        <v>3415</v>
      </c>
      <c r="R685" s="1" t="s">
        <v>3415</v>
      </c>
      <c r="S685" s="3">
        <v>5</v>
      </c>
      <c r="T685" s="1" t="s">
        <v>96</v>
      </c>
      <c r="U685" s="3">
        <v>77</v>
      </c>
      <c r="V685" s="1" t="s">
        <v>37</v>
      </c>
      <c r="W685" s="5">
        <f>Table1[[#This Row],[Quantity]]*Table1[[#This Row],[Price]]*(1-Table1[[#This Row],[Discount %]]/100)</f>
        <v>77030</v>
      </c>
      <c r="X685">
        <f>Table1[[#This Row],[DeliveryDate]]-Table1[[#This Row],[OrderDate]]</f>
        <v>8</v>
      </c>
      <c r="Y685" t="str">
        <f>TEXT(Table1[[#This Row],[OrderDate]],"MMMM")</f>
        <v>March</v>
      </c>
      <c r="Z685" s="5">
        <f>YEAR(Table1[[#This Row],[OrderDate]])</f>
        <v>2023</v>
      </c>
    </row>
    <row r="686" spans="1:26" x14ac:dyDescent="0.3">
      <c r="A686" s="1" t="s">
        <v>2282</v>
      </c>
      <c r="B686" t="s">
        <v>1396</v>
      </c>
      <c r="C686" s="3">
        <v>57</v>
      </c>
      <c r="D686" s="1" t="s">
        <v>51</v>
      </c>
      <c r="E686" s="1" t="s">
        <v>229</v>
      </c>
      <c r="F686" s="1" t="s">
        <v>26</v>
      </c>
      <c r="G686" s="4">
        <v>45009</v>
      </c>
      <c r="H686" s="4">
        <v>45014</v>
      </c>
      <c r="I686" s="1" t="s">
        <v>29</v>
      </c>
      <c r="J686" s="1" t="s">
        <v>44</v>
      </c>
      <c r="K686" s="3">
        <v>5</v>
      </c>
      <c r="L686" s="2">
        <v>70318</v>
      </c>
      <c r="M686" s="3">
        <v>5</v>
      </c>
      <c r="N686" s="1" t="s">
        <v>56</v>
      </c>
      <c r="O686" s="1" t="s">
        <v>68</v>
      </c>
      <c r="P686" s="1" t="s">
        <v>33</v>
      </c>
      <c r="Q686" s="1" t="s">
        <v>3415</v>
      </c>
      <c r="R686" s="1" t="s">
        <v>2283</v>
      </c>
      <c r="S686" s="3">
        <v>1</v>
      </c>
      <c r="T686" s="1" t="s">
        <v>61</v>
      </c>
      <c r="U686" s="3">
        <v>330</v>
      </c>
      <c r="V686" s="1" t="s">
        <v>79</v>
      </c>
      <c r="W686" s="5">
        <f>Table1[[#This Row],[Quantity]]*Table1[[#This Row],[Price]]*(1-Table1[[#This Row],[Discount %]]/100)</f>
        <v>334010.5</v>
      </c>
      <c r="X686">
        <f>Table1[[#This Row],[DeliveryDate]]-Table1[[#This Row],[OrderDate]]</f>
        <v>5</v>
      </c>
      <c r="Y686" t="str">
        <f>TEXT(Table1[[#This Row],[OrderDate]],"MMMM")</f>
        <v>March</v>
      </c>
      <c r="Z686" s="5">
        <f>YEAR(Table1[[#This Row],[OrderDate]])</f>
        <v>2023</v>
      </c>
    </row>
    <row r="687" spans="1:26" x14ac:dyDescent="0.3">
      <c r="A687" s="1" t="s">
        <v>2284</v>
      </c>
      <c r="B687" t="s">
        <v>333</v>
      </c>
      <c r="C687" s="3">
        <v>23</v>
      </c>
      <c r="D687" s="1" t="s">
        <v>24</v>
      </c>
      <c r="E687" s="1" t="s">
        <v>26</v>
      </c>
      <c r="F687" s="1" t="s">
        <v>53</v>
      </c>
      <c r="G687" s="4">
        <v>45158</v>
      </c>
      <c r="H687" s="4">
        <v>45163</v>
      </c>
      <c r="I687" s="1" t="s">
        <v>29</v>
      </c>
      <c r="J687" s="1" t="s">
        <v>44</v>
      </c>
      <c r="K687" s="3">
        <v>2.9447852760736195</v>
      </c>
      <c r="L687" s="2">
        <v>76584</v>
      </c>
      <c r="M687" s="3">
        <v>15</v>
      </c>
      <c r="N687" s="1" t="s">
        <v>56</v>
      </c>
      <c r="O687" s="1" t="s">
        <v>133</v>
      </c>
      <c r="P687" s="1" t="s">
        <v>58</v>
      </c>
      <c r="Q687" s="1" t="s">
        <v>3415</v>
      </c>
      <c r="R687" s="1" t="s">
        <v>2286</v>
      </c>
      <c r="S687" s="3">
        <v>4</v>
      </c>
      <c r="T687" s="1" t="s">
        <v>96</v>
      </c>
      <c r="U687" s="3">
        <v>185</v>
      </c>
      <c r="V687" s="1" t="s">
        <v>62</v>
      </c>
      <c r="W687" s="5">
        <f>Table1[[#This Row],[Quantity]]*Table1[[#This Row],[Price]]*(1-Table1[[#This Row],[Discount %]]/100)</f>
        <v>191694.92024539877</v>
      </c>
      <c r="X687">
        <f>Table1[[#This Row],[DeliveryDate]]-Table1[[#This Row],[OrderDate]]</f>
        <v>5</v>
      </c>
      <c r="Y687" t="str">
        <f>TEXT(Table1[[#This Row],[OrderDate]],"MMMM")</f>
        <v>August</v>
      </c>
      <c r="Z687" s="5">
        <f>YEAR(Table1[[#This Row],[OrderDate]])</f>
        <v>2023</v>
      </c>
    </row>
    <row r="688" spans="1:26" x14ac:dyDescent="0.3">
      <c r="A688" s="1" t="s">
        <v>2287</v>
      </c>
      <c r="B688" t="s">
        <v>327</v>
      </c>
      <c r="C688" s="3">
        <v>46</v>
      </c>
      <c r="D688" s="1" t="s">
        <v>24</v>
      </c>
      <c r="E688" s="1" t="s">
        <v>99</v>
      </c>
      <c r="F688" s="1" t="s">
        <v>65</v>
      </c>
      <c r="G688" s="4">
        <v>45011</v>
      </c>
      <c r="H688" s="4">
        <v>45012</v>
      </c>
      <c r="I688" s="1" t="s">
        <v>85</v>
      </c>
      <c r="J688" s="1" t="s">
        <v>30</v>
      </c>
      <c r="K688" s="3">
        <v>1</v>
      </c>
      <c r="L688" s="2">
        <v>79804</v>
      </c>
      <c r="M688" s="3">
        <v>15</v>
      </c>
      <c r="N688" s="1" t="s">
        <v>31</v>
      </c>
      <c r="O688" s="1" t="s">
        <v>102</v>
      </c>
      <c r="P688" s="1" t="s">
        <v>174</v>
      </c>
      <c r="Q688" s="1" t="s">
        <v>330</v>
      </c>
      <c r="R688" s="1" t="s">
        <v>2288</v>
      </c>
      <c r="S688" s="3">
        <v>4</v>
      </c>
      <c r="T688" s="1" t="s">
        <v>36</v>
      </c>
      <c r="U688" s="3">
        <v>416</v>
      </c>
      <c r="V688" s="1" t="s">
        <v>37</v>
      </c>
      <c r="W688" s="5">
        <f>Table1[[#This Row],[Quantity]]*Table1[[#This Row],[Price]]*(1-Table1[[#This Row],[Discount %]]/100)</f>
        <v>67833.399999999994</v>
      </c>
      <c r="X688">
        <f>Table1[[#This Row],[DeliveryDate]]-Table1[[#This Row],[OrderDate]]</f>
        <v>1</v>
      </c>
      <c r="Y688" t="str">
        <f>TEXT(Table1[[#This Row],[OrderDate]],"MMMM")</f>
        <v>March</v>
      </c>
      <c r="Z688" s="5">
        <f>YEAR(Table1[[#This Row],[OrderDate]])</f>
        <v>2023</v>
      </c>
    </row>
    <row r="689" spans="1:26" x14ac:dyDescent="0.3">
      <c r="A689" s="1" t="s">
        <v>2289</v>
      </c>
      <c r="B689" t="s">
        <v>933</v>
      </c>
      <c r="C689" s="3">
        <v>29</v>
      </c>
      <c r="D689" s="1" t="s">
        <v>51</v>
      </c>
      <c r="E689" s="1" t="s">
        <v>26</v>
      </c>
      <c r="F689" s="1" t="s">
        <v>26</v>
      </c>
      <c r="G689" s="4">
        <v>45310</v>
      </c>
      <c r="H689" s="4">
        <v>45318</v>
      </c>
      <c r="I689" s="1" t="s">
        <v>43</v>
      </c>
      <c r="J689" s="1" t="s">
        <v>44</v>
      </c>
      <c r="K689" s="3">
        <v>5</v>
      </c>
      <c r="L689" s="2">
        <v>24450</v>
      </c>
      <c r="M689" s="3">
        <v>10</v>
      </c>
      <c r="N689" s="1" t="s">
        <v>56</v>
      </c>
      <c r="O689" s="1" t="s">
        <v>68</v>
      </c>
      <c r="P689" s="1" t="s">
        <v>69</v>
      </c>
      <c r="Q689" s="1" t="s">
        <v>3415</v>
      </c>
      <c r="R689" s="1" t="s">
        <v>2290</v>
      </c>
      <c r="S689" s="3">
        <v>3</v>
      </c>
      <c r="T689" s="1" t="s">
        <v>61</v>
      </c>
      <c r="U689" s="3">
        <v>201</v>
      </c>
      <c r="V689" s="1" t="s">
        <v>37</v>
      </c>
      <c r="W689" s="5">
        <f>Table1[[#This Row],[Quantity]]*Table1[[#This Row],[Price]]*(1-Table1[[#This Row],[Discount %]]/100)</f>
        <v>110025</v>
      </c>
      <c r="X689">
        <f>Table1[[#This Row],[DeliveryDate]]-Table1[[#This Row],[OrderDate]]</f>
        <v>8</v>
      </c>
      <c r="Y689" t="str">
        <f>TEXT(Table1[[#This Row],[OrderDate]],"MMMM")</f>
        <v>January</v>
      </c>
      <c r="Z689" s="5">
        <f>YEAR(Table1[[#This Row],[OrderDate]])</f>
        <v>2024</v>
      </c>
    </row>
    <row r="690" spans="1:26" x14ac:dyDescent="0.3">
      <c r="A690" s="1" t="s">
        <v>2291</v>
      </c>
      <c r="B690" t="s">
        <v>1309</v>
      </c>
      <c r="C690" s="3">
        <v>48</v>
      </c>
      <c r="D690" s="1" t="s">
        <v>24</v>
      </c>
      <c r="E690" s="1" t="s">
        <v>131</v>
      </c>
      <c r="F690" s="1" t="s">
        <v>53</v>
      </c>
      <c r="G690" s="4">
        <v>45278</v>
      </c>
      <c r="H690" s="4">
        <v>45284</v>
      </c>
      <c r="I690" s="1" t="s">
        <v>43</v>
      </c>
      <c r="J690" s="1" t="s">
        <v>30</v>
      </c>
      <c r="K690" s="3">
        <v>2</v>
      </c>
      <c r="L690" s="2">
        <v>67080</v>
      </c>
      <c r="M690" s="3">
        <v>15</v>
      </c>
      <c r="N690" s="1" t="s">
        <v>56</v>
      </c>
      <c r="O690" s="1" t="s">
        <v>57</v>
      </c>
      <c r="P690" s="1" t="s">
        <v>58</v>
      </c>
      <c r="Q690" s="1" t="s">
        <v>1311</v>
      </c>
      <c r="R690" s="1" t="s">
        <v>3415</v>
      </c>
      <c r="S690" s="3">
        <v>1</v>
      </c>
      <c r="T690" s="1" t="s">
        <v>61</v>
      </c>
      <c r="U690" s="3">
        <v>119</v>
      </c>
      <c r="V690" s="1" t="s">
        <v>62</v>
      </c>
      <c r="W690" s="5">
        <f>Table1[[#This Row],[Quantity]]*Table1[[#This Row],[Price]]*(1-Table1[[#This Row],[Discount %]]/100)</f>
        <v>114036</v>
      </c>
      <c r="X690">
        <f>Table1[[#This Row],[DeliveryDate]]-Table1[[#This Row],[OrderDate]]</f>
        <v>6</v>
      </c>
      <c r="Y690" t="str">
        <f>TEXT(Table1[[#This Row],[OrderDate]],"MMMM")</f>
        <v>December</v>
      </c>
      <c r="Z690" s="5">
        <f>YEAR(Table1[[#This Row],[OrderDate]])</f>
        <v>2023</v>
      </c>
    </row>
    <row r="691" spans="1:26" x14ac:dyDescent="0.3">
      <c r="A691" s="1" t="s">
        <v>2292</v>
      </c>
      <c r="B691" t="s">
        <v>272</v>
      </c>
      <c r="C691" s="3">
        <v>22</v>
      </c>
      <c r="D691" s="1" t="s">
        <v>24</v>
      </c>
      <c r="E691" s="1" t="s">
        <v>99</v>
      </c>
      <c r="F691" s="1" t="s">
        <v>82</v>
      </c>
      <c r="G691" s="4">
        <v>45066</v>
      </c>
      <c r="H691" s="4">
        <v>45074</v>
      </c>
      <c r="I691" s="1" t="s">
        <v>29</v>
      </c>
      <c r="J691" s="1" t="s">
        <v>30</v>
      </c>
      <c r="K691" s="3">
        <v>1</v>
      </c>
      <c r="L691" s="2">
        <v>34162</v>
      </c>
      <c r="M691" s="3">
        <v>15</v>
      </c>
      <c r="N691" s="1" t="s">
        <v>56</v>
      </c>
      <c r="O691" s="1" t="s">
        <v>102</v>
      </c>
      <c r="P691" s="1" t="s">
        <v>58</v>
      </c>
      <c r="Q691" s="1" t="s">
        <v>275</v>
      </c>
      <c r="R691" s="1" t="s">
        <v>2293</v>
      </c>
      <c r="S691" s="3">
        <v>2</v>
      </c>
      <c r="T691" s="1" t="s">
        <v>36</v>
      </c>
      <c r="U691" s="3">
        <v>450</v>
      </c>
      <c r="V691" s="1" t="s">
        <v>62</v>
      </c>
      <c r="W691" s="5">
        <f>Table1[[#This Row],[Quantity]]*Table1[[#This Row],[Price]]*(1-Table1[[#This Row],[Discount %]]/100)</f>
        <v>29037.7</v>
      </c>
      <c r="X691">
        <f>Table1[[#This Row],[DeliveryDate]]-Table1[[#This Row],[OrderDate]]</f>
        <v>8</v>
      </c>
      <c r="Y691" t="str">
        <f>TEXT(Table1[[#This Row],[OrderDate]],"MMMM")</f>
        <v>May</v>
      </c>
      <c r="Z691" s="5">
        <f>YEAR(Table1[[#This Row],[OrderDate]])</f>
        <v>2023</v>
      </c>
    </row>
    <row r="692" spans="1:26" x14ac:dyDescent="0.3">
      <c r="A692" s="1" t="s">
        <v>2294</v>
      </c>
      <c r="B692" t="s">
        <v>808</v>
      </c>
      <c r="C692" s="3">
        <v>29</v>
      </c>
      <c r="D692" s="1" t="s">
        <v>51</v>
      </c>
      <c r="E692" s="1" t="s">
        <v>52</v>
      </c>
      <c r="F692" s="1" t="s">
        <v>82</v>
      </c>
      <c r="G692" s="4">
        <v>45109</v>
      </c>
      <c r="H692" s="4">
        <v>45117</v>
      </c>
      <c r="I692" s="1" t="s">
        <v>93</v>
      </c>
      <c r="J692" s="1" t="s">
        <v>44</v>
      </c>
      <c r="K692" s="3">
        <v>5</v>
      </c>
      <c r="L692" s="2">
        <v>40914</v>
      </c>
      <c r="M692" s="3">
        <v>15</v>
      </c>
      <c r="N692" s="1" t="s">
        <v>166</v>
      </c>
      <c r="O692" s="1" t="s">
        <v>173</v>
      </c>
      <c r="P692" s="1" t="s">
        <v>174</v>
      </c>
      <c r="Q692" s="1" t="s">
        <v>191</v>
      </c>
      <c r="R692" s="1" t="s">
        <v>3415</v>
      </c>
      <c r="S692" s="3">
        <v>5</v>
      </c>
      <c r="T692" s="1" t="s">
        <v>36</v>
      </c>
      <c r="U692" s="3">
        <v>246</v>
      </c>
      <c r="V692" s="1" t="s">
        <v>62</v>
      </c>
      <c r="W692" s="5">
        <f>Table1[[#This Row],[Quantity]]*Table1[[#This Row],[Price]]*(1-Table1[[#This Row],[Discount %]]/100)</f>
        <v>173884.5</v>
      </c>
      <c r="X692">
        <f>Table1[[#This Row],[DeliveryDate]]-Table1[[#This Row],[OrderDate]]</f>
        <v>8</v>
      </c>
      <c r="Y692" t="str">
        <f>TEXT(Table1[[#This Row],[OrderDate]],"MMMM")</f>
        <v>July</v>
      </c>
      <c r="Z692" s="5">
        <f>YEAR(Table1[[#This Row],[OrderDate]])</f>
        <v>2023</v>
      </c>
    </row>
    <row r="693" spans="1:26" x14ac:dyDescent="0.3">
      <c r="A693" s="1" t="s">
        <v>2295</v>
      </c>
      <c r="B693" t="s">
        <v>1080</v>
      </c>
      <c r="C693" s="3">
        <v>53</v>
      </c>
      <c r="D693" s="1" t="s">
        <v>24</v>
      </c>
      <c r="E693" s="1" t="s">
        <v>40</v>
      </c>
      <c r="F693" s="1" t="s">
        <v>53</v>
      </c>
      <c r="G693" s="4">
        <v>45355</v>
      </c>
      <c r="H693" s="4">
        <v>45359</v>
      </c>
      <c r="I693" s="1" t="s">
        <v>29</v>
      </c>
      <c r="J693" s="1" t="s">
        <v>44</v>
      </c>
      <c r="K693" s="3">
        <v>3</v>
      </c>
      <c r="L693" s="2">
        <v>34207</v>
      </c>
      <c r="M693" s="3">
        <v>5</v>
      </c>
      <c r="N693" s="1" t="s">
        <v>56</v>
      </c>
      <c r="O693" s="1" t="s">
        <v>109</v>
      </c>
      <c r="P693" s="1" t="s">
        <v>174</v>
      </c>
      <c r="Q693" s="1" t="s">
        <v>1082</v>
      </c>
      <c r="R693" s="1" t="s">
        <v>2297</v>
      </c>
      <c r="S693" s="3">
        <v>3</v>
      </c>
      <c r="T693" s="1" t="s">
        <v>61</v>
      </c>
      <c r="U693" s="3">
        <v>206</v>
      </c>
      <c r="V693" s="1" t="s">
        <v>62</v>
      </c>
      <c r="W693" s="5">
        <f>Table1[[#This Row],[Quantity]]*Table1[[#This Row],[Price]]*(1-Table1[[#This Row],[Discount %]]/100)</f>
        <v>97489.95</v>
      </c>
      <c r="X693">
        <f>Table1[[#This Row],[DeliveryDate]]-Table1[[#This Row],[OrderDate]]</f>
        <v>4</v>
      </c>
      <c r="Y693" t="str">
        <f>TEXT(Table1[[#This Row],[OrderDate]],"MMMM")</f>
        <v>March</v>
      </c>
      <c r="Z693" s="5">
        <f>YEAR(Table1[[#This Row],[OrderDate]])</f>
        <v>2024</v>
      </c>
    </row>
    <row r="694" spans="1:26" x14ac:dyDescent="0.3">
      <c r="A694" s="1" t="s">
        <v>2298</v>
      </c>
      <c r="B694" t="s">
        <v>156</v>
      </c>
      <c r="C694" s="3">
        <v>45</v>
      </c>
      <c r="D694" s="1" t="s">
        <v>24</v>
      </c>
      <c r="E694" s="1" t="s">
        <v>25</v>
      </c>
      <c r="F694" s="1" t="s">
        <v>53</v>
      </c>
      <c r="G694" s="4">
        <v>45558</v>
      </c>
      <c r="H694" s="4">
        <v>45566</v>
      </c>
      <c r="I694" s="1" t="s">
        <v>77</v>
      </c>
      <c r="J694" s="1" t="s">
        <v>44</v>
      </c>
      <c r="K694" s="3">
        <v>1</v>
      </c>
      <c r="L694" s="2">
        <v>35287</v>
      </c>
      <c r="M694" s="3">
        <v>15</v>
      </c>
      <c r="N694" s="1" t="s">
        <v>45</v>
      </c>
      <c r="O694" s="1" t="s">
        <v>281</v>
      </c>
      <c r="P694" s="1" t="s">
        <v>33</v>
      </c>
      <c r="Q694" s="1" t="s">
        <v>159</v>
      </c>
      <c r="R694" s="1" t="s">
        <v>2300</v>
      </c>
      <c r="S694" s="3">
        <v>5</v>
      </c>
      <c r="T694" s="1" t="s">
        <v>61</v>
      </c>
      <c r="U694" s="3">
        <v>485</v>
      </c>
      <c r="V694" s="1" t="s">
        <v>62</v>
      </c>
      <c r="W694" s="5">
        <f>Table1[[#This Row],[Quantity]]*Table1[[#This Row],[Price]]*(1-Table1[[#This Row],[Discount %]]/100)</f>
        <v>29993.95</v>
      </c>
      <c r="X694">
        <f>Table1[[#This Row],[DeliveryDate]]-Table1[[#This Row],[OrderDate]]</f>
        <v>8</v>
      </c>
      <c r="Y694" t="str">
        <f>TEXT(Table1[[#This Row],[OrderDate]],"MMMM")</f>
        <v>September</v>
      </c>
      <c r="Z694" s="5">
        <f>YEAR(Table1[[#This Row],[OrderDate]])</f>
        <v>2024</v>
      </c>
    </row>
    <row r="695" spans="1:26" x14ac:dyDescent="0.3">
      <c r="A695" s="1" t="s">
        <v>2301</v>
      </c>
      <c r="B695" t="s">
        <v>606</v>
      </c>
      <c r="C695" s="3">
        <v>53</v>
      </c>
      <c r="D695" s="1" t="s">
        <v>51</v>
      </c>
      <c r="E695" s="1" t="s">
        <v>142</v>
      </c>
      <c r="F695" s="1" t="s">
        <v>65</v>
      </c>
      <c r="G695" s="4">
        <v>45418</v>
      </c>
      <c r="H695" s="4">
        <v>45419</v>
      </c>
      <c r="I695" s="1" t="s">
        <v>93</v>
      </c>
      <c r="J695" s="1" t="s">
        <v>30</v>
      </c>
      <c r="K695" s="3">
        <v>1</v>
      </c>
      <c r="L695" s="2">
        <v>6722</v>
      </c>
      <c r="M695" s="3">
        <v>0</v>
      </c>
      <c r="N695" s="1" t="s">
        <v>56</v>
      </c>
      <c r="O695" s="1" t="s">
        <v>57</v>
      </c>
      <c r="P695" s="1" t="s">
        <v>174</v>
      </c>
      <c r="Q695" s="1" t="s">
        <v>3415</v>
      </c>
      <c r="R695" s="1" t="s">
        <v>2302</v>
      </c>
      <c r="S695" s="3">
        <v>3</v>
      </c>
      <c r="T695" s="1" t="s">
        <v>36</v>
      </c>
      <c r="U695" s="3">
        <v>329</v>
      </c>
      <c r="V695" s="1" t="s">
        <v>62</v>
      </c>
      <c r="W695" s="5">
        <f>Table1[[#This Row],[Quantity]]*Table1[[#This Row],[Price]]*(1-Table1[[#This Row],[Discount %]]/100)</f>
        <v>6722</v>
      </c>
      <c r="X695">
        <f>Table1[[#This Row],[DeliveryDate]]-Table1[[#This Row],[OrderDate]]</f>
        <v>1</v>
      </c>
      <c r="Y695" t="str">
        <f>TEXT(Table1[[#This Row],[OrderDate]],"MMMM")</f>
        <v>May</v>
      </c>
      <c r="Z695" s="5">
        <f>YEAR(Table1[[#This Row],[OrderDate]])</f>
        <v>2024</v>
      </c>
    </row>
    <row r="696" spans="1:26" x14ac:dyDescent="0.3">
      <c r="A696" s="1" t="s">
        <v>2303</v>
      </c>
      <c r="B696" t="s">
        <v>293</v>
      </c>
      <c r="C696" s="3">
        <v>26</v>
      </c>
      <c r="D696" s="1" t="s">
        <v>51</v>
      </c>
      <c r="E696" s="1" t="s">
        <v>229</v>
      </c>
      <c r="F696" s="1" t="s">
        <v>65</v>
      </c>
      <c r="G696" s="4">
        <v>45074</v>
      </c>
      <c r="H696" s="4">
        <v>45078</v>
      </c>
      <c r="I696" s="1" t="s">
        <v>85</v>
      </c>
      <c r="J696" s="1" t="s">
        <v>44</v>
      </c>
      <c r="K696" s="3">
        <v>5</v>
      </c>
      <c r="L696" s="2">
        <v>25542</v>
      </c>
      <c r="M696" s="3">
        <v>10</v>
      </c>
      <c r="N696" s="1" t="s">
        <v>31</v>
      </c>
      <c r="O696" s="1" t="s">
        <v>86</v>
      </c>
      <c r="P696" s="1" t="s">
        <v>174</v>
      </c>
      <c r="Q696" s="1" t="s">
        <v>3415</v>
      </c>
      <c r="R696" s="1" t="s">
        <v>2305</v>
      </c>
      <c r="S696" s="3">
        <v>1</v>
      </c>
      <c r="T696" s="1" t="s">
        <v>61</v>
      </c>
      <c r="U696" s="3">
        <v>95</v>
      </c>
      <c r="V696" s="1" t="s">
        <v>79</v>
      </c>
      <c r="W696" s="5">
        <f>Table1[[#This Row],[Quantity]]*Table1[[#This Row],[Price]]*(1-Table1[[#This Row],[Discount %]]/100)</f>
        <v>114939</v>
      </c>
      <c r="X696">
        <f>Table1[[#This Row],[DeliveryDate]]-Table1[[#This Row],[OrderDate]]</f>
        <v>4</v>
      </c>
      <c r="Y696" t="str">
        <f>TEXT(Table1[[#This Row],[OrderDate]],"MMMM")</f>
        <v>May</v>
      </c>
      <c r="Z696" s="5">
        <f>YEAR(Table1[[#This Row],[OrderDate]])</f>
        <v>2023</v>
      </c>
    </row>
    <row r="697" spans="1:26" x14ac:dyDescent="0.3">
      <c r="A697" s="1" t="s">
        <v>2306</v>
      </c>
      <c r="B697" t="s">
        <v>98</v>
      </c>
      <c r="C697" s="3">
        <v>22</v>
      </c>
      <c r="D697" s="1" t="s">
        <v>24</v>
      </c>
      <c r="E697" s="1" t="s">
        <v>25</v>
      </c>
      <c r="F697" s="1" t="s">
        <v>53</v>
      </c>
      <c r="G697" s="4">
        <v>45623</v>
      </c>
      <c r="H697" s="4">
        <v>45624</v>
      </c>
      <c r="I697" s="1" t="s">
        <v>77</v>
      </c>
      <c r="J697" s="1" t="s">
        <v>30</v>
      </c>
      <c r="K697" s="3">
        <v>4</v>
      </c>
      <c r="L697" s="2">
        <v>42109.716287215415</v>
      </c>
      <c r="M697" s="3">
        <v>15</v>
      </c>
      <c r="N697" s="1" t="s">
        <v>166</v>
      </c>
      <c r="O697" s="1" t="s">
        <v>102</v>
      </c>
      <c r="P697" s="1" t="s">
        <v>33</v>
      </c>
      <c r="Q697" s="1" t="s">
        <v>103</v>
      </c>
      <c r="R697" s="1" t="s">
        <v>2308</v>
      </c>
      <c r="S697" s="3">
        <v>3</v>
      </c>
      <c r="T697" s="1" t="s">
        <v>96</v>
      </c>
      <c r="U697" s="3">
        <v>76</v>
      </c>
      <c r="V697" s="1" t="s">
        <v>62</v>
      </c>
      <c r="W697" s="5">
        <f>Table1[[#This Row],[Quantity]]*Table1[[#This Row],[Price]]*(1-Table1[[#This Row],[Discount %]]/100)</f>
        <v>143173.03537653241</v>
      </c>
      <c r="X697">
        <f>Table1[[#This Row],[DeliveryDate]]-Table1[[#This Row],[OrderDate]]</f>
        <v>1</v>
      </c>
      <c r="Y697" t="str">
        <f>TEXT(Table1[[#This Row],[OrderDate]],"MMMM")</f>
        <v>November</v>
      </c>
      <c r="Z697" s="5">
        <f>YEAR(Table1[[#This Row],[OrderDate]])</f>
        <v>2024</v>
      </c>
    </row>
    <row r="698" spans="1:26" x14ac:dyDescent="0.3">
      <c r="A698" s="1" t="s">
        <v>2309</v>
      </c>
      <c r="B698" t="s">
        <v>361</v>
      </c>
      <c r="C698" s="3">
        <v>39</v>
      </c>
      <c r="D698" s="1" t="s">
        <v>51</v>
      </c>
      <c r="E698" s="1" t="s">
        <v>99</v>
      </c>
      <c r="F698" s="1" t="s">
        <v>53</v>
      </c>
      <c r="G698" s="4">
        <v>45051</v>
      </c>
      <c r="H698" s="4">
        <v>45056</v>
      </c>
      <c r="I698" s="1" t="s">
        <v>77</v>
      </c>
      <c r="J698" s="1" t="s">
        <v>44</v>
      </c>
      <c r="K698" s="3">
        <v>4</v>
      </c>
      <c r="L698" s="2">
        <v>43357</v>
      </c>
      <c r="M698" s="3">
        <v>5</v>
      </c>
      <c r="N698" s="1" t="s">
        <v>166</v>
      </c>
      <c r="O698" s="1" t="s">
        <v>32</v>
      </c>
      <c r="P698" s="1" t="s">
        <v>33</v>
      </c>
      <c r="Q698" s="1" t="s">
        <v>364</v>
      </c>
      <c r="R698" s="1" t="s">
        <v>2310</v>
      </c>
      <c r="S698" s="3">
        <v>5</v>
      </c>
      <c r="T698" s="1" t="s">
        <v>72</v>
      </c>
      <c r="U698" s="3">
        <v>99</v>
      </c>
      <c r="V698" s="1" t="s">
        <v>79</v>
      </c>
      <c r="W698" s="5">
        <f>Table1[[#This Row],[Quantity]]*Table1[[#This Row],[Price]]*(1-Table1[[#This Row],[Discount %]]/100)</f>
        <v>164756.6</v>
      </c>
      <c r="X698">
        <f>Table1[[#This Row],[DeliveryDate]]-Table1[[#This Row],[OrderDate]]</f>
        <v>5</v>
      </c>
      <c r="Y698" t="str">
        <f>TEXT(Table1[[#This Row],[OrderDate]],"MMMM")</f>
        <v>May</v>
      </c>
      <c r="Z698" s="5">
        <f>YEAR(Table1[[#This Row],[OrderDate]])</f>
        <v>2023</v>
      </c>
    </row>
    <row r="699" spans="1:26" x14ac:dyDescent="0.3">
      <c r="A699" s="1" t="s">
        <v>2311</v>
      </c>
      <c r="B699" t="s">
        <v>1690</v>
      </c>
      <c r="C699" s="3">
        <v>60</v>
      </c>
      <c r="D699" s="1" t="s">
        <v>24</v>
      </c>
      <c r="E699" s="1" t="s">
        <v>40</v>
      </c>
      <c r="F699" s="1" t="s">
        <v>82</v>
      </c>
      <c r="G699" s="4">
        <v>45024</v>
      </c>
      <c r="H699" s="4">
        <v>45028</v>
      </c>
      <c r="I699" s="1" t="s">
        <v>93</v>
      </c>
      <c r="J699" s="1" t="s">
        <v>30</v>
      </c>
      <c r="K699" s="3">
        <v>2</v>
      </c>
      <c r="L699" s="2">
        <v>5196</v>
      </c>
      <c r="M699" s="3">
        <v>10</v>
      </c>
      <c r="N699" s="1" t="s">
        <v>56</v>
      </c>
      <c r="O699" s="1" t="s">
        <v>281</v>
      </c>
      <c r="P699" s="1" t="s">
        <v>174</v>
      </c>
      <c r="Q699" s="1" t="s">
        <v>87</v>
      </c>
      <c r="R699" s="1" t="s">
        <v>2312</v>
      </c>
      <c r="S699" s="3">
        <v>1</v>
      </c>
      <c r="T699" s="1" t="s">
        <v>96</v>
      </c>
      <c r="U699" s="3">
        <v>384</v>
      </c>
      <c r="V699" s="1" t="s">
        <v>37</v>
      </c>
      <c r="W699" s="5">
        <f>Table1[[#This Row],[Quantity]]*Table1[[#This Row],[Price]]*(1-Table1[[#This Row],[Discount %]]/100)</f>
        <v>9352.8000000000011</v>
      </c>
      <c r="X699">
        <f>Table1[[#This Row],[DeliveryDate]]-Table1[[#This Row],[OrderDate]]</f>
        <v>4</v>
      </c>
      <c r="Y699" t="str">
        <f>TEXT(Table1[[#This Row],[OrderDate]],"MMMM")</f>
        <v>April</v>
      </c>
      <c r="Z699" s="5">
        <f>YEAR(Table1[[#This Row],[OrderDate]])</f>
        <v>2023</v>
      </c>
    </row>
    <row r="700" spans="1:26" x14ac:dyDescent="0.3">
      <c r="A700" s="1" t="s">
        <v>2313</v>
      </c>
      <c r="B700" t="s">
        <v>315</v>
      </c>
      <c r="C700" s="3">
        <v>45</v>
      </c>
      <c r="D700" s="1" t="s">
        <v>51</v>
      </c>
      <c r="E700" s="1" t="s">
        <v>26</v>
      </c>
      <c r="F700" s="1" t="s">
        <v>65</v>
      </c>
      <c r="G700" s="4">
        <v>45513</v>
      </c>
      <c r="H700" s="4">
        <v>45521</v>
      </c>
      <c r="I700" s="1" t="s">
        <v>93</v>
      </c>
      <c r="J700" s="1" t="s">
        <v>30</v>
      </c>
      <c r="K700" s="3">
        <v>5</v>
      </c>
      <c r="L700" s="2">
        <v>15757</v>
      </c>
      <c r="M700" s="3">
        <v>5</v>
      </c>
      <c r="N700" s="1" t="s">
        <v>166</v>
      </c>
      <c r="O700" s="1" t="s">
        <v>102</v>
      </c>
      <c r="P700" s="1" t="s">
        <v>174</v>
      </c>
      <c r="Q700" s="1" t="s">
        <v>3415</v>
      </c>
      <c r="R700" s="1" t="s">
        <v>2314</v>
      </c>
      <c r="S700" s="3">
        <v>4</v>
      </c>
      <c r="T700" s="1" t="s">
        <v>36</v>
      </c>
      <c r="U700" s="3">
        <v>211</v>
      </c>
      <c r="V700" s="1" t="s">
        <v>37</v>
      </c>
      <c r="W700" s="5">
        <f>Table1[[#This Row],[Quantity]]*Table1[[#This Row],[Price]]*(1-Table1[[#This Row],[Discount %]]/100)</f>
        <v>74845.75</v>
      </c>
      <c r="X700">
        <f>Table1[[#This Row],[DeliveryDate]]-Table1[[#This Row],[OrderDate]]</f>
        <v>8</v>
      </c>
      <c r="Y700" t="str">
        <f>TEXT(Table1[[#This Row],[OrderDate]],"MMMM")</f>
        <v>August</v>
      </c>
      <c r="Z700" s="5">
        <f>YEAR(Table1[[#This Row],[OrderDate]])</f>
        <v>2024</v>
      </c>
    </row>
    <row r="701" spans="1:26" x14ac:dyDescent="0.3">
      <c r="A701" s="1" t="s">
        <v>2315</v>
      </c>
      <c r="B701" t="s">
        <v>1008</v>
      </c>
      <c r="C701" s="3">
        <v>31</v>
      </c>
      <c r="D701" s="1" t="s">
        <v>24</v>
      </c>
      <c r="E701" s="1" t="s">
        <v>99</v>
      </c>
      <c r="F701" s="1" t="s">
        <v>65</v>
      </c>
      <c r="G701" s="4">
        <v>45369</v>
      </c>
      <c r="H701" s="4">
        <v>45374</v>
      </c>
      <c r="I701" s="1" t="s">
        <v>108</v>
      </c>
      <c r="J701" s="1" t="s">
        <v>44</v>
      </c>
      <c r="K701" s="3">
        <v>5</v>
      </c>
      <c r="L701" s="2">
        <v>61245</v>
      </c>
      <c r="M701" s="3">
        <v>15</v>
      </c>
      <c r="N701" s="1" t="s">
        <v>31</v>
      </c>
      <c r="O701" s="1" t="s">
        <v>86</v>
      </c>
      <c r="P701" s="1" t="s">
        <v>69</v>
      </c>
      <c r="Q701" s="1" t="s">
        <v>1011</v>
      </c>
      <c r="R701" s="1" t="s">
        <v>2316</v>
      </c>
      <c r="S701" s="3">
        <v>4</v>
      </c>
      <c r="T701" s="1" t="s">
        <v>36</v>
      </c>
      <c r="U701" s="3">
        <v>437</v>
      </c>
      <c r="V701" s="1" t="s">
        <v>79</v>
      </c>
      <c r="W701" s="5">
        <f>Table1[[#This Row],[Quantity]]*Table1[[#This Row],[Price]]*(1-Table1[[#This Row],[Discount %]]/100)</f>
        <v>260291.25</v>
      </c>
      <c r="X701">
        <f>Table1[[#This Row],[DeliveryDate]]-Table1[[#This Row],[OrderDate]]</f>
        <v>5</v>
      </c>
      <c r="Y701" t="str">
        <f>TEXT(Table1[[#This Row],[OrderDate]],"MMMM")</f>
        <v>March</v>
      </c>
      <c r="Z701" s="5">
        <f>YEAR(Table1[[#This Row],[OrderDate]])</f>
        <v>2024</v>
      </c>
    </row>
    <row r="702" spans="1:26" x14ac:dyDescent="0.3">
      <c r="A702" s="1" t="s">
        <v>2317</v>
      </c>
      <c r="B702" t="s">
        <v>1309</v>
      </c>
      <c r="C702" s="3">
        <v>52</v>
      </c>
      <c r="D702" s="1" t="s">
        <v>24</v>
      </c>
      <c r="E702" s="1" t="s">
        <v>26</v>
      </c>
      <c r="F702" s="1" t="s">
        <v>82</v>
      </c>
      <c r="G702" s="4">
        <v>45276</v>
      </c>
      <c r="H702" s="4">
        <v>45285</v>
      </c>
      <c r="I702" s="1" t="s">
        <v>29</v>
      </c>
      <c r="J702" s="1" t="s">
        <v>30</v>
      </c>
      <c r="K702" s="3">
        <v>4</v>
      </c>
      <c r="L702" s="2">
        <v>6202</v>
      </c>
      <c r="M702" s="3">
        <v>10</v>
      </c>
      <c r="N702" s="1" t="s">
        <v>166</v>
      </c>
      <c r="O702" s="1" t="s">
        <v>46</v>
      </c>
      <c r="P702" s="1" t="s">
        <v>174</v>
      </c>
      <c r="Q702" s="1" t="s">
        <v>1311</v>
      </c>
      <c r="R702" s="1" t="s">
        <v>2319</v>
      </c>
      <c r="S702" s="3">
        <v>2</v>
      </c>
      <c r="T702" s="1" t="s">
        <v>61</v>
      </c>
      <c r="U702" s="3">
        <v>424</v>
      </c>
      <c r="V702" s="1" t="s">
        <v>62</v>
      </c>
      <c r="W702" s="5">
        <f>Table1[[#This Row],[Quantity]]*Table1[[#This Row],[Price]]*(1-Table1[[#This Row],[Discount %]]/100)</f>
        <v>22327.200000000001</v>
      </c>
      <c r="X702">
        <f>Table1[[#This Row],[DeliveryDate]]-Table1[[#This Row],[OrderDate]]</f>
        <v>9</v>
      </c>
      <c r="Y702" t="str">
        <f>TEXT(Table1[[#This Row],[OrderDate]],"MMMM")</f>
        <v>December</v>
      </c>
      <c r="Z702" s="5">
        <f>YEAR(Table1[[#This Row],[OrderDate]])</f>
        <v>2023</v>
      </c>
    </row>
    <row r="703" spans="1:26" x14ac:dyDescent="0.3">
      <c r="A703" s="1" t="s">
        <v>2320</v>
      </c>
      <c r="B703" t="s">
        <v>293</v>
      </c>
      <c r="C703" s="3">
        <v>35</v>
      </c>
      <c r="D703" s="1" t="s">
        <v>51</v>
      </c>
      <c r="E703" s="1" t="s">
        <v>229</v>
      </c>
      <c r="F703" s="1" t="s">
        <v>53</v>
      </c>
      <c r="G703" s="4">
        <v>45382</v>
      </c>
      <c r="H703" s="4">
        <v>45386</v>
      </c>
      <c r="I703" s="1" t="s">
        <v>85</v>
      </c>
      <c r="J703" s="1" t="s">
        <v>30</v>
      </c>
      <c r="K703" s="3">
        <v>4</v>
      </c>
      <c r="L703" s="2">
        <v>78752</v>
      </c>
      <c r="M703" s="3">
        <v>5</v>
      </c>
      <c r="N703" s="1" t="s">
        <v>56</v>
      </c>
      <c r="O703" s="1" t="s">
        <v>109</v>
      </c>
      <c r="P703" s="1" t="s">
        <v>58</v>
      </c>
      <c r="Q703" s="1" t="s">
        <v>3415</v>
      </c>
      <c r="R703" s="1" t="s">
        <v>2321</v>
      </c>
      <c r="S703" s="3">
        <v>3</v>
      </c>
      <c r="T703" s="1" t="s">
        <v>72</v>
      </c>
      <c r="U703" s="3">
        <v>485</v>
      </c>
      <c r="V703" s="1" t="s">
        <v>37</v>
      </c>
      <c r="W703" s="5">
        <f>Table1[[#This Row],[Quantity]]*Table1[[#This Row],[Price]]*(1-Table1[[#This Row],[Discount %]]/100)</f>
        <v>299257.59999999998</v>
      </c>
      <c r="X703">
        <f>Table1[[#This Row],[DeliveryDate]]-Table1[[#This Row],[OrderDate]]</f>
        <v>4</v>
      </c>
      <c r="Y703" t="str">
        <f>TEXT(Table1[[#This Row],[OrderDate]],"MMMM")</f>
        <v>March</v>
      </c>
      <c r="Z703" s="5">
        <f>YEAR(Table1[[#This Row],[OrderDate]])</f>
        <v>2024</v>
      </c>
    </row>
    <row r="704" spans="1:26" x14ac:dyDescent="0.3">
      <c r="A704" s="1" t="s">
        <v>2322</v>
      </c>
      <c r="B704" t="s">
        <v>285</v>
      </c>
      <c r="C704" s="3">
        <v>34</v>
      </c>
      <c r="D704" s="1" t="s">
        <v>24</v>
      </c>
      <c r="E704" s="1" t="s">
        <v>40</v>
      </c>
      <c r="F704" s="1" t="s">
        <v>65</v>
      </c>
      <c r="G704" s="4">
        <v>45271</v>
      </c>
      <c r="H704" s="4">
        <v>45274</v>
      </c>
      <c r="I704" s="1" t="s">
        <v>85</v>
      </c>
      <c r="J704" s="1" t="s">
        <v>44</v>
      </c>
      <c r="K704" s="3">
        <v>1</v>
      </c>
      <c r="L704" s="2">
        <v>74200</v>
      </c>
      <c r="M704" s="3">
        <v>15</v>
      </c>
      <c r="N704" s="1" t="s">
        <v>166</v>
      </c>
      <c r="O704" s="1" t="s">
        <v>102</v>
      </c>
      <c r="P704" s="1" t="s">
        <v>174</v>
      </c>
      <c r="Q704" s="1" t="s">
        <v>300</v>
      </c>
      <c r="R704" s="1" t="s">
        <v>2323</v>
      </c>
      <c r="S704" s="3">
        <v>5</v>
      </c>
      <c r="T704" s="1" t="s">
        <v>61</v>
      </c>
      <c r="U704" s="3">
        <v>170</v>
      </c>
      <c r="V704" s="1" t="s">
        <v>79</v>
      </c>
      <c r="W704" s="5">
        <f>Table1[[#This Row],[Quantity]]*Table1[[#This Row],[Price]]*(1-Table1[[#This Row],[Discount %]]/100)</f>
        <v>63070</v>
      </c>
      <c r="X704">
        <f>Table1[[#This Row],[DeliveryDate]]-Table1[[#This Row],[OrderDate]]</f>
        <v>3</v>
      </c>
      <c r="Y704" t="str">
        <f>TEXT(Table1[[#This Row],[OrderDate]],"MMMM")</f>
        <v>December</v>
      </c>
      <c r="Z704" s="5">
        <f>YEAR(Table1[[#This Row],[OrderDate]])</f>
        <v>2023</v>
      </c>
    </row>
    <row r="705" spans="1:26" x14ac:dyDescent="0.3">
      <c r="A705" s="1" t="s">
        <v>2324</v>
      </c>
      <c r="B705" t="s">
        <v>136</v>
      </c>
      <c r="C705" s="3">
        <v>41</v>
      </c>
      <c r="D705" s="1" t="s">
        <v>24</v>
      </c>
      <c r="E705" s="1" t="s">
        <v>142</v>
      </c>
      <c r="F705" s="1" t="s">
        <v>91</v>
      </c>
      <c r="G705" s="4">
        <v>45199</v>
      </c>
      <c r="H705" s="4">
        <v>45204</v>
      </c>
      <c r="I705" s="1" t="s">
        <v>108</v>
      </c>
      <c r="J705" s="1" t="s">
        <v>30</v>
      </c>
      <c r="K705" s="3">
        <v>3</v>
      </c>
      <c r="L705" s="2">
        <v>42109.716287215415</v>
      </c>
      <c r="M705" s="3">
        <v>5</v>
      </c>
      <c r="N705" s="1" t="s">
        <v>166</v>
      </c>
      <c r="O705" s="1" t="s">
        <v>133</v>
      </c>
      <c r="P705" s="1" t="s">
        <v>174</v>
      </c>
      <c r="Q705" s="1" t="s">
        <v>269</v>
      </c>
      <c r="R705" s="1" t="s">
        <v>2326</v>
      </c>
      <c r="S705" s="3">
        <v>4</v>
      </c>
      <c r="T705" s="1" t="s">
        <v>72</v>
      </c>
      <c r="U705" s="3">
        <v>282</v>
      </c>
      <c r="V705" s="1" t="s">
        <v>79</v>
      </c>
      <c r="W705" s="5">
        <f>Table1[[#This Row],[Quantity]]*Table1[[#This Row],[Price]]*(1-Table1[[#This Row],[Discount %]]/100)</f>
        <v>120012.69141856393</v>
      </c>
      <c r="X705">
        <f>Table1[[#This Row],[DeliveryDate]]-Table1[[#This Row],[OrderDate]]</f>
        <v>5</v>
      </c>
      <c r="Y705" t="str">
        <f>TEXT(Table1[[#This Row],[OrderDate]],"MMMM")</f>
        <v>September</v>
      </c>
      <c r="Z705" s="5">
        <f>YEAR(Table1[[#This Row],[OrderDate]])</f>
        <v>2023</v>
      </c>
    </row>
    <row r="706" spans="1:26" x14ac:dyDescent="0.3">
      <c r="A706" s="1" t="s">
        <v>2327</v>
      </c>
      <c r="B706" t="s">
        <v>105</v>
      </c>
      <c r="C706" s="3">
        <v>29</v>
      </c>
      <c r="D706" s="1" t="s">
        <v>24</v>
      </c>
      <c r="E706" s="1" t="s">
        <v>229</v>
      </c>
      <c r="F706" s="1" t="s">
        <v>53</v>
      </c>
      <c r="G706" s="4">
        <v>45283</v>
      </c>
      <c r="H706" s="4">
        <v>45285</v>
      </c>
      <c r="I706" s="1" t="s">
        <v>108</v>
      </c>
      <c r="J706" s="1" t="s">
        <v>44</v>
      </c>
      <c r="K706" s="3">
        <v>5</v>
      </c>
      <c r="L706" s="2">
        <v>53462</v>
      </c>
      <c r="M706" s="3">
        <v>10</v>
      </c>
      <c r="N706" s="1" t="s">
        <v>56</v>
      </c>
      <c r="O706" s="1" t="s">
        <v>102</v>
      </c>
      <c r="P706" s="1" t="s">
        <v>69</v>
      </c>
      <c r="Q706" s="1" t="s">
        <v>110</v>
      </c>
      <c r="R706" s="1" t="s">
        <v>2328</v>
      </c>
      <c r="S706" s="3">
        <v>1</v>
      </c>
      <c r="T706" s="1" t="s">
        <v>96</v>
      </c>
      <c r="U706" s="3">
        <v>87</v>
      </c>
      <c r="V706" s="1" t="s">
        <v>37</v>
      </c>
      <c r="W706" s="5">
        <f>Table1[[#This Row],[Quantity]]*Table1[[#This Row],[Price]]*(1-Table1[[#This Row],[Discount %]]/100)</f>
        <v>240579</v>
      </c>
      <c r="X706">
        <f>Table1[[#This Row],[DeliveryDate]]-Table1[[#This Row],[OrderDate]]</f>
        <v>2</v>
      </c>
      <c r="Y706" t="str">
        <f>TEXT(Table1[[#This Row],[OrderDate]],"MMMM")</f>
        <v>December</v>
      </c>
      <c r="Z706" s="5">
        <f>YEAR(Table1[[#This Row],[OrderDate]])</f>
        <v>2023</v>
      </c>
    </row>
    <row r="707" spans="1:26" x14ac:dyDescent="0.3">
      <c r="A707" s="1" t="s">
        <v>2329</v>
      </c>
      <c r="B707" t="s">
        <v>74</v>
      </c>
      <c r="C707" s="3">
        <v>48</v>
      </c>
      <c r="D707" s="1" t="s">
        <v>51</v>
      </c>
      <c r="E707" s="1" t="s">
        <v>131</v>
      </c>
      <c r="F707" s="1" t="s">
        <v>65</v>
      </c>
      <c r="G707" s="4">
        <v>45412</v>
      </c>
      <c r="H707" s="4">
        <v>45415</v>
      </c>
      <c r="I707" s="1" t="s">
        <v>77</v>
      </c>
      <c r="J707" s="1" t="s">
        <v>44</v>
      </c>
      <c r="K707" s="3">
        <v>5</v>
      </c>
      <c r="L707" s="2">
        <v>17229</v>
      </c>
      <c r="M707" s="3">
        <v>5</v>
      </c>
      <c r="N707" s="1" t="s">
        <v>56</v>
      </c>
      <c r="O707" s="1" t="s">
        <v>133</v>
      </c>
      <c r="P707" s="1" t="s">
        <v>69</v>
      </c>
      <c r="Q707" s="1" t="s">
        <v>78</v>
      </c>
      <c r="R707" s="1" t="s">
        <v>2330</v>
      </c>
      <c r="S707" s="3">
        <v>3</v>
      </c>
      <c r="T707" s="1" t="s">
        <v>96</v>
      </c>
      <c r="U707" s="3">
        <v>409</v>
      </c>
      <c r="V707" s="1" t="s">
        <v>79</v>
      </c>
      <c r="W707" s="5">
        <f>Table1[[#This Row],[Quantity]]*Table1[[#This Row],[Price]]*(1-Table1[[#This Row],[Discount %]]/100)</f>
        <v>81837.75</v>
      </c>
      <c r="X707">
        <f>Table1[[#This Row],[DeliveryDate]]-Table1[[#This Row],[OrderDate]]</f>
        <v>3</v>
      </c>
      <c r="Y707" t="str">
        <f>TEXT(Table1[[#This Row],[OrderDate]],"MMMM")</f>
        <v>April</v>
      </c>
      <c r="Z707" s="5">
        <f>YEAR(Table1[[#This Row],[OrderDate]])</f>
        <v>2024</v>
      </c>
    </row>
    <row r="708" spans="1:26" x14ac:dyDescent="0.3">
      <c r="A708" s="1" t="s">
        <v>2331</v>
      </c>
      <c r="B708" t="s">
        <v>216</v>
      </c>
      <c r="C708" s="3">
        <v>40</v>
      </c>
      <c r="D708" s="1" t="s">
        <v>24</v>
      </c>
      <c r="E708" s="1" t="s">
        <v>229</v>
      </c>
      <c r="F708" s="1" t="s">
        <v>82</v>
      </c>
      <c r="G708" s="4">
        <v>45018</v>
      </c>
      <c r="H708" s="4">
        <v>45028</v>
      </c>
      <c r="I708" s="1" t="s">
        <v>85</v>
      </c>
      <c r="J708" s="1" t="s">
        <v>30</v>
      </c>
      <c r="K708" s="3">
        <v>5</v>
      </c>
      <c r="L708" s="2">
        <v>25454</v>
      </c>
      <c r="M708" s="3">
        <v>10</v>
      </c>
      <c r="N708" s="1" t="s">
        <v>45</v>
      </c>
      <c r="O708" s="1" t="s">
        <v>32</v>
      </c>
      <c r="P708" s="1" t="s">
        <v>33</v>
      </c>
      <c r="Q708" s="1" t="s">
        <v>219</v>
      </c>
      <c r="R708" s="1" t="s">
        <v>2332</v>
      </c>
      <c r="S708" s="3">
        <v>1</v>
      </c>
      <c r="T708" s="1" t="s">
        <v>96</v>
      </c>
      <c r="U708" s="3">
        <v>143</v>
      </c>
      <c r="V708" s="1" t="s">
        <v>62</v>
      </c>
      <c r="W708" s="5">
        <f>Table1[[#This Row],[Quantity]]*Table1[[#This Row],[Price]]*(1-Table1[[#This Row],[Discount %]]/100)</f>
        <v>114543</v>
      </c>
      <c r="X708">
        <f>Table1[[#This Row],[DeliveryDate]]-Table1[[#This Row],[OrderDate]]</f>
        <v>10</v>
      </c>
      <c r="Y708" t="str">
        <f>TEXT(Table1[[#This Row],[OrderDate]],"MMMM")</f>
        <v>April</v>
      </c>
      <c r="Z708" s="5">
        <f>YEAR(Table1[[#This Row],[OrderDate]])</f>
        <v>2023</v>
      </c>
    </row>
    <row r="709" spans="1:26" x14ac:dyDescent="0.3">
      <c r="A709" s="1" t="s">
        <v>2333</v>
      </c>
      <c r="B709" t="s">
        <v>293</v>
      </c>
      <c r="C709" s="3">
        <v>31</v>
      </c>
      <c r="D709" s="1" t="s">
        <v>51</v>
      </c>
      <c r="E709" s="1" t="s">
        <v>229</v>
      </c>
      <c r="F709" s="1" t="s">
        <v>65</v>
      </c>
      <c r="G709" s="4">
        <v>45167</v>
      </c>
      <c r="H709" s="4">
        <v>45174</v>
      </c>
      <c r="I709" s="1" t="s">
        <v>93</v>
      </c>
      <c r="J709" s="1" t="s">
        <v>30</v>
      </c>
      <c r="K709" s="3">
        <v>5</v>
      </c>
      <c r="L709" s="2">
        <v>23710</v>
      </c>
      <c r="M709" s="3">
        <v>10</v>
      </c>
      <c r="N709" s="1" t="s">
        <v>45</v>
      </c>
      <c r="O709" s="1" t="s">
        <v>32</v>
      </c>
      <c r="P709" s="1" t="s">
        <v>69</v>
      </c>
      <c r="Q709" s="1" t="s">
        <v>1231</v>
      </c>
      <c r="R709" s="1" t="s">
        <v>3415</v>
      </c>
      <c r="S709" s="3">
        <v>2</v>
      </c>
      <c r="T709" s="1" t="s">
        <v>61</v>
      </c>
      <c r="U709" s="3">
        <v>431</v>
      </c>
      <c r="V709" s="1" t="s">
        <v>62</v>
      </c>
      <c r="W709" s="5">
        <f>Table1[[#This Row],[Quantity]]*Table1[[#This Row],[Price]]*(1-Table1[[#This Row],[Discount %]]/100)</f>
        <v>106695</v>
      </c>
      <c r="X709">
        <f>Table1[[#This Row],[DeliveryDate]]-Table1[[#This Row],[OrderDate]]</f>
        <v>7</v>
      </c>
      <c r="Y709" t="str">
        <f>TEXT(Table1[[#This Row],[OrderDate]],"MMMM")</f>
        <v>August</v>
      </c>
      <c r="Z709" s="5">
        <f>YEAR(Table1[[#This Row],[OrderDate]])</f>
        <v>2023</v>
      </c>
    </row>
    <row r="710" spans="1:26" x14ac:dyDescent="0.3">
      <c r="A710" s="1" t="s">
        <v>2335</v>
      </c>
      <c r="B710" t="s">
        <v>850</v>
      </c>
      <c r="C710" s="3">
        <v>53</v>
      </c>
      <c r="D710" s="1" t="s">
        <v>51</v>
      </c>
      <c r="E710" s="1" t="s">
        <v>142</v>
      </c>
      <c r="F710" s="1" t="s">
        <v>91</v>
      </c>
      <c r="G710" s="4">
        <v>45203</v>
      </c>
      <c r="H710" s="4">
        <v>45213</v>
      </c>
      <c r="I710" s="1" t="s">
        <v>77</v>
      </c>
      <c r="J710" s="1" t="s">
        <v>44</v>
      </c>
      <c r="K710" s="3">
        <v>5</v>
      </c>
      <c r="L710" s="2">
        <v>9019</v>
      </c>
      <c r="M710" s="3">
        <v>15</v>
      </c>
      <c r="N710" s="1" t="s">
        <v>45</v>
      </c>
      <c r="O710" s="1" t="s">
        <v>86</v>
      </c>
      <c r="P710" s="1" t="s">
        <v>58</v>
      </c>
      <c r="Q710" s="1" t="s">
        <v>258</v>
      </c>
      <c r="R710" s="1" t="s">
        <v>2336</v>
      </c>
      <c r="S710" s="3">
        <v>1</v>
      </c>
      <c r="T710" s="1" t="s">
        <v>96</v>
      </c>
      <c r="U710" s="3">
        <v>153</v>
      </c>
      <c r="V710" s="1" t="s">
        <v>62</v>
      </c>
      <c r="W710" s="5">
        <f>Table1[[#This Row],[Quantity]]*Table1[[#This Row],[Price]]*(1-Table1[[#This Row],[Discount %]]/100)</f>
        <v>38330.75</v>
      </c>
      <c r="X710">
        <f>Table1[[#This Row],[DeliveryDate]]-Table1[[#This Row],[OrderDate]]</f>
        <v>10</v>
      </c>
      <c r="Y710" t="str">
        <f>TEXT(Table1[[#This Row],[OrderDate]],"MMMM")</f>
        <v>October</v>
      </c>
      <c r="Z710" s="5">
        <f>YEAR(Table1[[#This Row],[OrderDate]])</f>
        <v>2023</v>
      </c>
    </row>
    <row r="711" spans="1:26" x14ac:dyDescent="0.3">
      <c r="A711" s="1" t="s">
        <v>2337</v>
      </c>
      <c r="B711" t="s">
        <v>498</v>
      </c>
      <c r="C711" s="3">
        <v>53</v>
      </c>
      <c r="D711" s="1" t="s">
        <v>24</v>
      </c>
      <c r="E711" s="1" t="s">
        <v>25</v>
      </c>
      <c r="F711" s="1" t="s">
        <v>53</v>
      </c>
      <c r="G711" s="4">
        <v>45390</v>
      </c>
      <c r="H711" s="4">
        <v>45394</v>
      </c>
      <c r="I711" s="1" t="s">
        <v>85</v>
      </c>
      <c r="J711" s="1" t="s">
        <v>44</v>
      </c>
      <c r="K711" s="3">
        <v>5</v>
      </c>
      <c r="L711" s="2">
        <v>8547</v>
      </c>
      <c r="M711" s="3">
        <v>15</v>
      </c>
      <c r="N711" s="1" t="s">
        <v>166</v>
      </c>
      <c r="O711" s="1" t="s">
        <v>86</v>
      </c>
      <c r="P711" s="1" t="s">
        <v>174</v>
      </c>
      <c r="Q711" s="1" t="s">
        <v>500</v>
      </c>
      <c r="R711" s="1" t="s">
        <v>2338</v>
      </c>
      <c r="S711" s="3">
        <v>1</v>
      </c>
      <c r="T711" s="1" t="s">
        <v>61</v>
      </c>
      <c r="U711" s="3">
        <v>416</v>
      </c>
      <c r="V711" s="1" t="s">
        <v>37</v>
      </c>
      <c r="W711" s="5">
        <f>Table1[[#This Row],[Quantity]]*Table1[[#This Row],[Price]]*(1-Table1[[#This Row],[Discount %]]/100)</f>
        <v>36324.75</v>
      </c>
      <c r="X711">
        <f>Table1[[#This Row],[DeliveryDate]]-Table1[[#This Row],[OrderDate]]</f>
        <v>4</v>
      </c>
      <c r="Y711" t="str">
        <f>TEXT(Table1[[#This Row],[OrderDate]],"MMMM")</f>
        <v>April</v>
      </c>
      <c r="Z711" s="5">
        <f>YEAR(Table1[[#This Row],[OrderDate]])</f>
        <v>2024</v>
      </c>
    </row>
    <row r="712" spans="1:26" x14ac:dyDescent="0.3">
      <c r="A712" s="1" t="s">
        <v>2339</v>
      </c>
      <c r="B712" t="s">
        <v>729</v>
      </c>
      <c r="C712" s="3">
        <v>37</v>
      </c>
      <c r="D712" s="1" t="s">
        <v>24</v>
      </c>
      <c r="E712" s="1" t="s">
        <v>142</v>
      </c>
      <c r="F712" s="1" t="s">
        <v>82</v>
      </c>
      <c r="G712" s="4">
        <v>45305</v>
      </c>
      <c r="H712" s="4">
        <v>45308</v>
      </c>
      <c r="I712" s="1" t="s">
        <v>77</v>
      </c>
      <c r="J712" s="1" t="s">
        <v>44</v>
      </c>
      <c r="K712" s="3">
        <v>3</v>
      </c>
      <c r="L712" s="2">
        <v>8014</v>
      </c>
      <c r="M712" s="3">
        <v>10</v>
      </c>
      <c r="N712" s="1" t="s">
        <v>56</v>
      </c>
      <c r="O712" s="1" t="s">
        <v>133</v>
      </c>
      <c r="P712" s="1" t="s">
        <v>33</v>
      </c>
      <c r="Q712" s="1" t="s">
        <v>732</v>
      </c>
      <c r="R712" s="1" t="s">
        <v>2341</v>
      </c>
      <c r="S712" s="3">
        <v>2</v>
      </c>
      <c r="T712" s="1" t="s">
        <v>96</v>
      </c>
      <c r="U712" s="3">
        <v>454</v>
      </c>
      <c r="V712" s="1" t="s">
        <v>62</v>
      </c>
      <c r="W712" s="5">
        <f>Table1[[#This Row],[Quantity]]*Table1[[#This Row],[Price]]*(1-Table1[[#This Row],[Discount %]]/100)</f>
        <v>21637.8</v>
      </c>
      <c r="X712">
        <f>Table1[[#This Row],[DeliveryDate]]-Table1[[#This Row],[OrderDate]]</f>
        <v>3</v>
      </c>
      <c r="Y712" t="str">
        <f>TEXT(Table1[[#This Row],[OrderDate]],"MMMM")</f>
        <v>January</v>
      </c>
      <c r="Z712" s="5">
        <f>YEAR(Table1[[#This Row],[OrderDate]])</f>
        <v>2024</v>
      </c>
    </row>
    <row r="713" spans="1:26" x14ac:dyDescent="0.3">
      <c r="A713" s="1" t="s">
        <v>2342</v>
      </c>
      <c r="B713" t="s">
        <v>555</v>
      </c>
      <c r="C713" s="3">
        <v>38</v>
      </c>
      <c r="D713" s="1" t="s">
        <v>24</v>
      </c>
      <c r="E713" s="1" t="s">
        <v>52</v>
      </c>
      <c r="F713" s="1" t="s">
        <v>53</v>
      </c>
      <c r="G713" s="4">
        <v>44950</v>
      </c>
      <c r="H713" s="4">
        <v>44960</v>
      </c>
      <c r="I713" s="1" t="s">
        <v>29</v>
      </c>
      <c r="J713" s="1" t="s">
        <v>30</v>
      </c>
      <c r="K713" s="3">
        <v>4</v>
      </c>
      <c r="L713" s="2">
        <v>24827</v>
      </c>
      <c r="M713" s="3">
        <v>5</v>
      </c>
      <c r="N713" s="1" t="s">
        <v>31</v>
      </c>
      <c r="O713" s="1" t="s">
        <v>46</v>
      </c>
      <c r="P713" s="1" t="s">
        <v>174</v>
      </c>
      <c r="Q713" s="1" t="s">
        <v>558</v>
      </c>
      <c r="R713" s="1" t="s">
        <v>2343</v>
      </c>
      <c r="S713" s="3">
        <v>1</v>
      </c>
      <c r="T713" s="1" t="s">
        <v>36</v>
      </c>
      <c r="U713" s="3">
        <v>366</v>
      </c>
      <c r="V713" s="1" t="s">
        <v>79</v>
      </c>
      <c r="W713" s="5">
        <f>Table1[[#This Row],[Quantity]]*Table1[[#This Row],[Price]]*(1-Table1[[#This Row],[Discount %]]/100)</f>
        <v>94342.599999999991</v>
      </c>
      <c r="X713">
        <f>Table1[[#This Row],[DeliveryDate]]-Table1[[#This Row],[OrderDate]]</f>
        <v>10</v>
      </c>
      <c r="Y713" t="str">
        <f>TEXT(Table1[[#This Row],[OrderDate]],"MMMM")</f>
        <v>January</v>
      </c>
      <c r="Z713" s="5">
        <f>YEAR(Table1[[#This Row],[OrderDate]])</f>
        <v>2023</v>
      </c>
    </row>
    <row r="714" spans="1:26" x14ac:dyDescent="0.3">
      <c r="A714" s="1" t="s">
        <v>2344</v>
      </c>
      <c r="B714" t="s">
        <v>113</v>
      </c>
      <c r="C714" s="3">
        <v>57</v>
      </c>
      <c r="D714" s="1" t="s">
        <v>51</v>
      </c>
      <c r="E714" s="1" t="s">
        <v>142</v>
      </c>
      <c r="F714" s="1" t="s">
        <v>26</v>
      </c>
      <c r="G714" s="4">
        <v>45568</v>
      </c>
      <c r="H714" s="4">
        <v>45576</v>
      </c>
      <c r="I714" s="1" t="s">
        <v>85</v>
      </c>
      <c r="J714" s="1" t="s">
        <v>30</v>
      </c>
      <c r="K714" s="3">
        <v>3</v>
      </c>
      <c r="L714" s="2">
        <v>49002</v>
      </c>
      <c r="M714" s="3">
        <v>5</v>
      </c>
      <c r="N714" s="1" t="s">
        <v>166</v>
      </c>
      <c r="O714" s="1" t="s">
        <v>173</v>
      </c>
      <c r="P714" s="1" t="s">
        <v>69</v>
      </c>
      <c r="Q714" s="1" t="s">
        <v>116</v>
      </c>
      <c r="R714" s="1" t="s">
        <v>2346</v>
      </c>
      <c r="S714" s="3">
        <v>5</v>
      </c>
      <c r="T714" s="1" t="s">
        <v>61</v>
      </c>
      <c r="U714" s="3">
        <v>474</v>
      </c>
      <c r="V714" s="1" t="s">
        <v>37</v>
      </c>
      <c r="W714" s="5">
        <f>Table1[[#This Row],[Quantity]]*Table1[[#This Row],[Price]]*(1-Table1[[#This Row],[Discount %]]/100)</f>
        <v>139655.69999999998</v>
      </c>
      <c r="X714">
        <f>Table1[[#This Row],[DeliveryDate]]-Table1[[#This Row],[OrderDate]]</f>
        <v>8</v>
      </c>
      <c r="Y714" t="str">
        <f>TEXT(Table1[[#This Row],[OrderDate]],"MMMM")</f>
        <v>October</v>
      </c>
      <c r="Z714" s="5">
        <f>YEAR(Table1[[#This Row],[OrderDate]])</f>
        <v>2024</v>
      </c>
    </row>
    <row r="715" spans="1:26" x14ac:dyDescent="0.3">
      <c r="A715" s="1" t="s">
        <v>2347</v>
      </c>
      <c r="B715" t="s">
        <v>156</v>
      </c>
      <c r="C715" s="3">
        <v>59</v>
      </c>
      <c r="D715" s="1" t="s">
        <v>51</v>
      </c>
      <c r="E715" s="1" t="s">
        <v>131</v>
      </c>
      <c r="F715" s="1" t="s">
        <v>82</v>
      </c>
      <c r="G715" s="4">
        <v>45544</v>
      </c>
      <c r="H715" s="4">
        <v>45554</v>
      </c>
      <c r="I715" s="1" t="s">
        <v>77</v>
      </c>
      <c r="J715" s="1" t="s">
        <v>30</v>
      </c>
      <c r="K715" s="3">
        <v>5</v>
      </c>
      <c r="L715" s="2">
        <v>53087</v>
      </c>
      <c r="M715" s="3">
        <v>0</v>
      </c>
      <c r="N715" s="1" t="s">
        <v>166</v>
      </c>
      <c r="O715" s="1" t="s">
        <v>46</v>
      </c>
      <c r="P715" s="1" t="s">
        <v>174</v>
      </c>
      <c r="Q715" s="1" t="s">
        <v>3415</v>
      </c>
      <c r="R715" s="1" t="s">
        <v>2348</v>
      </c>
      <c r="S715" s="3">
        <v>3</v>
      </c>
      <c r="T715" s="1" t="s">
        <v>96</v>
      </c>
      <c r="U715" s="3">
        <v>442</v>
      </c>
      <c r="V715" s="1" t="s">
        <v>37</v>
      </c>
      <c r="W715" s="5">
        <f>Table1[[#This Row],[Quantity]]*Table1[[#This Row],[Price]]*(1-Table1[[#This Row],[Discount %]]/100)</f>
        <v>265435</v>
      </c>
      <c r="X715">
        <f>Table1[[#This Row],[DeliveryDate]]-Table1[[#This Row],[OrderDate]]</f>
        <v>10</v>
      </c>
      <c r="Y715" t="str">
        <f>TEXT(Table1[[#This Row],[OrderDate]],"MMMM")</f>
        <v>September</v>
      </c>
      <c r="Z715" s="5">
        <f>YEAR(Table1[[#This Row],[OrderDate]])</f>
        <v>2024</v>
      </c>
    </row>
    <row r="716" spans="1:26" x14ac:dyDescent="0.3">
      <c r="A716" s="1" t="s">
        <v>2349</v>
      </c>
      <c r="B716" t="s">
        <v>278</v>
      </c>
      <c r="C716" s="3">
        <v>58</v>
      </c>
      <c r="D716" s="1" t="s">
        <v>24</v>
      </c>
      <c r="E716" s="1" t="s">
        <v>52</v>
      </c>
      <c r="F716" s="1" t="s">
        <v>91</v>
      </c>
      <c r="G716" s="4">
        <v>45004</v>
      </c>
      <c r="H716" s="4">
        <v>45005</v>
      </c>
      <c r="I716" s="1" t="s">
        <v>93</v>
      </c>
      <c r="J716" s="1" t="s">
        <v>44</v>
      </c>
      <c r="K716" s="3">
        <v>5</v>
      </c>
      <c r="L716" s="2">
        <v>68127</v>
      </c>
      <c r="M716" s="3">
        <v>15</v>
      </c>
      <c r="N716" s="1" t="s">
        <v>166</v>
      </c>
      <c r="O716" s="1" t="s">
        <v>173</v>
      </c>
      <c r="P716" s="1" t="s">
        <v>33</v>
      </c>
      <c r="Q716" s="1" t="s">
        <v>282</v>
      </c>
      <c r="R716" s="1" t="s">
        <v>2350</v>
      </c>
      <c r="S716" s="3">
        <v>5</v>
      </c>
      <c r="T716" s="1" t="s">
        <v>36</v>
      </c>
      <c r="U716" s="3">
        <v>375</v>
      </c>
      <c r="V716" s="1" t="s">
        <v>79</v>
      </c>
      <c r="W716" s="5">
        <f>Table1[[#This Row],[Quantity]]*Table1[[#This Row],[Price]]*(1-Table1[[#This Row],[Discount %]]/100)</f>
        <v>289539.75</v>
      </c>
      <c r="X716">
        <f>Table1[[#This Row],[DeliveryDate]]-Table1[[#This Row],[OrderDate]]</f>
        <v>1</v>
      </c>
      <c r="Y716" t="str">
        <f>TEXT(Table1[[#This Row],[OrderDate]],"MMMM")</f>
        <v>March</v>
      </c>
      <c r="Z716" s="5">
        <f>YEAR(Table1[[#This Row],[OrderDate]])</f>
        <v>2023</v>
      </c>
    </row>
    <row r="717" spans="1:26" x14ac:dyDescent="0.3">
      <c r="A717" s="1" t="s">
        <v>2351</v>
      </c>
      <c r="B717" t="s">
        <v>808</v>
      </c>
      <c r="C717" s="3">
        <v>42</v>
      </c>
      <c r="D717" s="1" t="s">
        <v>51</v>
      </c>
      <c r="E717" s="1" t="s">
        <v>40</v>
      </c>
      <c r="F717" s="1" t="s">
        <v>26</v>
      </c>
      <c r="G717" s="4">
        <v>45575</v>
      </c>
      <c r="H717" s="4">
        <v>45579</v>
      </c>
      <c r="I717" s="1" t="s">
        <v>93</v>
      </c>
      <c r="J717" s="1" t="s">
        <v>44</v>
      </c>
      <c r="K717" s="3">
        <v>4</v>
      </c>
      <c r="L717" s="2">
        <v>32789</v>
      </c>
      <c r="M717" s="3">
        <v>15</v>
      </c>
      <c r="N717" s="1" t="s">
        <v>56</v>
      </c>
      <c r="O717" s="1" t="s">
        <v>32</v>
      </c>
      <c r="P717" s="1" t="s">
        <v>58</v>
      </c>
      <c r="Q717" s="1" t="s">
        <v>191</v>
      </c>
      <c r="R717" s="1" t="s">
        <v>3415</v>
      </c>
      <c r="S717" s="3">
        <v>2</v>
      </c>
      <c r="T717" s="1" t="s">
        <v>36</v>
      </c>
      <c r="U717" s="3">
        <v>358</v>
      </c>
      <c r="V717" s="1" t="s">
        <v>62</v>
      </c>
      <c r="W717" s="5">
        <f>Table1[[#This Row],[Quantity]]*Table1[[#This Row],[Price]]*(1-Table1[[#This Row],[Discount %]]/100)</f>
        <v>111482.59999999999</v>
      </c>
      <c r="X717">
        <f>Table1[[#This Row],[DeliveryDate]]-Table1[[#This Row],[OrderDate]]</f>
        <v>4</v>
      </c>
      <c r="Y717" t="str">
        <f>TEXT(Table1[[#This Row],[OrderDate]],"MMMM")</f>
        <v>October</v>
      </c>
      <c r="Z717" s="5">
        <f>YEAR(Table1[[#This Row],[OrderDate]])</f>
        <v>2024</v>
      </c>
    </row>
    <row r="718" spans="1:26" x14ac:dyDescent="0.3">
      <c r="A718" s="1" t="s">
        <v>2352</v>
      </c>
      <c r="B718" t="s">
        <v>860</v>
      </c>
      <c r="C718" s="3">
        <v>20</v>
      </c>
      <c r="D718" s="1" t="s">
        <v>24</v>
      </c>
      <c r="E718" s="1" t="s">
        <v>25</v>
      </c>
      <c r="F718" s="1" t="s">
        <v>65</v>
      </c>
      <c r="G718" s="4">
        <v>45604</v>
      </c>
      <c r="H718" s="4">
        <v>45605</v>
      </c>
      <c r="I718" s="1" t="s">
        <v>77</v>
      </c>
      <c r="J718" s="1" t="s">
        <v>44</v>
      </c>
      <c r="K718" s="3">
        <v>1</v>
      </c>
      <c r="L718" s="2">
        <v>19477</v>
      </c>
      <c r="M718" s="3">
        <v>15</v>
      </c>
      <c r="N718" s="1" t="s">
        <v>31</v>
      </c>
      <c r="O718" s="1" t="s">
        <v>68</v>
      </c>
      <c r="P718" s="1" t="s">
        <v>33</v>
      </c>
      <c r="Q718" s="1" t="s">
        <v>862</v>
      </c>
      <c r="R718" s="1" t="s">
        <v>2354</v>
      </c>
      <c r="S718" s="3">
        <v>1</v>
      </c>
      <c r="T718" s="1" t="s">
        <v>72</v>
      </c>
      <c r="U718" s="3">
        <v>349</v>
      </c>
      <c r="V718" s="1" t="s">
        <v>62</v>
      </c>
      <c r="W718" s="5">
        <f>Table1[[#This Row],[Quantity]]*Table1[[#This Row],[Price]]*(1-Table1[[#This Row],[Discount %]]/100)</f>
        <v>16555.45</v>
      </c>
      <c r="X718">
        <f>Table1[[#This Row],[DeliveryDate]]-Table1[[#This Row],[OrderDate]]</f>
        <v>1</v>
      </c>
      <c r="Y718" t="str">
        <f>TEXT(Table1[[#This Row],[OrderDate]],"MMMM")</f>
        <v>November</v>
      </c>
      <c r="Z718" s="5">
        <f>YEAR(Table1[[#This Row],[OrderDate]])</f>
        <v>2024</v>
      </c>
    </row>
    <row r="719" spans="1:26" x14ac:dyDescent="0.3">
      <c r="A719" s="1" t="s">
        <v>2355</v>
      </c>
      <c r="B719" t="s">
        <v>222</v>
      </c>
      <c r="C719" s="3">
        <v>53</v>
      </c>
      <c r="D719" s="1" t="s">
        <v>51</v>
      </c>
      <c r="E719" s="1" t="s">
        <v>229</v>
      </c>
      <c r="F719" s="1" t="s">
        <v>91</v>
      </c>
      <c r="G719" s="4">
        <v>45008</v>
      </c>
      <c r="H719" s="4">
        <v>45017</v>
      </c>
      <c r="I719" s="1" t="s">
        <v>93</v>
      </c>
      <c r="J719" s="1" t="s">
        <v>30</v>
      </c>
      <c r="K719" s="3">
        <v>5</v>
      </c>
      <c r="L719" s="2">
        <v>76786</v>
      </c>
      <c r="M719" s="3">
        <v>0</v>
      </c>
      <c r="N719" s="1" t="s">
        <v>31</v>
      </c>
      <c r="O719" s="1" t="s">
        <v>57</v>
      </c>
      <c r="P719" s="1" t="s">
        <v>58</v>
      </c>
      <c r="Q719" s="1" t="s">
        <v>225</v>
      </c>
      <c r="R719" s="1" t="s">
        <v>2356</v>
      </c>
      <c r="S719" s="3">
        <v>2</v>
      </c>
      <c r="T719" s="1" t="s">
        <v>61</v>
      </c>
      <c r="U719" s="3">
        <v>214</v>
      </c>
      <c r="V719" s="1" t="s">
        <v>79</v>
      </c>
      <c r="W719" s="5">
        <f>Table1[[#This Row],[Quantity]]*Table1[[#This Row],[Price]]*(1-Table1[[#This Row],[Discount %]]/100)</f>
        <v>383930</v>
      </c>
      <c r="X719">
        <f>Table1[[#This Row],[DeliveryDate]]-Table1[[#This Row],[OrderDate]]</f>
        <v>9</v>
      </c>
      <c r="Y719" t="str">
        <f>TEXT(Table1[[#This Row],[OrderDate]],"MMMM")</f>
        <v>March</v>
      </c>
      <c r="Z719" s="5">
        <f>YEAR(Table1[[#This Row],[OrderDate]])</f>
        <v>2023</v>
      </c>
    </row>
    <row r="720" spans="1:26" x14ac:dyDescent="0.3">
      <c r="A720" s="1" t="s">
        <v>2357</v>
      </c>
      <c r="B720" t="s">
        <v>39</v>
      </c>
      <c r="C720" s="3">
        <v>18</v>
      </c>
      <c r="D720" s="1" t="s">
        <v>24</v>
      </c>
      <c r="E720" s="1" t="s">
        <v>25</v>
      </c>
      <c r="F720" s="1" t="s">
        <v>82</v>
      </c>
      <c r="G720" s="4">
        <v>45582</v>
      </c>
      <c r="H720" s="4">
        <v>45589</v>
      </c>
      <c r="I720" s="1" t="s">
        <v>77</v>
      </c>
      <c r="J720" s="1" t="s">
        <v>44</v>
      </c>
      <c r="K720" s="3">
        <v>2</v>
      </c>
      <c r="L720" s="2">
        <v>39409</v>
      </c>
      <c r="M720" s="3">
        <v>10</v>
      </c>
      <c r="N720" s="1" t="s">
        <v>56</v>
      </c>
      <c r="O720" s="1" t="s">
        <v>46</v>
      </c>
      <c r="P720" s="1" t="s">
        <v>69</v>
      </c>
      <c r="Q720" s="1" t="s">
        <v>47</v>
      </c>
      <c r="R720" s="1" t="s">
        <v>2359</v>
      </c>
      <c r="S720" s="3">
        <v>3</v>
      </c>
      <c r="T720" s="1" t="s">
        <v>72</v>
      </c>
      <c r="U720" s="3">
        <v>51</v>
      </c>
      <c r="V720" s="1" t="s">
        <v>37</v>
      </c>
      <c r="W720" s="5">
        <f>Table1[[#This Row],[Quantity]]*Table1[[#This Row],[Price]]*(1-Table1[[#This Row],[Discount %]]/100)</f>
        <v>70936.2</v>
      </c>
      <c r="X720">
        <f>Table1[[#This Row],[DeliveryDate]]-Table1[[#This Row],[OrderDate]]</f>
        <v>7</v>
      </c>
      <c r="Y720" t="str">
        <f>TEXT(Table1[[#This Row],[OrderDate]],"MMMM")</f>
        <v>October</v>
      </c>
      <c r="Z720" s="5">
        <f>YEAR(Table1[[#This Row],[OrderDate]])</f>
        <v>2024</v>
      </c>
    </row>
    <row r="721" spans="1:26" x14ac:dyDescent="0.3">
      <c r="A721" s="1" t="s">
        <v>2360</v>
      </c>
      <c r="B721" t="s">
        <v>209</v>
      </c>
      <c r="C721" s="3">
        <v>38</v>
      </c>
      <c r="D721" s="1" t="s">
        <v>51</v>
      </c>
      <c r="E721" s="1" t="s">
        <v>52</v>
      </c>
      <c r="F721" s="1" t="s">
        <v>65</v>
      </c>
      <c r="G721" s="4">
        <v>45365</v>
      </c>
      <c r="H721" s="4">
        <v>45370</v>
      </c>
      <c r="I721" s="1" t="s">
        <v>108</v>
      </c>
      <c r="J721" s="1" t="s">
        <v>44</v>
      </c>
      <c r="K721" s="3">
        <v>1</v>
      </c>
      <c r="L721" s="2">
        <v>42109.716287215415</v>
      </c>
      <c r="M721" s="3">
        <v>10</v>
      </c>
      <c r="N721" s="1" t="s">
        <v>56</v>
      </c>
      <c r="O721" s="1" t="s">
        <v>102</v>
      </c>
      <c r="P721" s="1" t="s">
        <v>58</v>
      </c>
      <c r="Q721" s="1" t="s">
        <v>1001</v>
      </c>
      <c r="R721" s="1" t="s">
        <v>2361</v>
      </c>
      <c r="S721" s="3">
        <v>2</v>
      </c>
      <c r="T721" s="1" t="s">
        <v>36</v>
      </c>
      <c r="U721" s="3">
        <v>303</v>
      </c>
      <c r="V721" s="1" t="s">
        <v>62</v>
      </c>
      <c r="W721" s="5">
        <f>Table1[[#This Row],[Quantity]]*Table1[[#This Row],[Price]]*(1-Table1[[#This Row],[Discount %]]/100)</f>
        <v>37898.744658493873</v>
      </c>
      <c r="X721">
        <f>Table1[[#This Row],[DeliveryDate]]-Table1[[#This Row],[OrderDate]]</f>
        <v>5</v>
      </c>
      <c r="Y721" t="str">
        <f>TEXT(Table1[[#This Row],[OrderDate]],"MMMM")</f>
        <v>March</v>
      </c>
      <c r="Z721" s="5">
        <f>YEAR(Table1[[#This Row],[OrderDate]])</f>
        <v>2024</v>
      </c>
    </row>
    <row r="722" spans="1:26" x14ac:dyDescent="0.3">
      <c r="A722" s="1" t="s">
        <v>2362</v>
      </c>
      <c r="B722" t="s">
        <v>509</v>
      </c>
      <c r="C722" s="3">
        <v>26</v>
      </c>
      <c r="D722" s="1" t="s">
        <v>51</v>
      </c>
      <c r="E722" s="1" t="s">
        <v>229</v>
      </c>
      <c r="F722" s="1" t="s">
        <v>82</v>
      </c>
      <c r="G722" s="4">
        <v>45265</v>
      </c>
      <c r="H722" s="4">
        <v>45272</v>
      </c>
      <c r="I722" s="1" t="s">
        <v>29</v>
      </c>
      <c r="J722" s="1" t="s">
        <v>30</v>
      </c>
      <c r="K722" s="3">
        <v>2.9447852760736195</v>
      </c>
      <c r="L722" s="2">
        <v>54247</v>
      </c>
      <c r="M722" s="3">
        <v>0</v>
      </c>
      <c r="N722" s="1" t="s">
        <v>31</v>
      </c>
      <c r="O722" s="1" t="s">
        <v>86</v>
      </c>
      <c r="P722" s="1" t="s">
        <v>33</v>
      </c>
      <c r="Q722" s="1" t="s">
        <v>512</v>
      </c>
      <c r="R722" s="1" t="s">
        <v>2363</v>
      </c>
      <c r="S722" s="3">
        <v>4</v>
      </c>
      <c r="T722" s="1" t="s">
        <v>61</v>
      </c>
      <c r="U722" s="3">
        <v>67</v>
      </c>
      <c r="V722" s="1" t="s">
        <v>37</v>
      </c>
      <c r="W722" s="5">
        <f>Table1[[#This Row],[Quantity]]*Table1[[#This Row],[Price]]*(1-Table1[[#This Row],[Discount %]]/100)</f>
        <v>159745.76687116563</v>
      </c>
      <c r="X722">
        <f>Table1[[#This Row],[DeliveryDate]]-Table1[[#This Row],[OrderDate]]</f>
        <v>7</v>
      </c>
      <c r="Y722" t="str">
        <f>TEXT(Table1[[#This Row],[OrderDate]],"MMMM")</f>
        <v>December</v>
      </c>
      <c r="Z722" s="5">
        <f>YEAR(Table1[[#This Row],[OrderDate]])</f>
        <v>2023</v>
      </c>
    </row>
    <row r="723" spans="1:26" x14ac:dyDescent="0.3">
      <c r="A723" s="1" t="s">
        <v>2364</v>
      </c>
      <c r="B723" t="s">
        <v>617</v>
      </c>
      <c r="C723" s="3">
        <v>37</v>
      </c>
      <c r="D723" s="1" t="s">
        <v>24</v>
      </c>
      <c r="E723" s="1" t="s">
        <v>26</v>
      </c>
      <c r="F723" s="1" t="s">
        <v>91</v>
      </c>
      <c r="G723" s="4">
        <v>45549</v>
      </c>
      <c r="H723" s="4">
        <v>45550</v>
      </c>
      <c r="I723" s="1" t="s">
        <v>93</v>
      </c>
      <c r="J723" s="1" t="s">
        <v>30</v>
      </c>
      <c r="K723" s="3">
        <v>2</v>
      </c>
      <c r="L723" s="2">
        <v>42109.716287215415</v>
      </c>
      <c r="M723" s="3">
        <v>15</v>
      </c>
      <c r="N723" s="1" t="s">
        <v>56</v>
      </c>
      <c r="O723" s="1" t="s">
        <v>32</v>
      </c>
      <c r="P723" s="1" t="s">
        <v>58</v>
      </c>
      <c r="Q723" s="1" t="s">
        <v>620</v>
      </c>
      <c r="R723" s="1" t="s">
        <v>2365</v>
      </c>
      <c r="S723" s="3">
        <v>5</v>
      </c>
      <c r="T723" s="1" t="s">
        <v>61</v>
      </c>
      <c r="U723" s="3">
        <v>117</v>
      </c>
      <c r="V723" s="1" t="s">
        <v>79</v>
      </c>
      <c r="W723" s="5">
        <f>Table1[[#This Row],[Quantity]]*Table1[[#This Row],[Price]]*(1-Table1[[#This Row],[Discount %]]/100)</f>
        <v>71586.517688266205</v>
      </c>
      <c r="X723">
        <f>Table1[[#This Row],[DeliveryDate]]-Table1[[#This Row],[OrderDate]]</f>
        <v>1</v>
      </c>
      <c r="Y723" t="str">
        <f>TEXT(Table1[[#This Row],[OrderDate]],"MMMM")</f>
        <v>September</v>
      </c>
      <c r="Z723" s="5">
        <f>YEAR(Table1[[#This Row],[OrderDate]])</f>
        <v>2024</v>
      </c>
    </row>
    <row r="724" spans="1:26" x14ac:dyDescent="0.3">
      <c r="A724" s="1" t="s">
        <v>2366</v>
      </c>
      <c r="B724" t="s">
        <v>729</v>
      </c>
      <c r="C724" s="3">
        <v>55</v>
      </c>
      <c r="D724" s="1" t="s">
        <v>24</v>
      </c>
      <c r="E724" s="1" t="s">
        <v>142</v>
      </c>
      <c r="F724" s="1" t="s">
        <v>91</v>
      </c>
      <c r="G724" s="4">
        <v>45490</v>
      </c>
      <c r="H724" s="4">
        <v>45500</v>
      </c>
      <c r="I724" s="1" t="s">
        <v>108</v>
      </c>
      <c r="J724" s="1" t="s">
        <v>44</v>
      </c>
      <c r="K724" s="3">
        <v>4</v>
      </c>
      <c r="L724" s="2">
        <v>35004</v>
      </c>
      <c r="M724" s="3">
        <v>5</v>
      </c>
      <c r="N724" s="1" t="s">
        <v>56</v>
      </c>
      <c r="O724" s="1" t="s">
        <v>86</v>
      </c>
      <c r="P724" s="1" t="s">
        <v>33</v>
      </c>
      <c r="Q724" s="1" t="s">
        <v>732</v>
      </c>
      <c r="R724" s="1" t="s">
        <v>2367</v>
      </c>
      <c r="S724" s="3">
        <v>3</v>
      </c>
      <c r="T724" s="1" t="s">
        <v>61</v>
      </c>
      <c r="U724" s="3">
        <v>485</v>
      </c>
      <c r="V724" s="1" t="s">
        <v>62</v>
      </c>
      <c r="W724" s="5">
        <f>Table1[[#This Row],[Quantity]]*Table1[[#This Row],[Price]]*(1-Table1[[#This Row],[Discount %]]/100)</f>
        <v>133015.19999999998</v>
      </c>
      <c r="X724">
        <f>Table1[[#This Row],[DeliveryDate]]-Table1[[#This Row],[OrderDate]]</f>
        <v>10</v>
      </c>
      <c r="Y724" t="str">
        <f>TEXT(Table1[[#This Row],[OrderDate]],"MMMM")</f>
        <v>July</v>
      </c>
      <c r="Z724" s="5">
        <f>YEAR(Table1[[#This Row],[OrderDate]])</f>
        <v>2024</v>
      </c>
    </row>
    <row r="725" spans="1:26" x14ac:dyDescent="0.3">
      <c r="A725" s="1" t="s">
        <v>2368</v>
      </c>
      <c r="B725" t="s">
        <v>321</v>
      </c>
      <c r="C725" s="3">
        <v>47</v>
      </c>
      <c r="D725" s="1" t="s">
        <v>51</v>
      </c>
      <c r="E725" s="1" t="s">
        <v>229</v>
      </c>
      <c r="F725" s="1" t="s">
        <v>82</v>
      </c>
      <c r="G725" s="4">
        <v>45138</v>
      </c>
      <c r="H725" s="4">
        <v>45141</v>
      </c>
      <c r="I725" s="1" t="s">
        <v>77</v>
      </c>
      <c r="J725" s="1" t="s">
        <v>44</v>
      </c>
      <c r="K725" s="3">
        <v>2.9447852760736195</v>
      </c>
      <c r="L725" s="2">
        <v>33055</v>
      </c>
      <c r="M725" s="3">
        <v>15</v>
      </c>
      <c r="N725" s="1" t="s">
        <v>166</v>
      </c>
      <c r="O725" s="1" t="s">
        <v>281</v>
      </c>
      <c r="P725" s="1" t="s">
        <v>174</v>
      </c>
      <c r="Q725" s="1" t="s">
        <v>324</v>
      </c>
      <c r="R725" s="1" t="s">
        <v>2371</v>
      </c>
      <c r="S725" s="3">
        <v>5</v>
      </c>
      <c r="T725" s="1" t="s">
        <v>36</v>
      </c>
      <c r="U725" s="3">
        <v>469</v>
      </c>
      <c r="V725" s="1" t="s">
        <v>62</v>
      </c>
      <c r="W725" s="5">
        <f>Table1[[#This Row],[Quantity]]*Table1[[#This Row],[Price]]*(1-Table1[[#This Row],[Discount %]]/100)</f>
        <v>82738.895705521456</v>
      </c>
      <c r="X725">
        <f>Table1[[#This Row],[DeliveryDate]]-Table1[[#This Row],[OrderDate]]</f>
        <v>3</v>
      </c>
      <c r="Y725" t="str">
        <f>TEXT(Table1[[#This Row],[OrderDate]],"MMMM")</f>
        <v>July</v>
      </c>
      <c r="Z725" s="5">
        <f>YEAR(Table1[[#This Row],[OrderDate]])</f>
        <v>2023</v>
      </c>
    </row>
    <row r="726" spans="1:26" x14ac:dyDescent="0.3">
      <c r="A726" s="1" t="s">
        <v>2372</v>
      </c>
      <c r="B726" t="s">
        <v>170</v>
      </c>
      <c r="C726" s="3">
        <v>51</v>
      </c>
      <c r="D726" s="1" t="s">
        <v>24</v>
      </c>
      <c r="E726" s="1" t="s">
        <v>25</v>
      </c>
      <c r="F726" s="1" t="s">
        <v>91</v>
      </c>
      <c r="G726" s="4">
        <v>45450</v>
      </c>
      <c r="H726" s="4">
        <v>45453</v>
      </c>
      <c r="I726" s="1" t="s">
        <v>29</v>
      </c>
      <c r="J726" s="1" t="s">
        <v>44</v>
      </c>
      <c r="K726" s="3">
        <v>5</v>
      </c>
      <c r="L726" s="2">
        <v>15673</v>
      </c>
      <c r="M726" s="3">
        <v>5</v>
      </c>
      <c r="N726" s="1" t="s">
        <v>56</v>
      </c>
      <c r="O726" s="1" t="s">
        <v>57</v>
      </c>
      <c r="P726" s="1" t="s">
        <v>69</v>
      </c>
      <c r="Q726" s="1" t="s">
        <v>175</v>
      </c>
      <c r="R726" s="1" t="s">
        <v>2374</v>
      </c>
      <c r="S726" s="3">
        <v>1</v>
      </c>
      <c r="T726" s="1" t="s">
        <v>36</v>
      </c>
      <c r="U726" s="3">
        <v>335</v>
      </c>
      <c r="V726" s="1" t="s">
        <v>62</v>
      </c>
      <c r="W726" s="5">
        <f>Table1[[#This Row],[Quantity]]*Table1[[#This Row],[Price]]*(1-Table1[[#This Row],[Discount %]]/100)</f>
        <v>74446.75</v>
      </c>
      <c r="X726">
        <f>Table1[[#This Row],[DeliveryDate]]-Table1[[#This Row],[OrderDate]]</f>
        <v>3</v>
      </c>
      <c r="Y726" t="str">
        <f>TEXT(Table1[[#This Row],[OrderDate]],"MMMM")</f>
        <v>June</v>
      </c>
      <c r="Z726" s="5">
        <f>YEAR(Table1[[#This Row],[OrderDate]])</f>
        <v>2024</v>
      </c>
    </row>
    <row r="727" spans="1:26" x14ac:dyDescent="0.3">
      <c r="A727" s="1" t="s">
        <v>2375</v>
      </c>
      <c r="B727" t="s">
        <v>466</v>
      </c>
      <c r="C727" s="3">
        <v>38</v>
      </c>
      <c r="D727" s="1" t="s">
        <v>51</v>
      </c>
      <c r="E727" s="1" t="s">
        <v>52</v>
      </c>
      <c r="F727" s="1" t="s">
        <v>65</v>
      </c>
      <c r="G727" s="4">
        <v>45188</v>
      </c>
      <c r="H727" s="4">
        <v>45190</v>
      </c>
      <c r="I727" s="1" t="s">
        <v>43</v>
      </c>
      <c r="J727" s="1" t="s">
        <v>30</v>
      </c>
      <c r="K727" s="3">
        <v>4</v>
      </c>
      <c r="L727" s="2">
        <v>20433</v>
      </c>
      <c r="M727" s="3">
        <v>0</v>
      </c>
      <c r="N727" s="1" t="s">
        <v>31</v>
      </c>
      <c r="O727" s="1" t="s">
        <v>281</v>
      </c>
      <c r="P727" s="1" t="s">
        <v>58</v>
      </c>
      <c r="Q727" s="1" t="s">
        <v>468</v>
      </c>
      <c r="R727" s="1" t="s">
        <v>2377</v>
      </c>
      <c r="S727" s="3">
        <v>1</v>
      </c>
      <c r="T727" s="1" t="s">
        <v>61</v>
      </c>
      <c r="U727" s="3">
        <v>421</v>
      </c>
      <c r="V727" s="1" t="s">
        <v>62</v>
      </c>
      <c r="W727" s="5">
        <f>Table1[[#This Row],[Quantity]]*Table1[[#This Row],[Price]]*(1-Table1[[#This Row],[Discount %]]/100)</f>
        <v>81732</v>
      </c>
      <c r="X727">
        <f>Table1[[#This Row],[DeliveryDate]]-Table1[[#This Row],[OrderDate]]</f>
        <v>2</v>
      </c>
      <c r="Y727" t="str">
        <f>TEXT(Table1[[#This Row],[OrderDate]],"MMMM")</f>
        <v>September</v>
      </c>
      <c r="Z727" s="5">
        <f>YEAR(Table1[[#This Row],[OrderDate]])</f>
        <v>2023</v>
      </c>
    </row>
    <row r="728" spans="1:26" x14ac:dyDescent="0.3">
      <c r="A728" s="1" t="s">
        <v>2378</v>
      </c>
      <c r="B728" t="s">
        <v>589</v>
      </c>
      <c r="C728" s="3">
        <v>36</v>
      </c>
      <c r="D728" s="1" t="s">
        <v>51</v>
      </c>
      <c r="E728" s="1" t="s">
        <v>52</v>
      </c>
      <c r="F728" s="1" t="s">
        <v>82</v>
      </c>
      <c r="G728" s="4">
        <v>45217</v>
      </c>
      <c r="H728" s="4">
        <v>45220</v>
      </c>
      <c r="I728" s="1" t="s">
        <v>29</v>
      </c>
      <c r="J728" s="1" t="s">
        <v>30</v>
      </c>
      <c r="K728" s="3">
        <v>4</v>
      </c>
      <c r="L728" s="2">
        <v>54540</v>
      </c>
      <c r="M728" s="3">
        <v>10</v>
      </c>
      <c r="N728" s="1" t="s">
        <v>166</v>
      </c>
      <c r="O728" s="1" t="s">
        <v>133</v>
      </c>
      <c r="P728" s="1" t="s">
        <v>33</v>
      </c>
      <c r="Q728" s="1" t="s">
        <v>591</v>
      </c>
      <c r="R728" s="1" t="s">
        <v>2379</v>
      </c>
      <c r="S728" s="3">
        <v>1</v>
      </c>
      <c r="T728" s="1" t="s">
        <v>36</v>
      </c>
      <c r="U728" s="3">
        <v>332</v>
      </c>
      <c r="V728" s="1" t="s">
        <v>37</v>
      </c>
      <c r="W728" s="5">
        <f>Table1[[#This Row],[Quantity]]*Table1[[#This Row],[Price]]*(1-Table1[[#This Row],[Discount %]]/100)</f>
        <v>196344</v>
      </c>
      <c r="X728">
        <f>Table1[[#This Row],[DeliveryDate]]-Table1[[#This Row],[OrderDate]]</f>
        <v>3</v>
      </c>
      <c r="Y728" t="str">
        <f>TEXT(Table1[[#This Row],[OrderDate]],"MMMM")</f>
        <v>October</v>
      </c>
      <c r="Z728" s="5">
        <f>YEAR(Table1[[#This Row],[OrderDate]])</f>
        <v>2023</v>
      </c>
    </row>
    <row r="729" spans="1:26" x14ac:dyDescent="0.3">
      <c r="A729" s="1" t="s">
        <v>2380</v>
      </c>
      <c r="B729" t="s">
        <v>228</v>
      </c>
      <c r="C729" s="3">
        <v>48</v>
      </c>
      <c r="D729" s="1" t="s">
        <v>24</v>
      </c>
      <c r="E729" s="1" t="s">
        <v>99</v>
      </c>
      <c r="F729" s="1" t="s">
        <v>91</v>
      </c>
      <c r="G729" s="4">
        <v>45286</v>
      </c>
      <c r="H729" s="4">
        <v>45287</v>
      </c>
      <c r="I729" s="1" t="s">
        <v>77</v>
      </c>
      <c r="J729" s="1" t="s">
        <v>30</v>
      </c>
      <c r="K729" s="3">
        <v>3</v>
      </c>
      <c r="L729" s="2">
        <v>72148</v>
      </c>
      <c r="M729" s="3">
        <v>15</v>
      </c>
      <c r="N729" s="1" t="s">
        <v>31</v>
      </c>
      <c r="O729" s="1" t="s">
        <v>133</v>
      </c>
      <c r="P729" s="1" t="s">
        <v>58</v>
      </c>
      <c r="Q729" s="1" t="s">
        <v>232</v>
      </c>
      <c r="R729" s="1" t="s">
        <v>3415</v>
      </c>
      <c r="S729" s="3">
        <v>2</v>
      </c>
      <c r="T729" s="1" t="s">
        <v>36</v>
      </c>
      <c r="U729" s="3">
        <v>321</v>
      </c>
      <c r="V729" s="1" t="s">
        <v>79</v>
      </c>
      <c r="W729" s="5">
        <f>Table1[[#This Row],[Quantity]]*Table1[[#This Row],[Price]]*(1-Table1[[#This Row],[Discount %]]/100)</f>
        <v>183977.4</v>
      </c>
      <c r="X729">
        <f>Table1[[#This Row],[DeliveryDate]]-Table1[[#This Row],[OrderDate]]</f>
        <v>1</v>
      </c>
      <c r="Y729" t="str">
        <f>TEXT(Table1[[#This Row],[OrderDate]],"MMMM")</f>
        <v>December</v>
      </c>
      <c r="Z729" s="5">
        <f>YEAR(Table1[[#This Row],[OrderDate]])</f>
        <v>2023</v>
      </c>
    </row>
    <row r="730" spans="1:26" x14ac:dyDescent="0.3">
      <c r="A730" s="1" t="s">
        <v>2381</v>
      </c>
      <c r="B730" t="s">
        <v>509</v>
      </c>
      <c r="C730" s="3">
        <v>60</v>
      </c>
      <c r="D730" s="1" t="s">
        <v>24</v>
      </c>
      <c r="E730" s="1" t="s">
        <v>52</v>
      </c>
      <c r="F730" s="1" t="s">
        <v>26</v>
      </c>
      <c r="G730" s="4">
        <v>45527</v>
      </c>
      <c r="H730" s="4">
        <v>45531</v>
      </c>
      <c r="I730" s="1" t="s">
        <v>77</v>
      </c>
      <c r="J730" s="1" t="s">
        <v>30</v>
      </c>
      <c r="K730" s="3">
        <v>5</v>
      </c>
      <c r="L730" s="2">
        <v>42109.716287215415</v>
      </c>
      <c r="M730" s="3">
        <v>10</v>
      </c>
      <c r="N730" s="1" t="s">
        <v>56</v>
      </c>
      <c r="O730" s="1" t="s">
        <v>281</v>
      </c>
      <c r="P730" s="1" t="s">
        <v>69</v>
      </c>
      <c r="Q730" s="1" t="s">
        <v>3415</v>
      </c>
      <c r="R730" s="1" t="s">
        <v>2382</v>
      </c>
      <c r="S730" s="3">
        <v>5</v>
      </c>
      <c r="T730" s="1" t="s">
        <v>72</v>
      </c>
      <c r="U730" s="3">
        <v>431</v>
      </c>
      <c r="V730" s="1" t="s">
        <v>79</v>
      </c>
      <c r="W730" s="5">
        <f>Table1[[#This Row],[Quantity]]*Table1[[#This Row],[Price]]*(1-Table1[[#This Row],[Discount %]]/100)</f>
        <v>189493.72329246937</v>
      </c>
      <c r="X730">
        <f>Table1[[#This Row],[DeliveryDate]]-Table1[[#This Row],[OrderDate]]</f>
        <v>4</v>
      </c>
      <c r="Y730" t="str">
        <f>TEXT(Table1[[#This Row],[OrderDate]],"MMMM")</f>
        <v>August</v>
      </c>
      <c r="Z730" s="5">
        <f>YEAR(Table1[[#This Row],[OrderDate]])</f>
        <v>2024</v>
      </c>
    </row>
    <row r="731" spans="1:26" x14ac:dyDescent="0.3">
      <c r="A731" s="1" t="s">
        <v>2383</v>
      </c>
      <c r="B731" t="s">
        <v>141</v>
      </c>
      <c r="C731" s="3">
        <v>42</v>
      </c>
      <c r="D731" s="1" t="s">
        <v>24</v>
      </c>
      <c r="E731" s="1" t="s">
        <v>131</v>
      </c>
      <c r="F731" s="1" t="s">
        <v>91</v>
      </c>
      <c r="G731" s="4">
        <v>44938</v>
      </c>
      <c r="H731" s="4">
        <v>44941</v>
      </c>
      <c r="I731" s="1" t="s">
        <v>108</v>
      </c>
      <c r="J731" s="1" t="s">
        <v>44</v>
      </c>
      <c r="K731" s="3">
        <v>2</v>
      </c>
      <c r="L731" s="2">
        <v>25155</v>
      </c>
      <c r="M731" s="3">
        <v>0</v>
      </c>
      <c r="N731" s="1" t="s">
        <v>31</v>
      </c>
      <c r="O731" s="1" t="s">
        <v>68</v>
      </c>
      <c r="P731" s="1" t="s">
        <v>33</v>
      </c>
      <c r="Q731" s="1" t="s">
        <v>144</v>
      </c>
      <c r="R731" s="1" t="s">
        <v>2385</v>
      </c>
      <c r="S731" s="3">
        <v>5</v>
      </c>
      <c r="T731" s="1" t="s">
        <v>61</v>
      </c>
      <c r="U731" s="3">
        <v>230</v>
      </c>
      <c r="V731" s="1" t="s">
        <v>62</v>
      </c>
      <c r="W731" s="5">
        <f>Table1[[#This Row],[Quantity]]*Table1[[#This Row],[Price]]*(1-Table1[[#This Row],[Discount %]]/100)</f>
        <v>50310</v>
      </c>
      <c r="X731">
        <f>Table1[[#This Row],[DeliveryDate]]-Table1[[#This Row],[OrderDate]]</f>
        <v>3</v>
      </c>
      <c r="Y731" t="str">
        <f>TEXT(Table1[[#This Row],[OrderDate]],"MMMM")</f>
        <v>January</v>
      </c>
      <c r="Z731" s="5">
        <f>YEAR(Table1[[#This Row],[OrderDate]])</f>
        <v>2023</v>
      </c>
    </row>
    <row r="732" spans="1:26" x14ac:dyDescent="0.3">
      <c r="A732" s="1" t="s">
        <v>2386</v>
      </c>
      <c r="B732" t="s">
        <v>309</v>
      </c>
      <c r="C732" s="3">
        <v>49</v>
      </c>
      <c r="D732" s="1" t="s">
        <v>51</v>
      </c>
      <c r="E732" s="1" t="s">
        <v>142</v>
      </c>
      <c r="F732" s="1" t="s">
        <v>82</v>
      </c>
      <c r="G732" s="4">
        <v>45168</v>
      </c>
      <c r="H732" s="4">
        <v>45170</v>
      </c>
      <c r="I732" s="1" t="s">
        <v>43</v>
      </c>
      <c r="J732" s="1" t="s">
        <v>30</v>
      </c>
      <c r="K732" s="3">
        <v>5</v>
      </c>
      <c r="L732" s="2">
        <v>69524</v>
      </c>
      <c r="M732" s="3">
        <v>10</v>
      </c>
      <c r="N732" s="1" t="s">
        <v>56</v>
      </c>
      <c r="O732" s="1" t="s">
        <v>68</v>
      </c>
      <c r="P732" s="1" t="s">
        <v>58</v>
      </c>
      <c r="Q732" s="1" t="s">
        <v>3415</v>
      </c>
      <c r="R732" s="1" t="s">
        <v>2388</v>
      </c>
      <c r="S732" s="3">
        <v>5</v>
      </c>
      <c r="T732" s="1" t="s">
        <v>61</v>
      </c>
      <c r="U732" s="3">
        <v>442</v>
      </c>
      <c r="V732" s="1" t="s">
        <v>62</v>
      </c>
      <c r="W732" s="5">
        <f>Table1[[#This Row],[Quantity]]*Table1[[#This Row],[Price]]*(1-Table1[[#This Row],[Discount %]]/100)</f>
        <v>312858</v>
      </c>
      <c r="X732">
        <f>Table1[[#This Row],[DeliveryDate]]-Table1[[#This Row],[OrderDate]]</f>
        <v>2</v>
      </c>
      <c r="Y732" t="str">
        <f>TEXT(Table1[[#This Row],[OrderDate]],"MMMM")</f>
        <v>August</v>
      </c>
      <c r="Z732" s="5">
        <f>YEAR(Table1[[#This Row],[OrderDate]])</f>
        <v>2023</v>
      </c>
    </row>
    <row r="733" spans="1:26" x14ac:dyDescent="0.3">
      <c r="A733" s="1" t="s">
        <v>2389</v>
      </c>
      <c r="B733" t="s">
        <v>39</v>
      </c>
      <c r="C733" s="3">
        <v>38</v>
      </c>
      <c r="D733" s="1" t="s">
        <v>24</v>
      </c>
      <c r="E733" s="1" t="s">
        <v>142</v>
      </c>
      <c r="F733" s="1" t="s">
        <v>65</v>
      </c>
      <c r="G733" s="4">
        <v>45428</v>
      </c>
      <c r="H733" s="4">
        <v>45433</v>
      </c>
      <c r="I733" s="1" t="s">
        <v>77</v>
      </c>
      <c r="J733" s="1" t="s">
        <v>30</v>
      </c>
      <c r="K733" s="3">
        <v>1</v>
      </c>
      <c r="L733" s="2">
        <v>22215</v>
      </c>
      <c r="M733" s="3">
        <v>0</v>
      </c>
      <c r="N733" s="1" t="s">
        <v>31</v>
      </c>
      <c r="O733" s="1" t="s">
        <v>133</v>
      </c>
      <c r="P733" s="1" t="s">
        <v>33</v>
      </c>
      <c r="Q733" s="1" t="s">
        <v>47</v>
      </c>
      <c r="R733" s="1" t="s">
        <v>2390</v>
      </c>
      <c r="S733" s="3">
        <v>4</v>
      </c>
      <c r="T733" s="1" t="s">
        <v>96</v>
      </c>
      <c r="U733" s="3">
        <v>142</v>
      </c>
      <c r="V733" s="1" t="s">
        <v>62</v>
      </c>
      <c r="W733" s="5">
        <f>Table1[[#This Row],[Quantity]]*Table1[[#This Row],[Price]]*(1-Table1[[#This Row],[Discount %]]/100)</f>
        <v>22215</v>
      </c>
      <c r="X733">
        <f>Table1[[#This Row],[DeliveryDate]]-Table1[[#This Row],[OrderDate]]</f>
        <v>5</v>
      </c>
      <c r="Y733" t="str">
        <f>TEXT(Table1[[#This Row],[OrderDate]],"MMMM")</f>
        <v>May</v>
      </c>
      <c r="Z733" s="5">
        <f>YEAR(Table1[[#This Row],[OrderDate]])</f>
        <v>2024</v>
      </c>
    </row>
    <row r="734" spans="1:26" x14ac:dyDescent="0.3">
      <c r="A734" s="1" t="s">
        <v>2391</v>
      </c>
      <c r="B734" t="s">
        <v>361</v>
      </c>
      <c r="C734" s="3">
        <v>19</v>
      </c>
      <c r="D734" s="1" t="s">
        <v>24</v>
      </c>
      <c r="E734" s="1" t="s">
        <v>142</v>
      </c>
      <c r="F734" s="1" t="s">
        <v>82</v>
      </c>
      <c r="G734" s="4">
        <v>44952</v>
      </c>
      <c r="H734" s="4">
        <v>44954</v>
      </c>
      <c r="I734" s="1" t="s">
        <v>85</v>
      </c>
      <c r="J734" s="1" t="s">
        <v>30</v>
      </c>
      <c r="K734" s="3">
        <v>5</v>
      </c>
      <c r="L734" s="2">
        <v>14505</v>
      </c>
      <c r="M734" s="3">
        <v>10</v>
      </c>
      <c r="N734" s="1" t="s">
        <v>45</v>
      </c>
      <c r="O734" s="1" t="s">
        <v>57</v>
      </c>
      <c r="P734" s="1" t="s">
        <v>174</v>
      </c>
      <c r="Q734" s="1" t="s">
        <v>364</v>
      </c>
      <c r="R734" s="1" t="s">
        <v>2392</v>
      </c>
      <c r="S734" s="3">
        <v>2</v>
      </c>
      <c r="T734" s="1" t="s">
        <v>96</v>
      </c>
      <c r="U734" s="3">
        <v>477</v>
      </c>
      <c r="V734" s="1" t="s">
        <v>37</v>
      </c>
      <c r="W734" s="5">
        <f>Table1[[#This Row],[Quantity]]*Table1[[#This Row],[Price]]*(1-Table1[[#This Row],[Discount %]]/100)</f>
        <v>65272.5</v>
      </c>
      <c r="X734">
        <f>Table1[[#This Row],[DeliveryDate]]-Table1[[#This Row],[OrderDate]]</f>
        <v>2</v>
      </c>
      <c r="Y734" t="str">
        <f>TEXT(Table1[[#This Row],[OrderDate]],"MMMM")</f>
        <v>January</v>
      </c>
      <c r="Z734" s="5">
        <f>YEAR(Table1[[#This Row],[OrderDate]])</f>
        <v>2023</v>
      </c>
    </row>
    <row r="735" spans="1:26" x14ac:dyDescent="0.3">
      <c r="A735" s="1" t="s">
        <v>2393</v>
      </c>
      <c r="B735" t="s">
        <v>808</v>
      </c>
      <c r="C735" s="3">
        <v>48</v>
      </c>
      <c r="D735" s="1" t="s">
        <v>51</v>
      </c>
      <c r="E735" s="1" t="s">
        <v>40</v>
      </c>
      <c r="F735" s="1" t="s">
        <v>82</v>
      </c>
      <c r="G735" s="4">
        <v>45260</v>
      </c>
      <c r="H735" s="4">
        <v>45263</v>
      </c>
      <c r="I735" s="1" t="s">
        <v>93</v>
      </c>
      <c r="J735" s="1" t="s">
        <v>44</v>
      </c>
      <c r="K735" s="3">
        <v>2</v>
      </c>
      <c r="L735" s="2">
        <v>47998</v>
      </c>
      <c r="M735" s="3">
        <v>0</v>
      </c>
      <c r="N735" s="1" t="s">
        <v>166</v>
      </c>
      <c r="O735" s="1" t="s">
        <v>46</v>
      </c>
      <c r="P735" s="1" t="s">
        <v>69</v>
      </c>
      <c r="Q735" s="1" t="s">
        <v>3415</v>
      </c>
      <c r="R735" s="1" t="s">
        <v>2394</v>
      </c>
      <c r="S735" s="3">
        <v>4</v>
      </c>
      <c r="T735" s="1" t="s">
        <v>96</v>
      </c>
      <c r="U735" s="3">
        <v>238</v>
      </c>
      <c r="V735" s="1" t="s">
        <v>79</v>
      </c>
      <c r="W735" s="5">
        <f>Table1[[#This Row],[Quantity]]*Table1[[#This Row],[Price]]*(1-Table1[[#This Row],[Discount %]]/100)</f>
        <v>95996</v>
      </c>
      <c r="X735">
        <f>Table1[[#This Row],[DeliveryDate]]-Table1[[#This Row],[OrderDate]]</f>
        <v>3</v>
      </c>
      <c r="Y735" t="str">
        <f>TEXT(Table1[[#This Row],[OrderDate]],"MMMM")</f>
        <v>November</v>
      </c>
      <c r="Z735" s="5">
        <f>YEAR(Table1[[#This Row],[OrderDate]])</f>
        <v>2023</v>
      </c>
    </row>
    <row r="736" spans="1:26" x14ac:dyDescent="0.3">
      <c r="A736" s="1" t="s">
        <v>2395</v>
      </c>
      <c r="B736" t="s">
        <v>527</v>
      </c>
      <c r="C736" s="3">
        <v>30</v>
      </c>
      <c r="D736" s="1" t="s">
        <v>51</v>
      </c>
      <c r="E736" s="1" t="s">
        <v>131</v>
      </c>
      <c r="F736" s="1" t="s">
        <v>91</v>
      </c>
      <c r="G736" s="4">
        <v>45473</v>
      </c>
      <c r="H736" s="4">
        <v>45480</v>
      </c>
      <c r="I736" s="1" t="s">
        <v>93</v>
      </c>
      <c r="J736" s="1" t="s">
        <v>30</v>
      </c>
      <c r="K736" s="3">
        <v>4</v>
      </c>
      <c r="L736" s="2">
        <v>11681</v>
      </c>
      <c r="M736" s="3">
        <v>10</v>
      </c>
      <c r="N736" s="1" t="s">
        <v>166</v>
      </c>
      <c r="O736" s="1" t="s">
        <v>86</v>
      </c>
      <c r="P736" s="1" t="s">
        <v>33</v>
      </c>
      <c r="Q736" s="1" t="s">
        <v>530</v>
      </c>
      <c r="R736" s="1" t="s">
        <v>2397</v>
      </c>
      <c r="S736" s="3">
        <v>2</v>
      </c>
      <c r="T736" s="1" t="s">
        <v>96</v>
      </c>
      <c r="U736" s="3">
        <v>491</v>
      </c>
      <c r="V736" s="1" t="s">
        <v>79</v>
      </c>
      <c r="W736" s="5">
        <f>Table1[[#This Row],[Quantity]]*Table1[[#This Row],[Price]]*(1-Table1[[#This Row],[Discount %]]/100)</f>
        <v>42051.6</v>
      </c>
      <c r="X736">
        <f>Table1[[#This Row],[DeliveryDate]]-Table1[[#This Row],[OrderDate]]</f>
        <v>7</v>
      </c>
      <c r="Y736" t="str">
        <f>TEXT(Table1[[#This Row],[OrderDate]],"MMMM")</f>
        <v>June</v>
      </c>
      <c r="Z736" s="5">
        <f>YEAR(Table1[[#This Row],[OrderDate]])</f>
        <v>2024</v>
      </c>
    </row>
    <row r="737" spans="1:26" x14ac:dyDescent="0.3">
      <c r="A737" s="1" t="s">
        <v>2398</v>
      </c>
      <c r="B737" t="s">
        <v>803</v>
      </c>
      <c r="C737" s="3">
        <v>32</v>
      </c>
      <c r="D737" s="1" t="s">
        <v>24</v>
      </c>
      <c r="E737" s="1" t="s">
        <v>229</v>
      </c>
      <c r="F737" s="1" t="s">
        <v>26</v>
      </c>
      <c r="G737" s="4">
        <v>45044</v>
      </c>
      <c r="H737" s="4">
        <v>45053</v>
      </c>
      <c r="I737" s="1" t="s">
        <v>85</v>
      </c>
      <c r="J737" s="1" t="s">
        <v>30</v>
      </c>
      <c r="K737" s="3">
        <v>5</v>
      </c>
      <c r="L737" s="2">
        <v>70337</v>
      </c>
      <c r="M737" s="3">
        <v>0</v>
      </c>
      <c r="N737" s="1" t="s">
        <v>31</v>
      </c>
      <c r="O737" s="1" t="s">
        <v>86</v>
      </c>
      <c r="P737" s="1" t="s">
        <v>33</v>
      </c>
      <c r="Q737" s="1" t="s">
        <v>805</v>
      </c>
      <c r="R737" s="1" t="s">
        <v>2399</v>
      </c>
      <c r="S737" s="3">
        <v>5</v>
      </c>
      <c r="T737" s="1" t="s">
        <v>61</v>
      </c>
      <c r="U737" s="3">
        <v>64</v>
      </c>
      <c r="V737" s="1" t="s">
        <v>37</v>
      </c>
      <c r="W737" s="5">
        <f>Table1[[#This Row],[Quantity]]*Table1[[#This Row],[Price]]*(1-Table1[[#This Row],[Discount %]]/100)</f>
        <v>351685</v>
      </c>
      <c r="X737">
        <f>Table1[[#This Row],[DeliveryDate]]-Table1[[#This Row],[OrderDate]]</f>
        <v>9</v>
      </c>
      <c r="Y737" t="str">
        <f>TEXT(Table1[[#This Row],[OrderDate]],"MMMM")</f>
        <v>April</v>
      </c>
      <c r="Z737" s="5">
        <f>YEAR(Table1[[#This Row],[OrderDate]])</f>
        <v>2023</v>
      </c>
    </row>
    <row r="738" spans="1:26" x14ac:dyDescent="0.3">
      <c r="A738" s="1" t="s">
        <v>2400</v>
      </c>
      <c r="B738" t="s">
        <v>645</v>
      </c>
      <c r="C738" s="3">
        <v>34</v>
      </c>
      <c r="D738" s="1" t="s">
        <v>51</v>
      </c>
      <c r="E738" s="1" t="s">
        <v>131</v>
      </c>
      <c r="F738" s="1" t="s">
        <v>82</v>
      </c>
      <c r="G738" s="4">
        <v>45432</v>
      </c>
      <c r="H738" s="4">
        <v>45437</v>
      </c>
      <c r="I738" s="1" t="s">
        <v>85</v>
      </c>
      <c r="J738" s="1" t="s">
        <v>44</v>
      </c>
      <c r="K738" s="3">
        <v>5</v>
      </c>
      <c r="L738" s="2">
        <v>12645</v>
      </c>
      <c r="M738" s="3">
        <v>10</v>
      </c>
      <c r="N738" s="1" t="s">
        <v>56</v>
      </c>
      <c r="O738" s="1" t="s">
        <v>133</v>
      </c>
      <c r="P738" s="1" t="s">
        <v>33</v>
      </c>
      <c r="Q738" s="1" t="s">
        <v>647</v>
      </c>
      <c r="R738" s="1" t="s">
        <v>2401</v>
      </c>
      <c r="S738" s="3">
        <v>1</v>
      </c>
      <c r="T738" s="1" t="s">
        <v>96</v>
      </c>
      <c r="U738" s="3">
        <v>335</v>
      </c>
      <c r="V738" s="1" t="s">
        <v>79</v>
      </c>
      <c r="W738" s="5">
        <f>Table1[[#This Row],[Quantity]]*Table1[[#This Row],[Price]]*(1-Table1[[#This Row],[Discount %]]/100)</f>
        <v>56902.5</v>
      </c>
      <c r="X738">
        <f>Table1[[#This Row],[DeliveryDate]]-Table1[[#This Row],[OrderDate]]</f>
        <v>5</v>
      </c>
      <c r="Y738" t="str">
        <f>TEXT(Table1[[#This Row],[OrderDate]],"MMMM")</f>
        <v>May</v>
      </c>
      <c r="Z738" s="5">
        <f>YEAR(Table1[[#This Row],[OrderDate]])</f>
        <v>2024</v>
      </c>
    </row>
    <row r="739" spans="1:26" x14ac:dyDescent="0.3">
      <c r="A739" s="1" t="s">
        <v>2402</v>
      </c>
      <c r="B739" t="s">
        <v>293</v>
      </c>
      <c r="C739" s="3">
        <v>30</v>
      </c>
      <c r="D739" s="1" t="s">
        <v>24</v>
      </c>
      <c r="E739" s="1" t="s">
        <v>142</v>
      </c>
      <c r="F739" s="1" t="s">
        <v>65</v>
      </c>
      <c r="G739" s="4">
        <v>45078</v>
      </c>
      <c r="H739" s="4">
        <v>45084</v>
      </c>
      <c r="I739" s="1" t="s">
        <v>108</v>
      </c>
      <c r="J739" s="1" t="s">
        <v>30</v>
      </c>
      <c r="K739" s="3">
        <v>2</v>
      </c>
      <c r="L739" s="2">
        <v>13142</v>
      </c>
      <c r="M739" s="3">
        <v>5</v>
      </c>
      <c r="N739" s="1" t="s">
        <v>31</v>
      </c>
      <c r="O739" s="1" t="s">
        <v>173</v>
      </c>
      <c r="P739" s="1" t="s">
        <v>174</v>
      </c>
      <c r="Q739" s="1" t="s">
        <v>1231</v>
      </c>
      <c r="R739" s="1" t="s">
        <v>2404</v>
      </c>
      <c r="S739" s="3">
        <v>2</v>
      </c>
      <c r="T739" s="1" t="s">
        <v>36</v>
      </c>
      <c r="U739" s="3">
        <v>395</v>
      </c>
      <c r="V739" s="1" t="s">
        <v>79</v>
      </c>
      <c r="W739" s="5">
        <f>Table1[[#This Row],[Quantity]]*Table1[[#This Row],[Price]]*(1-Table1[[#This Row],[Discount %]]/100)</f>
        <v>24969.8</v>
      </c>
      <c r="X739">
        <f>Table1[[#This Row],[DeliveryDate]]-Table1[[#This Row],[OrderDate]]</f>
        <v>6</v>
      </c>
      <c r="Y739" t="str">
        <f>TEXT(Table1[[#This Row],[OrderDate]],"MMMM")</f>
        <v>June</v>
      </c>
      <c r="Z739" s="5">
        <f>YEAR(Table1[[#This Row],[OrderDate]])</f>
        <v>2023</v>
      </c>
    </row>
    <row r="740" spans="1:26" x14ac:dyDescent="0.3">
      <c r="A740" s="1" t="s">
        <v>2405</v>
      </c>
      <c r="B740" t="s">
        <v>1443</v>
      </c>
      <c r="C740" s="3">
        <v>19</v>
      </c>
      <c r="D740" s="1" t="s">
        <v>24</v>
      </c>
      <c r="E740" s="1" t="s">
        <v>99</v>
      </c>
      <c r="F740" s="1" t="s">
        <v>91</v>
      </c>
      <c r="G740" s="4">
        <v>45043</v>
      </c>
      <c r="H740" s="4">
        <v>45045</v>
      </c>
      <c r="I740" s="1" t="s">
        <v>29</v>
      </c>
      <c r="J740" s="1" t="s">
        <v>30</v>
      </c>
      <c r="K740" s="3">
        <v>3</v>
      </c>
      <c r="L740" s="2">
        <v>23864</v>
      </c>
      <c r="M740" s="3">
        <v>5</v>
      </c>
      <c r="N740" s="1" t="s">
        <v>31</v>
      </c>
      <c r="O740" s="1" t="s">
        <v>86</v>
      </c>
      <c r="P740" s="1" t="s">
        <v>58</v>
      </c>
      <c r="Q740" s="1" t="s">
        <v>1444</v>
      </c>
      <c r="R740" s="1" t="s">
        <v>2406</v>
      </c>
      <c r="S740" s="3">
        <v>5</v>
      </c>
      <c r="T740" s="1" t="s">
        <v>72</v>
      </c>
      <c r="U740" s="3">
        <v>401</v>
      </c>
      <c r="V740" s="1" t="s">
        <v>79</v>
      </c>
      <c r="W740" s="5">
        <f>Table1[[#This Row],[Quantity]]*Table1[[#This Row],[Price]]*(1-Table1[[#This Row],[Discount %]]/100)</f>
        <v>68012.399999999994</v>
      </c>
      <c r="X740">
        <f>Table1[[#This Row],[DeliveryDate]]-Table1[[#This Row],[OrderDate]]</f>
        <v>2</v>
      </c>
      <c r="Y740" t="str">
        <f>TEXT(Table1[[#This Row],[OrderDate]],"MMMM")</f>
        <v>April</v>
      </c>
      <c r="Z740" s="5">
        <f>YEAR(Table1[[#This Row],[OrderDate]])</f>
        <v>2023</v>
      </c>
    </row>
    <row r="741" spans="1:26" x14ac:dyDescent="0.3">
      <c r="A741" s="1" t="s">
        <v>2407</v>
      </c>
      <c r="B741" t="s">
        <v>382</v>
      </c>
      <c r="C741" s="3">
        <v>26</v>
      </c>
      <c r="D741" s="1" t="s">
        <v>51</v>
      </c>
      <c r="E741" s="1" t="s">
        <v>142</v>
      </c>
      <c r="F741" s="1" t="s">
        <v>65</v>
      </c>
      <c r="G741" s="4">
        <v>45142</v>
      </c>
      <c r="H741" s="4">
        <v>45145</v>
      </c>
      <c r="I741" s="1" t="s">
        <v>77</v>
      </c>
      <c r="J741" s="1" t="s">
        <v>30</v>
      </c>
      <c r="K741" s="3">
        <v>1</v>
      </c>
      <c r="L741" s="2">
        <v>9720</v>
      </c>
      <c r="M741" s="3">
        <v>10</v>
      </c>
      <c r="N741" s="1" t="s">
        <v>56</v>
      </c>
      <c r="O741" s="1" t="s">
        <v>68</v>
      </c>
      <c r="P741" s="1" t="s">
        <v>58</v>
      </c>
      <c r="Q741" s="1" t="s">
        <v>3415</v>
      </c>
      <c r="R741" s="1" t="s">
        <v>3415</v>
      </c>
      <c r="S741" s="3">
        <v>2</v>
      </c>
      <c r="T741" s="1" t="s">
        <v>61</v>
      </c>
      <c r="U741" s="3">
        <v>261</v>
      </c>
      <c r="V741" s="1" t="s">
        <v>62</v>
      </c>
      <c r="W741" s="5">
        <f>Table1[[#This Row],[Quantity]]*Table1[[#This Row],[Price]]*(1-Table1[[#This Row],[Discount %]]/100)</f>
        <v>8748</v>
      </c>
      <c r="X741">
        <f>Table1[[#This Row],[DeliveryDate]]-Table1[[#This Row],[OrderDate]]</f>
        <v>3</v>
      </c>
      <c r="Y741" t="str">
        <f>TEXT(Table1[[#This Row],[OrderDate]],"MMMM")</f>
        <v>August</v>
      </c>
      <c r="Z741" s="5">
        <f>YEAR(Table1[[#This Row],[OrderDate]])</f>
        <v>2023</v>
      </c>
    </row>
    <row r="742" spans="1:26" x14ac:dyDescent="0.3">
      <c r="A742" s="1" t="s">
        <v>2408</v>
      </c>
      <c r="B742" t="s">
        <v>1080</v>
      </c>
      <c r="C742" s="3">
        <v>35</v>
      </c>
      <c r="D742" s="1" t="s">
        <v>51</v>
      </c>
      <c r="E742" s="1" t="s">
        <v>131</v>
      </c>
      <c r="F742" s="1" t="s">
        <v>91</v>
      </c>
      <c r="G742" s="4">
        <v>45117</v>
      </c>
      <c r="H742" s="4">
        <v>45118</v>
      </c>
      <c r="I742" s="1" t="s">
        <v>29</v>
      </c>
      <c r="J742" s="1" t="s">
        <v>30</v>
      </c>
      <c r="K742" s="3">
        <v>1</v>
      </c>
      <c r="L742" s="2">
        <v>65621</v>
      </c>
      <c r="M742" s="3">
        <v>5</v>
      </c>
      <c r="N742" s="1" t="s">
        <v>31</v>
      </c>
      <c r="O742" s="1" t="s">
        <v>32</v>
      </c>
      <c r="P742" s="1" t="s">
        <v>174</v>
      </c>
      <c r="Q742" s="1" t="s">
        <v>1082</v>
      </c>
      <c r="R742" s="1" t="s">
        <v>2409</v>
      </c>
      <c r="S742" s="3">
        <v>4</v>
      </c>
      <c r="T742" s="1" t="s">
        <v>61</v>
      </c>
      <c r="U742" s="3">
        <v>431</v>
      </c>
      <c r="V742" s="1" t="s">
        <v>79</v>
      </c>
      <c r="W742" s="5">
        <f>Table1[[#This Row],[Quantity]]*Table1[[#This Row],[Price]]*(1-Table1[[#This Row],[Discount %]]/100)</f>
        <v>62339.95</v>
      </c>
      <c r="X742">
        <f>Table1[[#This Row],[DeliveryDate]]-Table1[[#This Row],[OrderDate]]</f>
        <v>1</v>
      </c>
      <c r="Y742" t="str">
        <f>TEXT(Table1[[#This Row],[OrderDate]],"MMMM")</f>
        <v>July</v>
      </c>
      <c r="Z742" s="5">
        <f>YEAR(Table1[[#This Row],[OrderDate]])</f>
        <v>2023</v>
      </c>
    </row>
    <row r="743" spans="1:26" x14ac:dyDescent="0.3">
      <c r="A743" s="1" t="s">
        <v>2410</v>
      </c>
      <c r="B743" t="s">
        <v>90</v>
      </c>
      <c r="C743" s="3">
        <v>36</v>
      </c>
      <c r="D743" s="1" t="s">
        <v>51</v>
      </c>
      <c r="E743" s="1" t="s">
        <v>40</v>
      </c>
      <c r="F743" s="1" t="s">
        <v>91</v>
      </c>
      <c r="G743" s="4">
        <v>45472</v>
      </c>
      <c r="H743" s="4">
        <v>45473</v>
      </c>
      <c r="I743" s="1" t="s">
        <v>29</v>
      </c>
      <c r="J743" s="1" t="s">
        <v>44</v>
      </c>
      <c r="K743" s="3">
        <v>1</v>
      </c>
      <c r="L743" s="2">
        <v>35353</v>
      </c>
      <c r="M743" s="3">
        <v>10</v>
      </c>
      <c r="N743" s="1" t="s">
        <v>45</v>
      </c>
      <c r="O743" s="1" t="s">
        <v>281</v>
      </c>
      <c r="P743" s="1" t="s">
        <v>174</v>
      </c>
      <c r="Q743" s="1" t="s">
        <v>94</v>
      </c>
      <c r="R743" s="1" t="s">
        <v>2411</v>
      </c>
      <c r="S743" s="3">
        <v>4</v>
      </c>
      <c r="T743" s="1" t="s">
        <v>72</v>
      </c>
      <c r="U743" s="3">
        <v>217</v>
      </c>
      <c r="V743" s="1" t="s">
        <v>62</v>
      </c>
      <c r="W743" s="5">
        <f>Table1[[#This Row],[Quantity]]*Table1[[#This Row],[Price]]*(1-Table1[[#This Row],[Discount %]]/100)</f>
        <v>31817.7</v>
      </c>
      <c r="X743">
        <f>Table1[[#This Row],[DeliveryDate]]-Table1[[#This Row],[OrderDate]]</f>
        <v>1</v>
      </c>
      <c r="Y743" t="str">
        <f>TEXT(Table1[[#This Row],[OrderDate]],"MMMM")</f>
        <v>June</v>
      </c>
      <c r="Z743" s="5">
        <f>YEAR(Table1[[#This Row],[OrderDate]])</f>
        <v>2024</v>
      </c>
    </row>
    <row r="744" spans="1:26" x14ac:dyDescent="0.3">
      <c r="A744" s="1" t="s">
        <v>2412</v>
      </c>
      <c r="B744" t="s">
        <v>606</v>
      </c>
      <c r="C744" s="3">
        <v>27</v>
      </c>
      <c r="D744" s="1" t="s">
        <v>24</v>
      </c>
      <c r="E744" s="1" t="s">
        <v>25</v>
      </c>
      <c r="F744" s="1" t="s">
        <v>53</v>
      </c>
      <c r="G744" s="4">
        <v>45337</v>
      </c>
      <c r="H744" s="4">
        <v>45345</v>
      </c>
      <c r="I744" s="1" t="s">
        <v>43</v>
      </c>
      <c r="J744" s="1" t="s">
        <v>30</v>
      </c>
      <c r="K744" s="3">
        <v>4</v>
      </c>
      <c r="L744" s="2">
        <v>58056</v>
      </c>
      <c r="M744" s="3">
        <v>5</v>
      </c>
      <c r="N744" s="1" t="s">
        <v>56</v>
      </c>
      <c r="O744" s="1" t="s">
        <v>102</v>
      </c>
      <c r="P744" s="1" t="s">
        <v>69</v>
      </c>
      <c r="Q744" s="1" t="s">
        <v>608</v>
      </c>
      <c r="R744" s="1" t="s">
        <v>2413</v>
      </c>
      <c r="S744" s="3">
        <v>1</v>
      </c>
      <c r="T744" s="1" t="s">
        <v>36</v>
      </c>
      <c r="U744" s="3">
        <v>390</v>
      </c>
      <c r="V744" s="1" t="s">
        <v>79</v>
      </c>
      <c r="W744" s="5">
        <f>Table1[[#This Row],[Quantity]]*Table1[[#This Row],[Price]]*(1-Table1[[#This Row],[Discount %]]/100)</f>
        <v>220612.8</v>
      </c>
      <c r="X744">
        <f>Table1[[#This Row],[DeliveryDate]]-Table1[[#This Row],[OrderDate]]</f>
        <v>8</v>
      </c>
      <c r="Y744" t="str">
        <f>TEXT(Table1[[#This Row],[OrderDate]],"MMMM")</f>
        <v>February</v>
      </c>
      <c r="Z744" s="5">
        <f>YEAR(Table1[[#This Row],[OrderDate]])</f>
        <v>2024</v>
      </c>
    </row>
    <row r="745" spans="1:26" x14ac:dyDescent="0.3">
      <c r="A745" s="1" t="s">
        <v>2414</v>
      </c>
      <c r="B745" t="s">
        <v>193</v>
      </c>
      <c r="C745" s="3">
        <v>52</v>
      </c>
      <c r="D745" s="1" t="s">
        <v>24</v>
      </c>
      <c r="E745" s="1" t="s">
        <v>229</v>
      </c>
      <c r="F745" s="1" t="s">
        <v>82</v>
      </c>
      <c r="G745" s="4">
        <v>44984</v>
      </c>
      <c r="H745" s="4">
        <v>44994</v>
      </c>
      <c r="I745" s="1" t="s">
        <v>108</v>
      </c>
      <c r="J745" s="1" t="s">
        <v>44</v>
      </c>
      <c r="K745" s="3">
        <v>1</v>
      </c>
      <c r="L745" s="2">
        <v>21483</v>
      </c>
      <c r="M745" s="3">
        <v>0</v>
      </c>
      <c r="N745" s="1" t="s">
        <v>166</v>
      </c>
      <c r="O745" s="1" t="s">
        <v>173</v>
      </c>
      <c r="P745" s="1" t="s">
        <v>58</v>
      </c>
      <c r="Q745" s="1" t="s">
        <v>195</v>
      </c>
      <c r="R745" s="1" t="s">
        <v>2416</v>
      </c>
      <c r="S745" s="3">
        <v>4</v>
      </c>
      <c r="T745" s="1" t="s">
        <v>72</v>
      </c>
      <c r="U745" s="3">
        <v>408</v>
      </c>
      <c r="V745" s="1" t="s">
        <v>79</v>
      </c>
      <c r="W745" s="5">
        <f>Table1[[#This Row],[Quantity]]*Table1[[#This Row],[Price]]*(1-Table1[[#This Row],[Discount %]]/100)</f>
        <v>21483</v>
      </c>
      <c r="X745">
        <f>Table1[[#This Row],[DeliveryDate]]-Table1[[#This Row],[OrderDate]]</f>
        <v>10</v>
      </c>
      <c r="Y745" t="str">
        <f>TEXT(Table1[[#This Row],[OrderDate]],"MMMM")</f>
        <v>February</v>
      </c>
      <c r="Z745" s="5">
        <f>YEAR(Table1[[#This Row],[OrderDate]])</f>
        <v>2023</v>
      </c>
    </row>
    <row r="746" spans="1:26" x14ac:dyDescent="0.3">
      <c r="A746" s="1" t="s">
        <v>2417</v>
      </c>
      <c r="B746" t="s">
        <v>170</v>
      </c>
      <c r="C746" s="3">
        <v>19</v>
      </c>
      <c r="D746" s="1" t="s">
        <v>51</v>
      </c>
      <c r="E746" s="1" t="s">
        <v>52</v>
      </c>
      <c r="F746" s="1" t="s">
        <v>82</v>
      </c>
      <c r="G746" s="4">
        <v>44969</v>
      </c>
      <c r="H746" s="4">
        <v>44979</v>
      </c>
      <c r="I746" s="1" t="s">
        <v>43</v>
      </c>
      <c r="J746" s="1" t="s">
        <v>30</v>
      </c>
      <c r="K746" s="3">
        <v>1</v>
      </c>
      <c r="L746" s="2">
        <v>8454</v>
      </c>
      <c r="M746" s="3">
        <v>10</v>
      </c>
      <c r="N746" s="1" t="s">
        <v>31</v>
      </c>
      <c r="O746" s="1" t="s">
        <v>86</v>
      </c>
      <c r="P746" s="1" t="s">
        <v>69</v>
      </c>
      <c r="Q746" s="1" t="s">
        <v>175</v>
      </c>
      <c r="R746" s="1" t="s">
        <v>2418</v>
      </c>
      <c r="S746" s="3">
        <v>4</v>
      </c>
      <c r="T746" s="1" t="s">
        <v>61</v>
      </c>
      <c r="U746" s="3">
        <v>332</v>
      </c>
      <c r="V746" s="1" t="s">
        <v>37</v>
      </c>
      <c r="W746" s="5">
        <f>Table1[[#This Row],[Quantity]]*Table1[[#This Row],[Price]]*(1-Table1[[#This Row],[Discount %]]/100)</f>
        <v>7608.6</v>
      </c>
      <c r="X746">
        <f>Table1[[#This Row],[DeliveryDate]]-Table1[[#This Row],[OrderDate]]</f>
        <v>10</v>
      </c>
      <c r="Y746" t="str">
        <f>TEXT(Table1[[#This Row],[OrderDate]],"MMMM")</f>
        <v>February</v>
      </c>
      <c r="Z746" s="5">
        <f>YEAR(Table1[[#This Row],[OrderDate]])</f>
        <v>2023</v>
      </c>
    </row>
    <row r="747" spans="1:26" x14ac:dyDescent="0.3">
      <c r="A747" s="1" t="s">
        <v>2419</v>
      </c>
      <c r="B747" t="s">
        <v>702</v>
      </c>
      <c r="C747" s="3">
        <v>46</v>
      </c>
      <c r="D747" s="1" t="s">
        <v>24</v>
      </c>
      <c r="E747" s="1" t="s">
        <v>52</v>
      </c>
      <c r="F747" s="1" t="s">
        <v>26</v>
      </c>
      <c r="G747" s="4">
        <v>45203</v>
      </c>
      <c r="H747" s="4">
        <v>45207</v>
      </c>
      <c r="I747" s="1" t="s">
        <v>93</v>
      </c>
      <c r="J747" s="1" t="s">
        <v>30</v>
      </c>
      <c r="K747" s="3">
        <v>1</v>
      </c>
      <c r="L747" s="2">
        <v>5589</v>
      </c>
      <c r="M747" s="3">
        <v>15</v>
      </c>
      <c r="N747" s="1" t="s">
        <v>45</v>
      </c>
      <c r="O747" s="1" t="s">
        <v>281</v>
      </c>
      <c r="P747" s="1" t="s">
        <v>33</v>
      </c>
      <c r="Q747" s="1" t="s">
        <v>916</v>
      </c>
      <c r="R747" s="1" t="s">
        <v>2421</v>
      </c>
      <c r="S747" s="3">
        <v>2</v>
      </c>
      <c r="T747" s="1" t="s">
        <v>36</v>
      </c>
      <c r="U747" s="3">
        <v>422</v>
      </c>
      <c r="V747" s="1" t="s">
        <v>62</v>
      </c>
      <c r="W747" s="5">
        <f>Table1[[#This Row],[Quantity]]*Table1[[#This Row],[Price]]*(1-Table1[[#This Row],[Discount %]]/100)</f>
        <v>4750.6499999999996</v>
      </c>
      <c r="X747">
        <f>Table1[[#This Row],[DeliveryDate]]-Table1[[#This Row],[OrderDate]]</f>
        <v>4</v>
      </c>
      <c r="Y747" t="str">
        <f>TEXT(Table1[[#This Row],[OrderDate]],"MMMM")</f>
        <v>October</v>
      </c>
      <c r="Z747" s="5">
        <f>YEAR(Table1[[#This Row],[OrderDate]])</f>
        <v>2023</v>
      </c>
    </row>
    <row r="748" spans="1:26" x14ac:dyDescent="0.3">
      <c r="A748" s="1" t="s">
        <v>2422</v>
      </c>
      <c r="B748" t="s">
        <v>338</v>
      </c>
      <c r="C748" s="3">
        <v>32</v>
      </c>
      <c r="D748" s="1" t="s">
        <v>24</v>
      </c>
      <c r="E748" s="1" t="s">
        <v>25</v>
      </c>
      <c r="F748" s="1" t="s">
        <v>91</v>
      </c>
      <c r="G748" s="4">
        <v>45394</v>
      </c>
      <c r="H748" s="4">
        <v>45404</v>
      </c>
      <c r="I748" s="1" t="s">
        <v>108</v>
      </c>
      <c r="J748" s="1" t="s">
        <v>44</v>
      </c>
      <c r="K748" s="3">
        <v>5</v>
      </c>
      <c r="L748" s="2">
        <v>47441</v>
      </c>
      <c r="M748" s="3">
        <v>10</v>
      </c>
      <c r="N748" s="1" t="s">
        <v>166</v>
      </c>
      <c r="O748" s="1" t="s">
        <v>46</v>
      </c>
      <c r="P748" s="1" t="s">
        <v>33</v>
      </c>
      <c r="Q748" s="1" t="s">
        <v>341</v>
      </c>
      <c r="R748" s="1" t="s">
        <v>2424</v>
      </c>
      <c r="S748" s="3">
        <v>1</v>
      </c>
      <c r="T748" s="1" t="s">
        <v>72</v>
      </c>
      <c r="U748" s="3">
        <v>124</v>
      </c>
      <c r="V748" s="1" t="s">
        <v>79</v>
      </c>
      <c r="W748" s="5">
        <f>Table1[[#This Row],[Quantity]]*Table1[[#This Row],[Price]]*(1-Table1[[#This Row],[Discount %]]/100)</f>
        <v>213484.5</v>
      </c>
      <c r="X748">
        <f>Table1[[#This Row],[DeliveryDate]]-Table1[[#This Row],[OrderDate]]</f>
        <v>10</v>
      </c>
      <c r="Y748" t="str">
        <f>TEXT(Table1[[#This Row],[OrderDate]],"MMMM")</f>
        <v>April</v>
      </c>
      <c r="Z748" s="5">
        <f>YEAR(Table1[[#This Row],[OrderDate]])</f>
        <v>2024</v>
      </c>
    </row>
    <row r="749" spans="1:26" x14ac:dyDescent="0.3">
      <c r="A749" s="1" t="s">
        <v>2425</v>
      </c>
      <c r="B749" t="s">
        <v>113</v>
      </c>
      <c r="C749" s="3">
        <v>58</v>
      </c>
      <c r="D749" s="1" t="s">
        <v>24</v>
      </c>
      <c r="E749" s="1" t="s">
        <v>142</v>
      </c>
      <c r="F749" s="1" t="s">
        <v>53</v>
      </c>
      <c r="G749" s="4">
        <v>45136</v>
      </c>
      <c r="H749" s="4">
        <v>45139</v>
      </c>
      <c r="I749" s="1" t="s">
        <v>77</v>
      </c>
      <c r="J749" s="1" t="s">
        <v>30</v>
      </c>
      <c r="K749" s="3">
        <v>5</v>
      </c>
      <c r="L749" s="2">
        <v>76592</v>
      </c>
      <c r="M749" s="3">
        <v>0</v>
      </c>
      <c r="N749" s="1" t="s">
        <v>56</v>
      </c>
      <c r="O749" s="1" t="s">
        <v>86</v>
      </c>
      <c r="P749" s="1" t="s">
        <v>33</v>
      </c>
      <c r="Q749" s="1" t="s">
        <v>116</v>
      </c>
      <c r="R749" s="1" t="s">
        <v>2426</v>
      </c>
      <c r="S749" s="3">
        <v>4</v>
      </c>
      <c r="T749" s="1" t="s">
        <v>36</v>
      </c>
      <c r="U749" s="3">
        <v>396</v>
      </c>
      <c r="V749" s="1" t="s">
        <v>37</v>
      </c>
      <c r="W749" s="5">
        <f>Table1[[#This Row],[Quantity]]*Table1[[#This Row],[Price]]*(1-Table1[[#This Row],[Discount %]]/100)</f>
        <v>382960</v>
      </c>
      <c r="X749">
        <f>Table1[[#This Row],[DeliveryDate]]-Table1[[#This Row],[OrderDate]]</f>
        <v>3</v>
      </c>
      <c r="Y749" t="str">
        <f>TEXT(Table1[[#This Row],[OrderDate]],"MMMM")</f>
        <v>July</v>
      </c>
      <c r="Z749" s="5">
        <f>YEAR(Table1[[#This Row],[OrderDate]])</f>
        <v>2023</v>
      </c>
    </row>
    <row r="750" spans="1:26" x14ac:dyDescent="0.3">
      <c r="A750" s="1" t="s">
        <v>2427</v>
      </c>
      <c r="B750" t="s">
        <v>689</v>
      </c>
      <c r="C750" s="3">
        <v>34</v>
      </c>
      <c r="D750" s="1" t="s">
        <v>51</v>
      </c>
      <c r="E750" s="1" t="s">
        <v>25</v>
      </c>
      <c r="F750" s="1" t="s">
        <v>53</v>
      </c>
      <c r="G750" s="4">
        <v>45457</v>
      </c>
      <c r="H750" s="4">
        <v>45460</v>
      </c>
      <c r="I750" s="1" t="s">
        <v>108</v>
      </c>
      <c r="J750" s="1" t="s">
        <v>30</v>
      </c>
      <c r="K750" s="3">
        <v>4</v>
      </c>
      <c r="L750" s="2">
        <v>10151</v>
      </c>
      <c r="M750" s="3">
        <v>5</v>
      </c>
      <c r="N750" s="1" t="s">
        <v>45</v>
      </c>
      <c r="O750" s="1" t="s">
        <v>133</v>
      </c>
      <c r="P750" s="1" t="s">
        <v>33</v>
      </c>
      <c r="Q750" s="1" t="s">
        <v>3415</v>
      </c>
      <c r="R750" s="1" t="s">
        <v>2428</v>
      </c>
      <c r="S750" s="3">
        <v>1</v>
      </c>
      <c r="T750" s="1" t="s">
        <v>61</v>
      </c>
      <c r="U750" s="3">
        <v>487</v>
      </c>
      <c r="V750" s="1" t="s">
        <v>79</v>
      </c>
      <c r="W750" s="5">
        <f>Table1[[#This Row],[Quantity]]*Table1[[#This Row],[Price]]*(1-Table1[[#This Row],[Discount %]]/100)</f>
        <v>38573.799999999996</v>
      </c>
      <c r="X750">
        <f>Table1[[#This Row],[DeliveryDate]]-Table1[[#This Row],[OrderDate]]</f>
        <v>3</v>
      </c>
      <c r="Y750" t="str">
        <f>TEXT(Table1[[#This Row],[OrderDate]],"MMMM")</f>
        <v>June</v>
      </c>
      <c r="Z750" s="5">
        <f>YEAR(Table1[[#This Row],[OrderDate]])</f>
        <v>2024</v>
      </c>
    </row>
    <row r="751" spans="1:26" x14ac:dyDescent="0.3">
      <c r="A751" s="1" t="s">
        <v>2429</v>
      </c>
      <c r="B751" t="s">
        <v>216</v>
      </c>
      <c r="C751" s="3">
        <v>24</v>
      </c>
      <c r="D751" s="1" t="s">
        <v>24</v>
      </c>
      <c r="E751" s="1" t="s">
        <v>26</v>
      </c>
      <c r="F751" s="1" t="s">
        <v>65</v>
      </c>
      <c r="G751" s="4">
        <v>45071</v>
      </c>
      <c r="H751" s="4">
        <v>45072</v>
      </c>
      <c r="I751" s="1" t="s">
        <v>77</v>
      </c>
      <c r="J751" s="1" t="s">
        <v>44</v>
      </c>
      <c r="K751" s="3">
        <v>1</v>
      </c>
      <c r="L751" s="2">
        <v>9524</v>
      </c>
      <c r="M751" s="3">
        <v>5</v>
      </c>
      <c r="N751" s="1" t="s">
        <v>166</v>
      </c>
      <c r="O751" s="1" t="s">
        <v>281</v>
      </c>
      <c r="P751" s="1" t="s">
        <v>174</v>
      </c>
      <c r="Q751" s="1" t="s">
        <v>3415</v>
      </c>
      <c r="R751" s="1" t="s">
        <v>2430</v>
      </c>
      <c r="S751" s="3">
        <v>1</v>
      </c>
      <c r="T751" s="1" t="s">
        <v>96</v>
      </c>
      <c r="U751" s="3">
        <v>276</v>
      </c>
      <c r="V751" s="1" t="s">
        <v>37</v>
      </c>
      <c r="W751" s="5">
        <f>Table1[[#This Row],[Quantity]]*Table1[[#This Row],[Price]]*(1-Table1[[#This Row],[Discount %]]/100)</f>
        <v>9047.7999999999993</v>
      </c>
      <c r="X751">
        <f>Table1[[#This Row],[DeliveryDate]]-Table1[[#This Row],[OrderDate]]</f>
        <v>1</v>
      </c>
      <c r="Y751" t="str">
        <f>TEXT(Table1[[#This Row],[OrderDate]],"MMMM")</f>
        <v>May</v>
      </c>
      <c r="Z751" s="5">
        <f>YEAR(Table1[[#This Row],[OrderDate]])</f>
        <v>2023</v>
      </c>
    </row>
    <row r="752" spans="1:26" x14ac:dyDescent="0.3">
      <c r="A752" s="1" t="s">
        <v>2431</v>
      </c>
      <c r="B752" t="s">
        <v>222</v>
      </c>
      <c r="C752" s="3">
        <v>37</v>
      </c>
      <c r="D752" s="1" t="s">
        <v>51</v>
      </c>
      <c r="E752" s="1" t="s">
        <v>131</v>
      </c>
      <c r="F752" s="1" t="s">
        <v>53</v>
      </c>
      <c r="G752" s="4">
        <v>45203</v>
      </c>
      <c r="H752" s="4">
        <v>45207</v>
      </c>
      <c r="I752" s="1" t="s">
        <v>93</v>
      </c>
      <c r="J752" s="1" t="s">
        <v>30</v>
      </c>
      <c r="K752" s="3">
        <v>3</v>
      </c>
      <c r="L752" s="2">
        <v>31072</v>
      </c>
      <c r="M752" s="3">
        <v>0</v>
      </c>
      <c r="N752" s="1" t="s">
        <v>45</v>
      </c>
      <c r="O752" s="1" t="s">
        <v>102</v>
      </c>
      <c r="P752" s="1" t="s">
        <v>33</v>
      </c>
      <c r="Q752" s="1" t="s">
        <v>225</v>
      </c>
      <c r="R752" s="1" t="s">
        <v>2432</v>
      </c>
      <c r="S752" s="3">
        <v>3</v>
      </c>
      <c r="T752" s="1" t="s">
        <v>72</v>
      </c>
      <c r="U752" s="3">
        <v>452</v>
      </c>
      <c r="V752" s="1" t="s">
        <v>79</v>
      </c>
      <c r="W752" s="5">
        <f>Table1[[#This Row],[Quantity]]*Table1[[#This Row],[Price]]*(1-Table1[[#This Row],[Discount %]]/100)</f>
        <v>93216</v>
      </c>
      <c r="X752">
        <f>Table1[[#This Row],[DeliveryDate]]-Table1[[#This Row],[OrderDate]]</f>
        <v>4</v>
      </c>
      <c r="Y752" t="str">
        <f>TEXT(Table1[[#This Row],[OrderDate]],"MMMM")</f>
        <v>October</v>
      </c>
      <c r="Z752" s="5">
        <f>YEAR(Table1[[#This Row],[OrderDate]])</f>
        <v>2023</v>
      </c>
    </row>
    <row r="753" spans="1:26" x14ac:dyDescent="0.3">
      <c r="A753" s="1" t="s">
        <v>2433</v>
      </c>
      <c r="B753" t="s">
        <v>850</v>
      </c>
      <c r="C753" s="3">
        <v>27</v>
      </c>
      <c r="D753" s="1" t="s">
        <v>51</v>
      </c>
      <c r="E753" s="1" t="s">
        <v>40</v>
      </c>
      <c r="F753" s="1" t="s">
        <v>26</v>
      </c>
      <c r="G753" s="4">
        <v>45136</v>
      </c>
      <c r="H753" s="4">
        <v>45139</v>
      </c>
      <c r="I753" s="1" t="s">
        <v>43</v>
      </c>
      <c r="J753" s="1" t="s">
        <v>44</v>
      </c>
      <c r="K753" s="3">
        <v>2</v>
      </c>
      <c r="L753" s="2">
        <v>18296</v>
      </c>
      <c r="M753" s="3">
        <v>15</v>
      </c>
      <c r="N753" s="1" t="s">
        <v>31</v>
      </c>
      <c r="O753" s="1" t="s">
        <v>109</v>
      </c>
      <c r="P753" s="1" t="s">
        <v>174</v>
      </c>
      <c r="Q753" s="1" t="s">
        <v>258</v>
      </c>
      <c r="R753" s="1" t="s">
        <v>2434</v>
      </c>
      <c r="S753" s="3">
        <v>5</v>
      </c>
      <c r="T753" s="1" t="s">
        <v>72</v>
      </c>
      <c r="U753" s="3">
        <v>302</v>
      </c>
      <c r="V753" s="1" t="s">
        <v>62</v>
      </c>
      <c r="W753" s="5">
        <f>Table1[[#This Row],[Quantity]]*Table1[[#This Row],[Price]]*(1-Table1[[#This Row],[Discount %]]/100)</f>
        <v>31103.200000000001</v>
      </c>
      <c r="X753">
        <f>Table1[[#This Row],[DeliveryDate]]-Table1[[#This Row],[OrderDate]]</f>
        <v>3</v>
      </c>
      <c r="Y753" t="str">
        <f>TEXT(Table1[[#This Row],[OrderDate]],"MMMM")</f>
        <v>July</v>
      </c>
      <c r="Z753" s="5">
        <f>YEAR(Table1[[#This Row],[OrderDate]])</f>
        <v>2023</v>
      </c>
    </row>
    <row r="754" spans="1:26" x14ac:dyDescent="0.3">
      <c r="A754" s="1" t="s">
        <v>2435</v>
      </c>
      <c r="B754" t="s">
        <v>321</v>
      </c>
      <c r="C754" s="3">
        <v>38</v>
      </c>
      <c r="D754" s="1" t="s">
        <v>24</v>
      </c>
      <c r="E754" s="1" t="s">
        <v>40</v>
      </c>
      <c r="F754" s="1" t="s">
        <v>82</v>
      </c>
      <c r="G754" s="4">
        <v>45389</v>
      </c>
      <c r="H754" s="4">
        <v>45398</v>
      </c>
      <c r="I754" s="1" t="s">
        <v>77</v>
      </c>
      <c r="J754" s="1" t="s">
        <v>30</v>
      </c>
      <c r="K754" s="3">
        <v>5</v>
      </c>
      <c r="L754" s="2">
        <v>32142</v>
      </c>
      <c r="M754" s="3">
        <v>0</v>
      </c>
      <c r="N754" s="1" t="s">
        <v>45</v>
      </c>
      <c r="O754" s="1" t="s">
        <v>109</v>
      </c>
      <c r="P754" s="1" t="s">
        <v>33</v>
      </c>
      <c r="Q754" s="1" t="s">
        <v>324</v>
      </c>
      <c r="R754" s="1" t="s">
        <v>2436</v>
      </c>
      <c r="S754" s="3">
        <v>2</v>
      </c>
      <c r="T754" s="1" t="s">
        <v>72</v>
      </c>
      <c r="U754" s="3">
        <v>148</v>
      </c>
      <c r="V754" s="1" t="s">
        <v>37</v>
      </c>
      <c r="W754" s="5">
        <f>Table1[[#This Row],[Quantity]]*Table1[[#This Row],[Price]]*(1-Table1[[#This Row],[Discount %]]/100)</f>
        <v>160710</v>
      </c>
      <c r="X754">
        <f>Table1[[#This Row],[DeliveryDate]]-Table1[[#This Row],[OrderDate]]</f>
        <v>9</v>
      </c>
      <c r="Y754" t="str">
        <f>TEXT(Table1[[#This Row],[OrderDate]],"MMMM")</f>
        <v>April</v>
      </c>
      <c r="Z754" s="5">
        <f>YEAR(Table1[[#This Row],[OrderDate]])</f>
        <v>2024</v>
      </c>
    </row>
    <row r="755" spans="1:26" x14ac:dyDescent="0.3">
      <c r="A755" s="1" t="s">
        <v>2437</v>
      </c>
      <c r="B755" t="s">
        <v>729</v>
      </c>
      <c r="C755" s="3">
        <v>34</v>
      </c>
      <c r="D755" s="1" t="s">
        <v>51</v>
      </c>
      <c r="E755" s="1" t="s">
        <v>142</v>
      </c>
      <c r="F755" s="1" t="s">
        <v>53</v>
      </c>
      <c r="G755" s="4">
        <v>44970</v>
      </c>
      <c r="H755" s="4">
        <v>44977</v>
      </c>
      <c r="I755" s="1" t="s">
        <v>29</v>
      </c>
      <c r="J755" s="1" t="s">
        <v>30</v>
      </c>
      <c r="K755" s="3">
        <v>4</v>
      </c>
      <c r="L755" s="2">
        <v>41699</v>
      </c>
      <c r="M755" s="3">
        <v>10</v>
      </c>
      <c r="N755" s="1" t="s">
        <v>56</v>
      </c>
      <c r="O755" s="1" t="s">
        <v>46</v>
      </c>
      <c r="P755" s="1" t="s">
        <v>58</v>
      </c>
      <c r="Q755" s="1" t="s">
        <v>732</v>
      </c>
      <c r="R755" s="1" t="s">
        <v>2439</v>
      </c>
      <c r="S755" s="3">
        <v>1</v>
      </c>
      <c r="T755" s="1" t="s">
        <v>72</v>
      </c>
      <c r="U755" s="3">
        <v>324</v>
      </c>
      <c r="V755" s="1" t="s">
        <v>37</v>
      </c>
      <c r="W755" s="5">
        <f>Table1[[#This Row],[Quantity]]*Table1[[#This Row],[Price]]*(1-Table1[[#This Row],[Discount %]]/100)</f>
        <v>150116.4</v>
      </c>
      <c r="X755">
        <f>Table1[[#This Row],[DeliveryDate]]-Table1[[#This Row],[OrderDate]]</f>
        <v>7</v>
      </c>
      <c r="Y755" t="str">
        <f>TEXT(Table1[[#This Row],[OrderDate]],"MMMM")</f>
        <v>February</v>
      </c>
      <c r="Z755" s="5">
        <f>YEAR(Table1[[#This Row],[OrderDate]])</f>
        <v>2023</v>
      </c>
    </row>
    <row r="756" spans="1:26" x14ac:dyDescent="0.3">
      <c r="A756" s="1" t="s">
        <v>2440</v>
      </c>
      <c r="B756" t="s">
        <v>209</v>
      </c>
      <c r="C756" s="3">
        <v>43</v>
      </c>
      <c r="D756" s="1" t="s">
        <v>24</v>
      </c>
      <c r="E756" s="1" t="s">
        <v>25</v>
      </c>
      <c r="F756" s="1" t="s">
        <v>53</v>
      </c>
      <c r="G756" s="4">
        <v>45541</v>
      </c>
      <c r="H756" s="4">
        <v>45542</v>
      </c>
      <c r="I756" s="1" t="s">
        <v>108</v>
      </c>
      <c r="J756" s="1" t="s">
        <v>30</v>
      </c>
      <c r="K756" s="3">
        <v>4</v>
      </c>
      <c r="L756" s="2">
        <v>7942</v>
      </c>
      <c r="M756" s="3">
        <v>0</v>
      </c>
      <c r="N756" s="1" t="s">
        <v>31</v>
      </c>
      <c r="O756" s="1" t="s">
        <v>173</v>
      </c>
      <c r="P756" s="1" t="s">
        <v>58</v>
      </c>
      <c r="Q756" s="1" t="s">
        <v>1001</v>
      </c>
      <c r="R756" s="1" t="s">
        <v>2441</v>
      </c>
      <c r="S756" s="3">
        <v>5</v>
      </c>
      <c r="T756" s="1" t="s">
        <v>72</v>
      </c>
      <c r="U756" s="3">
        <v>101</v>
      </c>
      <c r="V756" s="1" t="s">
        <v>37</v>
      </c>
      <c r="W756" s="5">
        <f>Table1[[#This Row],[Quantity]]*Table1[[#This Row],[Price]]*(1-Table1[[#This Row],[Discount %]]/100)</f>
        <v>31768</v>
      </c>
      <c r="X756">
        <f>Table1[[#This Row],[DeliveryDate]]-Table1[[#This Row],[OrderDate]]</f>
        <v>1</v>
      </c>
      <c r="Y756" t="str">
        <f>TEXT(Table1[[#This Row],[OrderDate]],"MMMM")</f>
        <v>September</v>
      </c>
      <c r="Z756" s="5">
        <f>YEAR(Table1[[#This Row],[OrderDate]])</f>
        <v>2024</v>
      </c>
    </row>
    <row r="757" spans="1:26" x14ac:dyDescent="0.3">
      <c r="A757" s="1" t="s">
        <v>2442</v>
      </c>
      <c r="B757" t="s">
        <v>606</v>
      </c>
      <c r="C757" s="3">
        <v>25</v>
      </c>
      <c r="D757" s="1" t="s">
        <v>51</v>
      </c>
      <c r="E757" s="1" t="s">
        <v>40</v>
      </c>
      <c r="F757" s="1" t="s">
        <v>53</v>
      </c>
      <c r="G757" s="4">
        <v>45596</v>
      </c>
      <c r="H757" s="4">
        <v>45597</v>
      </c>
      <c r="I757" s="1" t="s">
        <v>85</v>
      </c>
      <c r="J757" s="1" t="s">
        <v>44</v>
      </c>
      <c r="K757" s="3">
        <v>2.9447852760736195</v>
      </c>
      <c r="L757" s="2">
        <v>25021</v>
      </c>
      <c r="M757" s="3">
        <v>10</v>
      </c>
      <c r="N757" s="1" t="s">
        <v>31</v>
      </c>
      <c r="O757" s="1" t="s">
        <v>57</v>
      </c>
      <c r="P757" s="1" t="s">
        <v>58</v>
      </c>
      <c r="Q757" s="1" t="s">
        <v>608</v>
      </c>
      <c r="R757" s="1" t="s">
        <v>2443</v>
      </c>
      <c r="S757" s="3">
        <v>1</v>
      </c>
      <c r="T757" s="1" t="s">
        <v>96</v>
      </c>
      <c r="U757" s="3">
        <v>105</v>
      </c>
      <c r="V757" s="1" t="s">
        <v>37</v>
      </c>
      <c r="W757" s="5">
        <f>Table1[[#This Row],[Quantity]]*Table1[[#This Row],[Price]]*(1-Table1[[#This Row],[Discount %]]/100)</f>
        <v>66313.325153374244</v>
      </c>
      <c r="X757">
        <f>Table1[[#This Row],[DeliveryDate]]-Table1[[#This Row],[OrderDate]]</f>
        <v>1</v>
      </c>
      <c r="Y757" t="str">
        <f>TEXT(Table1[[#This Row],[OrderDate]],"MMMM")</f>
        <v>October</v>
      </c>
      <c r="Z757" s="5">
        <f>YEAR(Table1[[#This Row],[OrderDate]])</f>
        <v>2024</v>
      </c>
    </row>
    <row r="758" spans="1:26" x14ac:dyDescent="0.3">
      <c r="A758" s="1" t="s">
        <v>2444</v>
      </c>
      <c r="B758" t="s">
        <v>1396</v>
      </c>
      <c r="C758" s="3">
        <v>28</v>
      </c>
      <c r="D758" s="1" t="s">
        <v>51</v>
      </c>
      <c r="E758" s="1" t="s">
        <v>142</v>
      </c>
      <c r="F758" s="1" t="s">
        <v>53</v>
      </c>
      <c r="G758" s="4">
        <v>45426</v>
      </c>
      <c r="H758" s="4">
        <v>45431</v>
      </c>
      <c r="I758" s="1" t="s">
        <v>77</v>
      </c>
      <c r="J758" s="1" t="s">
        <v>30</v>
      </c>
      <c r="K758" s="3">
        <v>5</v>
      </c>
      <c r="L758" s="2">
        <v>58258</v>
      </c>
      <c r="M758" s="3">
        <v>15</v>
      </c>
      <c r="N758" s="1" t="s">
        <v>31</v>
      </c>
      <c r="O758" s="1" t="s">
        <v>173</v>
      </c>
      <c r="P758" s="1" t="s">
        <v>174</v>
      </c>
      <c r="Q758" s="1" t="s">
        <v>3415</v>
      </c>
      <c r="R758" s="1" t="s">
        <v>2446</v>
      </c>
      <c r="S758" s="3">
        <v>3</v>
      </c>
      <c r="T758" s="1" t="s">
        <v>36</v>
      </c>
      <c r="U758" s="3">
        <v>199</v>
      </c>
      <c r="V758" s="1" t="s">
        <v>62</v>
      </c>
      <c r="W758" s="5">
        <f>Table1[[#This Row],[Quantity]]*Table1[[#This Row],[Price]]*(1-Table1[[#This Row],[Discount %]]/100)</f>
        <v>247596.5</v>
      </c>
      <c r="X758">
        <f>Table1[[#This Row],[DeliveryDate]]-Table1[[#This Row],[OrderDate]]</f>
        <v>5</v>
      </c>
      <c r="Y758" t="str">
        <f>TEXT(Table1[[#This Row],[OrderDate]],"MMMM")</f>
        <v>May</v>
      </c>
      <c r="Z758" s="5">
        <f>YEAR(Table1[[#This Row],[OrderDate]])</f>
        <v>2024</v>
      </c>
    </row>
    <row r="759" spans="1:26" x14ac:dyDescent="0.3">
      <c r="A759" s="1" t="s">
        <v>2447</v>
      </c>
      <c r="B759" t="s">
        <v>315</v>
      </c>
      <c r="C759" s="3">
        <v>46</v>
      </c>
      <c r="D759" s="1" t="s">
        <v>51</v>
      </c>
      <c r="E759" s="1" t="s">
        <v>52</v>
      </c>
      <c r="F759" s="1" t="s">
        <v>65</v>
      </c>
      <c r="G759" s="4">
        <v>45113</v>
      </c>
      <c r="H759" s="4">
        <v>45116</v>
      </c>
      <c r="I759" s="1" t="s">
        <v>43</v>
      </c>
      <c r="J759" s="1" t="s">
        <v>30</v>
      </c>
      <c r="K759" s="3">
        <v>1</v>
      </c>
      <c r="L759" s="2">
        <v>48654</v>
      </c>
      <c r="M759" s="3">
        <v>15</v>
      </c>
      <c r="N759" s="1" t="s">
        <v>166</v>
      </c>
      <c r="O759" s="1" t="s">
        <v>133</v>
      </c>
      <c r="P759" s="1" t="s">
        <v>69</v>
      </c>
      <c r="Q759" s="1" t="s">
        <v>318</v>
      </c>
      <c r="R759" s="1" t="s">
        <v>3415</v>
      </c>
      <c r="S759" s="3">
        <v>4</v>
      </c>
      <c r="T759" s="1" t="s">
        <v>36</v>
      </c>
      <c r="U759" s="3">
        <v>121</v>
      </c>
      <c r="V759" s="1" t="s">
        <v>37</v>
      </c>
      <c r="W759" s="5">
        <f>Table1[[#This Row],[Quantity]]*Table1[[#This Row],[Price]]*(1-Table1[[#This Row],[Discount %]]/100)</f>
        <v>41355.9</v>
      </c>
      <c r="X759">
        <f>Table1[[#This Row],[DeliveryDate]]-Table1[[#This Row],[OrderDate]]</f>
        <v>3</v>
      </c>
      <c r="Y759" t="str">
        <f>TEXT(Table1[[#This Row],[OrderDate]],"MMMM")</f>
        <v>July</v>
      </c>
      <c r="Z759" s="5">
        <f>YEAR(Table1[[#This Row],[OrderDate]])</f>
        <v>2023</v>
      </c>
    </row>
    <row r="760" spans="1:26" x14ac:dyDescent="0.3">
      <c r="A760" s="1" t="s">
        <v>2448</v>
      </c>
      <c r="B760" t="s">
        <v>803</v>
      </c>
      <c r="C760" s="3">
        <v>40</v>
      </c>
      <c r="D760" s="1" t="s">
        <v>24</v>
      </c>
      <c r="E760" s="1" t="s">
        <v>142</v>
      </c>
      <c r="F760" s="1" t="s">
        <v>91</v>
      </c>
      <c r="G760" s="4">
        <v>45010</v>
      </c>
      <c r="H760" s="4">
        <v>45011</v>
      </c>
      <c r="I760" s="1" t="s">
        <v>85</v>
      </c>
      <c r="J760" s="1" t="s">
        <v>44</v>
      </c>
      <c r="K760" s="3">
        <v>1</v>
      </c>
      <c r="L760" s="2">
        <v>54398</v>
      </c>
      <c r="M760" s="3">
        <v>5</v>
      </c>
      <c r="N760" s="1" t="s">
        <v>31</v>
      </c>
      <c r="O760" s="1" t="s">
        <v>57</v>
      </c>
      <c r="P760" s="1" t="s">
        <v>69</v>
      </c>
      <c r="Q760" s="1" t="s">
        <v>805</v>
      </c>
      <c r="R760" s="1" t="s">
        <v>2449</v>
      </c>
      <c r="S760" s="3">
        <v>1</v>
      </c>
      <c r="T760" s="1" t="s">
        <v>96</v>
      </c>
      <c r="U760" s="3">
        <v>244</v>
      </c>
      <c r="V760" s="1" t="s">
        <v>62</v>
      </c>
      <c r="W760" s="5">
        <f>Table1[[#This Row],[Quantity]]*Table1[[#This Row],[Price]]*(1-Table1[[#This Row],[Discount %]]/100)</f>
        <v>51678.1</v>
      </c>
      <c r="X760">
        <f>Table1[[#This Row],[DeliveryDate]]-Table1[[#This Row],[OrderDate]]</f>
        <v>1</v>
      </c>
      <c r="Y760" t="str">
        <f>TEXT(Table1[[#This Row],[OrderDate]],"MMMM")</f>
        <v>March</v>
      </c>
      <c r="Z760" s="5">
        <f>YEAR(Table1[[#This Row],[OrderDate]])</f>
        <v>2023</v>
      </c>
    </row>
    <row r="761" spans="1:26" x14ac:dyDescent="0.3">
      <c r="A761" s="1" t="s">
        <v>2450</v>
      </c>
      <c r="B761" t="s">
        <v>228</v>
      </c>
      <c r="C761" s="3">
        <v>54</v>
      </c>
      <c r="D761" s="1" t="s">
        <v>24</v>
      </c>
      <c r="E761" s="1" t="s">
        <v>142</v>
      </c>
      <c r="F761" s="1" t="s">
        <v>26</v>
      </c>
      <c r="G761" s="4">
        <v>45329</v>
      </c>
      <c r="H761" s="4">
        <v>45332</v>
      </c>
      <c r="I761" s="1" t="s">
        <v>108</v>
      </c>
      <c r="J761" s="1" t="s">
        <v>30</v>
      </c>
      <c r="K761" s="3">
        <v>3</v>
      </c>
      <c r="L761" s="2">
        <v>16266</v>
      </c>
      <c r="M761" s="3">
        <v>15</v>
      </c>
      <c r="N761" s="1" t="s">
        <v>166</v>
      </c>
      <c r="O761" s="1" t="s">
        <v>46</v>
      </c>
      <c r="P761" s="1" t="s">
        <v>69</v>
      </c>
      <c r="Q761" s="1" t="s">
        <v>232</v>
      </c>
      <c r="R761" s="1" t="s">
        <v>2452</v>
      </c>
      <c r="S761" s="3">
        <v>2</v>
      </c>
      <c r="T761" s="1" t="s">
        <v>36</v>
      </c>
      <c r="U761" s="3">
        <v>160</v>
      </c>
      <c r="V761" s="1" t="s">
        <v>79</v>
      </c>
      <c r="W761" s="5">
        <f>Table1[[#This Row],[Quantity]]*Table1[[#This Row],[Price]]*(1-Table1[[#This Row],[Discount %]]/100)</f>
        <v>41478.299999999996</v>
      </c>
      <c r="X761">
        <f>Table1[[#This Row],[DeliveryDate]]-Table1[[#This Row],[OrderDate]]</f>
        <v>3</v>
      </c>
      <c r="Y761" t="str">
        <f>TEXT(Table1[[#This Row],[OrderDate]],"MMMM")</f>
        <v>February</v>
      </c>
      <c r="Z761" s="5">
        <f>YEAR(Table1[[#This Row],[OrderDate]])</f>
        <v>2024</v>
      </c>
    </row>
    <row r="762" spans="1:26" x14ac:dyDescent="0.3">
      <c r="A762" s="1" t="s">
        <v>2453</v>
      </c>
      <c r="B762" t="s">
        <v>860</v>
      </c>
      <c r="C762" s="3">
        <v>35</v>
      </c>
      <c r="D762" s="1" t="s">
        <v>24</v>
      </c>
      <c r="E762" s="1" t="s">
        <v>25</v>
      </c>
      <c r="F762" s="1" t="s">
        <v>26</v>
      </c>
      <c r="G762" s="4">
        <v>45210</v>
      </c>
      <c r="H762" s="4">
        <v>45218</v>
      </c>
      <c r="I762" s="1" t="s">
        <v>43</v>
      </c>
      <c r="J762" s="1" t="s">
        <v>30</v>
      </c>
      <c r="K762" s="3">
        <v>2.9447852760736195</v>
      </c>
      <c r="L762" s="2">
        <v>7602</v>
      </c>
      <c r="M762" s="3">
        <v>0</v>
      </c>
      <c r="N762" s="1" t="s">
        <v>31</v>
      </c>
      <c r="O762" s="1" t="s">
        <v>32</v>
      </c>
      <c r="P762" s="1" t="s">
        <v>174</v>
      </c>
      <c r="Q762" s="1" t="s">
        <v>862</v>
      </c>
      <c r="R762" s="1" t="s">
        <v>2455</v>
      </c>
      <c r="S762" s="3">
        <v>4</v>
      </c>
      <c r="T762" s="1" t="s">
        <v>96</v>
      </c>
      <c r="U762" s="3">
        <v>314</v>
      </c>
      <c r="V762" s="1" t="s">
        <v>37</v>
      </c>
      <c r="W762" s="5">
        <f>Table1[[#This Row],[Quantity]]*Table1[[#This Row],[Price]]*(1-Table1[[#This Row],[Discount %]]/100)</f>
        <v>22386.257668711656</v>
      </c>
      <c r="X762">
        <f>Table1[[#This Row],[DeliveryDate]]-Table1[[#This Row],[OrderDate]]</f>
        <v>8</v>
      </c>
      <c r="Y762" t="str">
        <f>TEXT(Table1[[#This Row],[OrderDate]],"MMMM")</f>
        <v>October</v>
      </c>
      <c r="Z762" s="5">
        <f>YEAR(Table1[[#This Row],[OrderDate]])</f>
        <v>2023</v>
      </c>
    </row>
    <row r="763" spans="1:26" x14ac:dyDescent="0.3">
      <c r="A763" s="1" t="s">
        <v>2456</v>
      </c>
      <c r="B763" t="s">
        <v>74</v>
      </c>
      <c r="C763" s="3">
        <v>47</v>
      </c>
      <c r="D763" s="1" t="s">
        <v>24</v>
      </c>
      <c r="E763" s="1" t="s">
        <v>142</v>
      </c>
      <c r="F763" s="1" t="s">
        <v>65</v>
      </c>
      <c r="G763" s="4">
        <v>45393</v>
      </c>
      <c r="H763" s="4">
        <v>45401</v>
      </c>
      <c r="I763" s="1" t="s">
        <v>77</v>
      </c>
      <c r="J763" s="1" t="s">
        <v>30</v>
      </c>
      <c r="K763" s="3">
        <v>4</v>
      </c>
      <c r="L763" s="2">
        <v>11228</v>
      </c>
      <c r="M763" s="3">
        <v>0</v>
      </c>
      <c r="N763" s="1" t="s">
        <v>45</v>
      </c>
      <c r="O763" s="1" t="s">
        <v>86</v>
      </c>
      <c r="P763" s="1" t="s">
        <v>58</v>
      </c>
      <c r="Q763" s="1" t="s">
        <v>3415</v>
      </c>
      <c r="R763" s="1" t="s">
        <v>2457</v>
      </c>
      <c r="S763" s="3">
        <v>4</v>
      </c>
      <c r="T763" s="1" t="s">
        <v>61</v>
      </c>
      <c r="U763" s="3">
        <v>234</v>
      </c>
      <c r="V763" s="1" t="s">
        <v>37</v>
      </c>
      <c r="W763" s="5">
        <f>Table1[[#This Row],[Quantity]]*Table1[[#This Row],[Price]]*(1-Table1[[#This Row],[Discount %]]/100)</f>
        <v>44912</v>
      </c>
      <c r="X763">
        <f>Table1[[#This Row],[DeliveryDate]]-Table1[[#This Row],[OrderDate]]</f>
        <v>8</v>
      </c>
      <c r="Y763" t="str">
        <f>TEXT(Table1[[#This Row],[OrderDate]],"MMMM")</f>
        <v>April</v>
      </c>
      <c r="Z763" s="5">
        <f>YEAR(Table1[[#This Row],[OrderDate]])</f>
        <v>2024</v>
      </c>
    </row>
    <row r="764" spans="1:26" x14ac:dyDescent="0.3">
      <c r="A764" s="1" t="s">
        <v>2458</v>
      </c>
      <c r="B764" t="s">
        <v>1340</v>
      </c>
      <c r="C764" s="3">
        <v>48</v>
      </c>
      <c r="D764" s="1" t="s">
        <v>24</v>
      </c>
      <c r="E764" s="1" t="s">
        <v>26</v>
      </c>
      <c r="F764" s="1" t="s">
        <v>65</v>
      </c>
      <c r="G764" s="4">
        <v>45400</v>
      </c>
      <c r="H764" s="4">
        <v>45405</v>
      </c>
      <c r="I764" s="1" t="s">
        <v>43</v>
      </c>
      <c r="J764" s="1" t="s">
        <v>44</v>
      </c>
      <c r="K764" s="3">
        <v>4</v>
      </c>
      <c r="L764" s="2">
        <v>57001</v>
      </c>
      <c r="M764" s="3">
        <v>0</v>
      </c>
      <c r="N764" s="1" t="s">
        <v>31</v>
      </c>
      <c r="O764" s="1" t="s">
        <v>109</v>
      </c>
      <c r="P764" s="1" t="s">
        <v>69</v>
      </c>
      <c r="Q764" s="1" t="s">
        <v>1342</v>
      </c>
      <c r="R764" s="1" t="s">
        <v>2459</v>
      </c>
      <c r="S764" s="3">
        <v>2</v>
      </c>
      <c r="T764" s="1" t="s">
        <v>61</v>
      </c>
      <c r="U764" s="3">
        <v>491</v>
      </c>
      <c r="V764" s="1" t="s">
        <v>37</v>
      </c>
      <c r="W764" s="5">
        <f>Table1[[#This Row],[Quantity]]*Table1[[#This Row],[Price]]*(1-Table1[[#This Row],[Discount %]]/100)</f>
        <v>228004</v>
      </c>
      <c r="X764">
        <f>Table1[[#This Row],[DeliveryDate]]-Table1[[#This Row],[OrderDate]]</f>
        <v>5</v>
      </c>
      <c r="Y764" t="str">
        <f>TEXT(Table1[[#This Row],[OrderDate]],"MMMM")</f>
        <v>April</v>
      </c>
      <c r="Z764" s="5">
        <f>YEAR(Table1[[#This Row],[OrderDate]])</f>
        <v>2024</v>
      </c>
    </row>
    <row r="765" spans="1:26" x14ac:dyDescent="0.3">
      <c r="A765" s="1" t="s">
        <v>2460</v>
      </c>
      <c r="B765" t="s">
        <v>293</v>
      </c>
      <c r="C765" s="3">
        <v>60</v>
      </c>
      <c r="D765" s="1" t="s">
        <v>51</v>
      </c>
      <c r="E765" s="1" t="s">
        <v>131</v>
      </c>
      <c r="F765" s="1" t="s">
        <v>53</v>
      </c>
      <c r="G765" s="4">
        <v>45192</v>
      </c>
      <c r="H765" s="4">
        <v>45200</v>
      </c>
      <c r="I765" s="1" t="s">
        <v>108</v>
      </c>
      <c r="J765" s="1" t="s">
        <v>30</v>
      </c>
      <c r="K765" s="3">
        <v>2</v>
      </c>
      <c r="L765" s="2">
        <v>46327</v>
      </c>
      <c r="M765" s="3">
        <v>5</v>
      </c>
      <c r="N765" s="1" t="s">
        <v>45</v>
      </c>
      <c r="O765" s="1" t="s">
        <v>281</v>
      </c>
      <c r="P765" s="1" t="s">
        <v>58</v>
      </c>
      <c r="Q765" s="1" t="s">
        <v>1231</v>
      </c>
      <c r="R765" s="1" t="s">
        <v>2461</v>
      </c>
      <c r="S765" s="3">
        <v>3</v>
      </c>
      <c r="T765" s="1" t="s">
        <v>36</v>
      </c>
      <c r="U765" s="3">
        <v>447</v>
      </c>
      <c r="V765" s="1" t="s">
        <v>79</v>
      </c>
      <c r="W765" s="5">
        <f>Table1[[#This Row],[Quantity]]*Table1[[#This Row],[Price]]*(1-Table1[[#This Row],[Discount %]]/100)</f>
        <v>88021.3</v>
      </c>
      <c r="X765">
        <f>Table1[[#This Row],[DeliveryDate]]-Table1[[#This Row],[OrderDate]]</f>
        <v>8</v>
      </c>
      <c r="Y765" t="str">
        <f>TEXT(Table1[[#This Row],[OrderDate]],"MMMM")</f>
        <v>September</v>
      </c>
      <c r="Z765" s="5">
        <f>YEAR(Table1[[#This Row],[OrderDate]])</f>
        <v>2023</v>
      </c>
    </row>
    <row r="766" spans="1:26" x14ac:dyDescent="0.3">
      <c r="A766" s="1" t="s">
        <v>2462</v>
      </c>
      <c r="B766" t="s">
        <v>601</v>
      </c>
      <c r="C766" s="3">
        <v>53</v>
      </c>
      <c r="D766" s="1" t="s">
        <v>51</v>
      </c>
      <c r="E766" s="1" t="s">
        <v>25</v>
      </c>
      <c r="F766" s="1" t="s">
        <v>91</v>
      </c>
      <c r="G766" s="4">
        <v>44957</v>
      </c>
      <c r="H766" s="4">
        <v>44967</v>
      </c>
      <c r="I766" s="1" t="s">
        <v>93</v>
      </c>
      <c r="J766" s="1" t="s">
        <v>30</v>
      </c>
      <c r="K766" s="3">
        <v>2</v>
      </c>
      <c r="L766" s="2">
        <v>70036</v>
      </c>
      <c r="M766" s="3">
        <v>5</v>
      </c>
      <c r="N766" s="1" t="s">
        <v>56</v>
      </c>
      <c r="O766" s="1" t="s">
        <v>173</v>
      </c>
      <c r="P766" s="1" t="s">
        <v>69</v>
      </c>
      <c r="Q766" s="1" t="s">
        <v>603</v>
      </c>
      <c r="R766" s="1" t="s">
        <v>2464</v>
      </c>
      <c r="S766" s="3">
        <v>2</v>
      </c>
      <c r="T766" s="1" t="s">
        <v>96</v>
      </c>
      <c r="U766" s="3">
        <v>372</v>
      </c>
      <c r="V766" s="1" t="s">
        <v>79</v>
      </c>
      <c r="W766" s="5">
        <f>Table1[[#This Row],[Quantity]]*Table1[[#This Row],[Price]]*(1-Table1[[#This Row],[Discount %]]/100)</f>
        <v>133068.4</v>
      </c>
      <c r="X766">
        <f>Table1[[#This Row],[DeliveryDate]]-Table1[[#This Row],[OrderDate]]</f>
        <v>10</v>
      </c>
      <c r="Y766" t="str">
        <f>TEXT(Table1[[#This Row],[OrderDate]],"MMMM")</f>
        <v>January</v>
      </c>
      <c r="Z766" s="5">
        <f>YEAR(Table1[[#This Row],[OrderDate]])</f>
        <v>2023</v>
      </c>
    </row>
    <row r="767" spans="1:26" x14ac:dyDescent="0.3">
      <c r="A767" s="1" t="s">
        <v>2465</v>
      </c>
      <c r="B767" t="s">
        <v>382</v>
      </c>
      <c r="C767" s="3">
        <v>23</v>
      </c>
      <c r="D767" s="1" t="s">
        <v>51</v>
      </c>
      <c r="E767" s="1" t="s">
        <v>131</v>
      </c>
      <c r="F767" s="1" t="s">
        <v>65</v>
      </c>
      <c r="G767" s="4">
        <v>45274</v>
      </c>
      <c r="H767" s="4">
        <v>45277</v>
      </c>
      <c r="I767" s="1" t="s">
        <v>29</v>
      </c>
      <c r="J767" s="1" t="s">
        <v>44</v>
      </c>
      <c r="K767" s="3">
        <v>2</v>
      </c>
      <c r="L767" s="2">
        <v>73616</v>
      </c>
      <c r="M767" s="3">
        <v>5</v>
      </c>
      <c r="N767" s="1" t="s">
        <v>56</v>
      </c>
      <c r="O767" s="1" t="s">
        <v>46</v>
      </c>
      <c r="P767" s="1" t="s">
        <v>69</v>
      </c>
      <c r="Q767" s="1" t="s">
        <v>385</v>
      </c>
      <c r="R767" s="1" t="s">
        <v>2466</v>
      </c>
      <c r="S767" s="3">
        <v>3</v>
      </c>
      <c r="T767" s="1" t="s">
        <v>72</v>
      </c>
      <c r="U767" s="3">
        <v>77</v>
      </c>
      <c r="V767" s="1" t="s">
        <v>37</v>
      </c>
      <c r="W767" s="5">
        <f>Table1[[#This Row],[Quantity]]*Table1[[#This Row],[Price]]*(1-Table1[[#This Row],[Discount %]]/100)</f>
        <v>139870.39999999999</v>
      </c>
      <c r="X767">
        <f>Table1[[#This Row],[DeliveryDate]]-Table1[[#This Row],[OrderDate]]</f>
        <v>3</v>
      </c>
      <c r="Y767" t="str">
        <f>TEXT(Table1[[#This Row],[OrderDate]],"MMMM")</f>
        <v>December</v>
      </c>
      <c r="Z767" s="5">
        <f>YEAR(Table1[[#This Row],[OrderDate]])</f>
        <v>2023</v>
      </c>
    </row>
    <row r="768" spans="1:26" x14ac:dyDescent="0.3">
      <c r="A768" s="1" t="s">
        <v>2467</v>
      </c>
      <c r="B768" t="s">
        <v>424</v>
      </c>
      <c r="C768" s="3">
        <v>18</v>
      </c>
      <c r="D768" s="1" t="s">
        <v>51</v>
      </c>
      <c r="E768" s="1" t="s">
        <v>40</v>
      </c>
      <c r="F768" s="1" t="s">
        <v>91</v>
      </c>
      <c r="G768" s="4">
        <v>45527</v>
      </c>
      <c r="H768" s="4">
        <v>45530</v>
      </c>
      <c r="I768" s="1" t="s">
        <v>93</v>
      </c>
      <c r="J768" s="1" t="s">
        <v>44</v>
      </c>
      <c r="K768" s="3">
        <v>3</v>
      </c>
      <c r="L768" s="2">
        <v>79096</v>
      </c>
      <c r="M768" s="3">
        <v>15</v>
      </c>
      <c r="N768" s="1" t="s">
        <v>166</v>
      </c>
      <c r="O768" s="1" t="s">
        <v>173</v>
      </c>
      <c r="P768" s="1" t="s">
        <v>33</v>
      </c>
      <c r="Q768" s="1" t="s">
        <v>427</v>
      </c>
      <c r="R768" s="1" t="s">
        <v>2469</v>
      </c>
      <c r="S768" s="3">
        <v>5</v>
      </c>
      <c r="T768" s="1" t="s">
        <v>61</v>
      </c>
      <c r="U768" s="3">
        <v>250</v>
      </c>
      <c r="V768" s="1" t="s">
        <v>79</v>
      </c>
      <c r="W768" s="5">
        <f>Table1[[#This Row],[Quantity]]*Table1[[#This Row],[Price]]*(1-Table1[[#This Row],[Discount %]]/100)</f>
        <v>201694.8</v>
      </c>
      <c r="X768">
        <f>Table1[[#This Row],[DeliveryDate]]-Table1[[#This Row],[OrderDate]]</f>
        <v>3</v>
      </c>
      <c r="Y768" t="str">
        <f>TEXT(Table1[[#This Row],[OrderDate]],"MMMM")</f>
        <v>August</v>
      </c>
      <c r="Z768" s="5">
        <f>YEAR(Table1[[#This Row],[OrderDate]])</f>
        <v>2024</v>
      </c>
    </row>
    <row r="769" spans="1:26" x14ac:dyDescent="0.3">
      <c r="A769" s="1" t="s">
        <v>2470</v>
      </c>
      <c r="B769" t="s">
        <v>527</v>
      </c>
      <c r="C769" s="3">
        <v>52</v>
      </c>
      <c r="D769" s="1" t="s">
        <v>51</v>
      </c>
      <c r="E769" s="1" t="s">
        <v>229</v>
      </c>
      <c r="F769" s="1" t="s">
        <v>82</v>
      </c>
      <c r="G769" s="4">
        <v>45261</v>
      </c>
      <c r="H769" s="4">
        <v>45263</v>
      </c>
      <c r="I769" s="1" t="s">
        <v>93</v>
      </c>
      <c r="J769" s="1" t="s">
        <v>30</v>
      </c>
      <c r="K769" s="3">
        <v>3</v>
      </c>
      <c r="L769" s="2">
        <v>71072</v>
      </c>
      <c r="M769" s="3">
        <v>15</v>
      </c>
      <c r="N769" s="1" t="s">
        <v>56</v>
      </c>
      <c r="O769" s="1" t="s">
        <v>173</v>
      </c>
      <c r="P769" s="1" t="s">
        <v>58</v>
      </c>
      <c r="Q769" s="1" t="s">
        <v>530</v>
      </c>
      <c r="R769" s="1" t="s">
        <v>3415</v>
      </c>
      <c r="S769" s="3">
        <v>4</v>
      </c>
      <c r="T769" s="1" t="s">
        <v>61</v>
      </c>
      <c r="U769" s="3">
        <v>461</v>
      </c>
      <c r="V769" s="1" t="s">
        <v>62</v>
      </c>
      <c r="W769" s="5">
        <f>Table1[[#This Row],[Quantity]]*Table1[[#This Row],[Price]]*(1-Table1[[#This Row],[Discount %]]/100)</f>
        <v>181233.6</v>
      </c>
      <c r="X769">
        <f>Table1[[#This Row],[DeliveryDate]]-Table1[[#This Row],[OrderDate]]</f>
        <v>2</v>
      </c>
      <c r="Y769" t="str">
        <f>TEXT(Table1[[#This Row],[OrderDate]],"MMMM")</f>
        <v>December</v>
      </c>
      <c r="Z769" s="5">
        <f>YEAR(Table1[[#This Row],[OrderDate]])</f>
        <v>2023</v>
      </c>
    </row>
    <row r="770" spans="1:26" x14ac:dyDescent="0.3">
      <c r="A770" s="1" t="s">
        <v>2471</v>
      </c>
      <c r="B770" t="s">
        <v>119</v>
      </c>
      <c r="C770" s="3">
        <v>52</v>
      </c>
      <c r="D770" s="1" t="s">
        <v>24</v>
      </c>
      <c r="E770" s="1" t="s">
        <v>25</v>
      </c>
      <c r="F770" s="1" t="s">
        <v>53</v>
      </c>
      <c r="G770" s="4">
        <v>45137</v>
      </c>
      <c r="H770" s="4">
        <v>45142</v>
      </c>
      <c r="I770" s="1" t="s">
        <v>43</v>
      </c>
      <c r="J770" s="1" t="s">
        <v>30</v>
      </c>
      <c r="K770" s="3">
        <v>5</v>
      </c>
      <c r="L770" s="2">
        <v>42594</v>
      </c>
      <c r="M770" s="3">
        <v>0</v>
      </c>
      <c r="N770" s="1" t="s">
        <v>45</v>
      </c>
      <c r="O770" s="1" t="s">
        <v>68</v>
      </c>
      <c r="P770" s="1" t="s">
        <v>58</v>
      </c>
      <c r="Q770" s="1" t="s">
        <v>122</v>
      </c>
      <c r="R770" s="1" t="s">
        <v>2472</v>
      </c>
      <c r="S770" s="3">
        <v>4</v>
      </c>
      <c r="T770" s="1" t="s">
        <v>96</v>
      </c>
      <c r="U770" s="3">
        <v>465</v>
      </c>
      <c r="V770" s="1" t="s">
        <v>79</v>
      </c>
      <c r="W770" s="5">
        <f>Table1[[#This Row],[Quantity]]*Table1[[#This Row],[Price]]*(1-Table1[[#This Row],[Discount %]]/100)</f>
        <v>212970</v>
      </c>
      <c r="X770">
        <f>Table1[[#This Row],[DeliveryDate]]-Table1[[#This Row],[OrderDate]]</f>
        <v>5</v>
      </c>
      <c r="Y770" t="str">
        <f>TEXT(Table1[[#This Row],[OrderDate]],"MMMM")</f>
        <v>July</v>
      </c>
      <c r="Z770" s="5">
        <f>YEAR(Table1[[#This Row],[OrderDate]])</f>
        <v>2023</v>
      </c>
    </row>
    <row r="771" spans="1:26" x14ac:dyDescent="0.3">
      <c r="A771" s="1" t="s">
        <v>2473</v>
      </c>
      <c r="B771" t="s">
        <v>303</v>
      </c>
      <c r="C771" s="3">
        <v>31</v>
      </c>
      <c r="D771" s="1" t="s">
        <v>24</v>
      </c>
      <c r="E771" s="1" t="s">
        <v>40</v>
      </c>
      <c r="F771" s="1" t="s">
        <v>53</v>
      </c>
      <c r="G771" s="4">
        <v>45364</v>
      </c>
      <c r="H771" s="4">
        <v>45371</v>
      </c>
      <c r="I771" s="1" t="s">
        <v>77</v>
      </c>
      <c r="J771" s="1" t="s">
        <v>30</v>
      </c>
      <c r="K771" s="3">
        <v>5</v>
      </c>
      <c r="L771" s="2">
        <v>48722</v>
      </c>
      <c r="M771" s="3">
        <v>15</v>
      </c>
      <c r="N771" s="1" t="s">
        <v>166</v>
      </c>
      <c r="O771" s="1" t="s">
        <v>86</v>
      </c>
      <c r="P771" s="1" t="s">
        <v>69</v>
      </c>
      <c r="Q771" s="1" t="s">
        <v>306</v>
      </c>
      <c r="R771" s="1" t="s">
        <v>2474</v>
      </c>
      <c r="S771" s="3">
        <v>3</v>
      </c>
      <c r="T771" s="1" t="s">
        <v>36</v>
      </c>
      <c r="U771" s="3">
        <v>393</v>
      </c>
      <c r="V771" s="1" t="s">
        <v>79</v>
      </c>
      <c r="W771" s="5">
        <f>Table1[[#This Row],[Quantity]]*Table1[[#This Row],[Price]]*(1-Table1[[#This Row],[Discount %]]/100)</f>
        <v>207068.5</v>
      </c>
      <c r="X771">
        <f>Table1[[#This Row],[DeliveryDate]]-Table1[[#This Row],[OrderDate]]</f>
        <v>7</v>
      </c>
      <c r="Y771" t="str">
        <f>TEXT(Table1[[#This Row],[OrderDate]],"MMMM")</f>
        <v>March</v>
      </c>
      <c r="Z771" s="5">
        <f>YEAR(Table1[[#This Row],[OrderDate]])</f>
        <v>2024</v>
      </c>
    </row>
    <row r="772" spans="1:26" x14ac:dyDescent="0.3">
      <c r="A772" s="1" t="s">
        <v>2475</v>
      </c>
      <c r="B772" t="s">
        <v>222</v>
      </c>
      <c r="C772" s="3">
        <v>48</v>
      </c>
      <c r="D772" s="1" t="s">
        <v>51</v>
      </c>
      <c r="E772" s="1" t="s">
        <v>229</v>
      </c>
      <c r="F772" s="1" t="s">
        <v>65</v>
      </c>
      <c r="G772" s="4">
        <v>45286</v>
      </c>
      <c r="H772" s="4">
        <v>45294</v>
      </c>
      <c r="I772" s="1" t="s">
        <v>85</v>
      </c>
      <c r="J772" s="1" t="s">
        <v>30</v>
      </c>
      <c r="K772" s="3">
        <v>4</v>
      </c>
      <c r="L772" s="2">
        <v>56875</v>
      </c>
      <c r="M772" s="3">
        <v>0</v>
      </c>
      <c r="N772" s="1" t="s">
        <v>45</v>
      </c>
      <c r="O772" s="1" t="s">
        <v>173</v>
      </c>
      <c r="P772" s="1" t="s">
        <v>58</v>
      </c>
      <c r="Q772" s="1" t="s">
        <v>3415</v>
      </c>
      <c r="R772" s="1" t="s">
        <v>3415</v>
      </c>
      <c r="S772" s="3">
        <v>2</v>
      </c>
      <c r="T772" s="1" t="s">
        <v>96</v>
      </c>
      <c r="U772" s="3">
        <v>279</v>
      </c>
      <c r="V772" s="1" t="s">
        <v>37</v>
      </c>
      <c r="W772" s="5">
        <f>Table1[[#This Row],[Quantity]]*Table1[[#This Row],[Price]]*(1-Table1[[#This Row],[Discount %]]/100)</f>
        <v>227500</v>
      </c>
      <c r="X772">
        <f>Table1[[#This Row],[DeliveryDate]]-Table1[[#This Row],[OrderDate]]</f>
        <v>8</v>
      </c>
      <c r="Y772" t="str">
        <f>TEXT(Table1[[#This Row],[OrderDate]],"MMMM")</f>
        <v>December</v>
      </c>
      <c r="Z772" s="5">
        <f>YEAR(Table1[[#This Row],[OrderDate]])</f>
        <v>2023</v>
      </c>
    </row>
    <row r="773" spans="1:26" x14ac:dyDescent="0.3">
      <c r="A773" s="1" t="s">
        <v>2476</v>
      </c>
      <c r="B773" t="s">
        <v>105</v>
      </c>
      <c r="C773" s="3">
        <v>47</v>
      </c>
      <c r="D773" s="1" t="s">
        <v>51</v>
      </c>
      <c r="E773" s="1" t="s">
        <v>25</v>
      </c>
      <c r="F773" s="1" t="s">
        <v>91</v>
      </c>
      <c r="G773" s="4">
        <v>45449</v>
      </c>
      <c r="H773" s="4">
        <v>45452</v>
      </c>
      <c r="I773" s="1" t="s">
        <v>29</v>
      </c>
      <c r="J773" s="1" t="s">
        <v>30</v>
      </c>
      <c r="K773" s="3">
        <v>2.9447852760736195</v>
      </c>
      <c r="L773" s="2">
        <v>12582</v>
      </c>
      <c r="M773" s="3">
        <v>10</v>
      </c>
      <c r="N773" s="1" t="s">
        <v>31</v>
      </c>
      <c r="O773" s="1" t="s">
        <v>109</v>
      </c>
      <c r="P773" s="1" t="s">
        <v>174</v>
      </c>
      <c r="Q773" s="1" t="s">
        <v>110</v>
      </c>
      <c r="R773" s="1" t="s">
        <v>2477</v>
      </c>
      <c r="S773" s="3">
        <v>3</v>
      </c>
      <c r="T773" s="1" t="s">
        <v>61</v>
      </c>
      <c r="U773" s="3">
        <v>55</v>
      </c>
      <c r="V773" s="1" t="s">
        <v>79</v>
      </c>
      <c r="W773" s="5">
        <f>Table1[[#This Row],[Quantity]]*Table1[[#This Row],[Price]]*(1-Table1[[#This Row],[Discount %]]/100)</f>
        <v>33346.159509202451</v>
      </c>
      <c r="X773">
        <f>Table1[[#This Row],[DeliveryDate]]-Table1[[#This Row],[OrderDate]]</f>
        <v>3</v>
      </c>
      <c r="Y773" t="str">
        <f>TEXT(Table1[[#This Row],[OrderDate]],"MMMM")</f>
        <v>June</v>
      </c>
      <c r="Z773" s="5">
        <f>YEAR(Table1[[#This Row],[OrderDate]])</f>
        <v>2024</v>
      </c>
    </row>
    <row r="774" spans="1:26" x14ac:dyDescent="0.3">
      <c r="A774" s="1" t="s">
        <v>2478</v>
      </c>
      <c r="B774" t="s">
        <v>611</v>
      </c>
      <c r="C774" s="3">
        <v>34</v>
      </c>
      <c r="D774" s="1" t="s">
        <v>51</v>
      </c>
      <c r="E774" s="1" t="s">
        <v>25</v>
      </c>
      <c r="F774" s="1" t="s">
        <v>91</v>
      </c>
      <c r="G774" s="4">
        <v>45201</v>
      </c>
      <c r="H774" s="4">
        <v>45202</v>
      </c>
      <c r="I774" s="1" t="s">
        <v>29</v>
      </c>
      <c r="J774" s="1" t="s">
        <v>44</v>
      </c>
      <c r="K774" s="3">
        <v>3</v>
      </c>
      <c r="L774" s="2">
        <v>6118</v>
      </c>
      <c r="M774" s="3">
        <v>10</v>
      </c>
      <c r="N774" s="1" t="s">
        <v>56</v>
      </c>
      <c r="O774" s="1" t="s">
        <v>173</v>
      </c>
      <c r="P774" s="1" t="s">
        <v>69</v>
      </c>
      <c r="Q774" s="1" t="s">
        <v>614</v>
      </c>
      <c r="R774" s="1" t="s">
        <v>2480</v>
      </c>
      <c r="S774" s="3">
        <v>4</v>
      </c>
      <c r="T774" s="1" t="s">
        <v>72</v>
      </c>
      <c r="U774" s="3">
        <v>117</v>
      </c>
      <c r="V774" s="1" t="s">
        <v>37</v>
      </c>
      <c r="W774" s="5">
        <f>Table1[[#This Row],[Quantity]]*Table1[[#This Row],[Price]]*(1-Table1[[#This Row],[Discount %]]/100)</f>
        <v>16518.600000000002</v>
      </c>
      <c r="X774">
        <f>Table1[[#This Row],[DeliveryDate]]-Table1[[#This Row],[OrderDate]]</f>
        <v>1</v>
      </c>
      <c r="Y774" t="str">
        <f>TEXT(Table1[[#This Row],[OrderDate]],"MMMM")</f>
        <v>October</v>
      </c>
      <c r="Z774" s="5">
        <f>YEAR(Table1[[#This Row],[OrderDate]])</f>
        <v>2023</v>
      </c>
    </row>
    <row r="775" spans="1:26" x14ac:dyDescent="0.3">
      <c r="A775" s="1" t="s">
        <v>2481</v>
      </c>
      <c r="B775" t="s">
        <v>156</v>
      </c>
      <c r="C775" s="3">
        <v>58</v>
      </c>
      <c r="D775" s="1" t="s">
        <v>51</v>
      </c>
      <c r="E775" s="1" t="s">
        <v>131</v>
      </c>
      <c r="F775" s="1" t="s">
        <v>91</v>
      </c>
      <c r="G775" s="4">
        <v>45134</v>
      </c>
      <c r="H775" s="4">
        <v>45138</v>
      </c>
      <c r="I775" s="1" t="s">
        <v>108</v>
      </c>
      <c r="J775" s="1" t="s">
        <v>30</v>
      </c>
      <c r="K775" s="3">
        <v>2</v>
      </c>
      <c r="L775" s="2">
        <v>19278</v>
      </c>
      <c r="M775" s="3">
        <v>5</v>
      </c>
      <c r="N775" s="1" t="s">
        <v>31</v>
      </c>
      <c r="O775" s="1" t="s">
        <v>109</v>
      </c>
      <c r="P775" s="1" t="s">
        <v>69</v>
      </c>
      <c r="Q775" s="1" t="s">
        <v>3415</v>
      </c>
      <c r="R775" s="1" t="s">
        <v>2483</v>
      </c>
      <c r="S775" s="3">
        <v>1</v>
      </c>
      <c r="T775" s="1" t="s">
        <v>96</v>
      </c>
      <c r="U775" s="3">
        <v>163</v>
      </c>
      <c r="V775" s="1" t="s">
        <v>37</v>
      </c>
      <c r="W775" s="5">
        <f>Table1[[#This Row],[Quantity]]*Table1[[#This Row],[Price]]*(1-Table1[[#This Row],[Discount %]]/100)</f>
        <v>36628.199999999997</v>
      </c>
      <c r="X775">
        <f>Table1[[#This Row],[DeliveryDate]]-Table1[[#This Row],[OrderDate]]</f>
        <v>4</v>
      </c>
      <c r="Y775" t="str">
        <f>TEXT(Table1[[#This Row],[OrderDate]],"MMMM")</f>
        <v>July</v>
      </c>
      <c r="Z775" s="5">
        <f>YEAR(Table1[[#This Row],[OrderDate]])</f>
        <v>2023</v>
      </c>
    </row>
    <row r="776" spans="1:26" x14ac:dyDescent="0.3">
      <c r="A776" s="1" t="s">
        <v>2484</v>
      </c>
      <c r="B776" t="s">
        <v>1686</v>
      </c>
      <c r="C776" s="3">
        <v>38</v>
      </c>
      <c r="D776" s="1" t="s">
        <v>24</v>
      </c>
      <c r="E776" s="1" t="s">
        <v>25</v>
      </c>
      <c r="F776" s="1" t="s">
        <v>53</v>
      </c>
      <c r="G776" s="4">
        <v>45552</v>
      </c>
      <c r="H776" s="4">
        <v>45558</v>
      </c>
      <c r="I776" s="1" t="s">
        <v>85</v>
      </c>
      <c r="J776" s="1" t="s">
        <v>30</v>
      </c>
      <c r="K776" s="3">
        <v>4</v>
      </c>
      <c r="L776" s="2">
        <v>36898</v>
      </c>
      <c r="M776" s="3">
        <v>15</v>
      </c>
      <c r="N776" s="1" t="s">
        <v>31</v>
      </c>
      <c r="O776" s="1" t="s">
        <v>133</v>
      </c>
      <c r="P776" s="1" t="s">
        <v>69</v>
      </c>
      <c r="Q776" s="1" t="s">
        <v>1687</v>
      </c>
      <c r="R776" s="1" t="s">
        <v>2486</v>
      </c>
      <c r="S776" s="3">
        <v>4</v>
      </c>
      <c r="T776" s="1" t="s">
        <v>61</v>
      </c>
      <c r="U776" s="3">
        <v>337</v>
      </c>
      <c r="V776" s="1" t="s">
        <v>79</v>
      </c>
      <c r="W776" s="5">
        <f>Table1[[#This Row],[Quantity]]*Table1[[#This Row],[Price]]*(1-Table1[[#This Row],[Discount %]]/100)</f>
        <v>125453.2</v>
      </c>
      <c r="X776">
        <f>Table1[[#This Row],[DeliveryDate]]-Table1[[#This Row],[OrderDate]]</f>
        <v>6</v>
      </c>
      <c r="Y776" t="str">
        <f>TEXT(Table1[[#This Row],[OrderDate]],"MMMM")</f>
        <v>September</v>
      </c>
      <c r="Z776" s="5">
        <f>YEAR(Table1[[#This Row],[OrderDate]])</f>
        <v>2024</v>
      </c>
    </row>
    <row r="777" spans="1:26" x14ac:dyDescent="0.3">
      <c r="A777" s="1" t="s">
        <v>2487</v>
      </c>
      <c r="B777" t="s">
        <v>216</v>
      </c>
      <c r="C777" s="3">
        <v>28</v>
      </c>
      <c r="D777" s="1" t="s">
        <v>51</v>
      </c>
      <c r="E777" s="1" t="s">
        <v>131</v>
      </c>
      <c r="F777" s="1" t="s">
        <v>65</v>
      </c>
      <c r="G777" s="4">
        <v>45341</v>
      </c>
      <c r="H777" s="4">
        <v>45347</v>
      </c>
      <c r="I777" s="1" t="s">
        <v>108</v>
      </c>
      <c r="J777" s="1" t="s">
        <v>44</v>
      </c>
      <c r="K777" s="3">
        <v>5</v>
      </c>
      <c r="L777" s="2">
        <v>78775</v>
      </c>
      <c r="M777" s="3">
        <v>10</v>
      </c>
      <c r="N777" s="1" t="s">
        <v>45</v>
      </c>
      <c r="O777" s="1" t="s">
        <v>46</v>
      </c>
      <c r="P777" s="1" t="s">
        <v>174</v>
      </c>
      <c r="Q777" s="1" t="s">
        <v>219</v>
      </c>
      <c r="R777" s="1" t="s">
        <v>2489</v>
      </c>
      <c r="S777" s="3">
        <v>3</v>
      </c>
      <c r="T777" s="1" t="s">
        <v>36</v>
      </c>
      <c r="U777" s="3">
        <v>412</v>
      </c>
      <c r="V777" s="1" t="s">
        <v>37</v>
      </c>
      <c r="W777" s="5">
        <f>Table1[[#This Row],[Quantity]]*Table1[[#This Row],[Price]]*(1-Table1[[#This Row],[Discount %]]/100)</f>
        <v>354487.5</v>
      </c>
      <c r="X777">
        <f>Table1[[#This Row],[DeliveryDate]]-Table1[[#This Row],[OrderDate]]</f>
        <v>6</v>
      </c>
      <c r="Y777" t="str">
        <f>TEXT(Table1[[#This Row],[OrderDate]],"MMMM")</f>
        <v>February</v>
      </c>
      <c r="Z777" s="5">
        <f>YEAR(Table1[[#This Row],[OrderDate]])</f>
        <v>2024</v>
      </c>
    </row>
    <row r="778" spans="1:26" x14ac:dyDescent="0.3">
      <c r="A778" s="1" t="s">
        <v>2490</v>
      </c>
      <c r="B778" t="s">
        <v>361</v>
      </c>
      <c r="C778" s="3">
        <v>34</v>
      </c>
      <c r="D778" s="1" t="s">
        <v>51</v>
      </c>
      <c r="E778" s="1" t="s">
        <v>25</v>
      </c>
      <c r="F778" s="1" t="s">
        <v>82</v>
      </c>
      <c r="G778" s="4">
        <v>44989</v>
      </c>
      <c r="H778" s="4">
        <v>44998</v>
      </c>
      <c r="I778" s="1" t="s">
        <v>108</v>
      </c>
      <c r="J778" s="1" t="s">
        <v>30</v>
      </c>
      <c r="K778" s="3">
        <v>1</v>
      </c>
      <c r="L778" s="2">
        <v>42363</v>
      </c>
      <c r="M778" s="3">
        <v>10</v>
      </c>
      <c r="N778" s="1" t="s">
        <v>166</v>
      </c>
      <c r="O778" s="1" t="s">
        <v>68</v>
      </c>
      <c r="P778" s="1" t="s">
        <v>58</v>
      </c>
      <c r="Q778" s="1" t="s">
        <v>3415</v>
      </c>
      <c r="R778" s="1" t="s">
        <v>2491</v>
      </c>
      <c r="S778" s="3">
        <v>3</v>
      </c>
      <c r="T778" s="1" t="s">
        <v>36</v>
      </c>
      <c r="U778" s="3">
        <v>433</v>
      </c>
      <c r="V778" s="1" t="s">
        <v>62</v>
      </c>
      <c r="W778" s="5">
        <f>Table1[[#This Row],[Quantity]]*Table1[[#This Row],[Price]]*(1-Table1[[#This Row],[Discount %]]/100)</f>
        <v>38126.700000000004</v>
      </c>
      <c r="X778">
        <f>Table1[[#This Row],[DeliveryDate]]-Table1[[#This Row],[OrderDate]]</f>
        <v>9</v>
      </c>
      <c r="Y778" t="str">
        <f>TEXT(Table1[[#This Row],[OrderDate]],"MMMM")</f>
        <v>March</v>
      </c>
      <c r="Z778" s="5">
        <f>YEAR(Table1[[#This Row],[OrderDate]])</f>
        <v>2023</v>
      </c>
    </row>
    <row r="779" spans="1:26" x14ac:dyDescent="0.3">
      <c r="A779" s="1" t="s">
        <v>2492</v>
      </c>
      <c r="B779" t="s">
        <v>503</v>
      </c>
      <c r="C779" s="3">
        <v>59</v>
      </c>
      <c r="D779" s="1" t="s">
        <v>24</v>
      </c>
      <c r="E779" s="1" t="s">
        <v>142</v>
      </c>
      <c r="F779" s="1" t="s">
        <v>82</v>
      </c>
      <c r="G779" s="4">
        <v>45505</v>
      </c>
      <c r="H779" s="4">
        <v>45509</v>
      </c>
      <c r="I779" s="1" t="s">
        <v>43</v>
      </c>
      <c r="J779" s="1" t="s">
        <v>44</v>
      </c>
      <c r="K779" s="3">
        <v>4</v>
      </c>
      <c r="L779" s="2">
        <v>32985</v>
      </c>
      <c r="M779" s="3">
        <v>5</v>
      </c>
      <c r="N779" s="1" t="s">
        <v>56</v>
      </c>
      <c r="O779" s="1" t="s">
        <v>102</v>
      </c>
      <c r="P779" s="1" t="s">
        <v>174</v>
      </c>
      <c r="Q779" s="1" t="s">
        <v>506</v>
      </c>
      <c r="R779" s="1" t="s">
        <v>2494</v>
      </c>
      <c r="S779" s="3">
        <v>4</v>
      </c>
      <c r="T779" s="1" t="s">
        <v>96</v>
      </c>
      <c r="U779" s="3">
        <v>313</v>
      </c>
      <c r="V779" s="1" t="s">
        <v>79</v>
      </c>
      <c r="W779" s="5">
        <f>Table1[[#This Row],[Quantity]]*Table1[[#This Row],[Price]]*(1-Table1[[#This Row],[Discount %]]/100)</f>
        <v>125343</v>
      </c>
      <c r="X779">
        <f>Table1[[#This Row],[DeliveryDate]]-Table1[[#This Row],[OrderDate]]</f>
        <v>4</v>
      </c>
      <c r="Y779" t="str">
        <f>TEXT(Table1[[#This Row],[OrderDate]],"MMMM")</f>
        <v>August</v>
      </c>
      <c r="Z779" s="5">
        <f>YEAR(Table1[[#This Row],[OrderDate]])</f>
        <v>2024</v>
      </c>
    </row>
    <row r="780" spans="1:26" x14ac:dyDescent="0.3">
      <c r="A780" s="1" t="s">
        <v>2495</v>
      </c>
      <c r="B780" t="s">
        <v>684</v>
      </c>
      <c r="C780" s="3">
        <v>28</v>
      </c>
      <c r="D780" s="1" t="s">
        <v>51</v>
      </c>
      <c r="E780" s="1" t="s">
        <v>131</v>
      </c>
      <c r="F780" s="1" t="s">
        <v>91</v>
      </c>
      <c r="G780" s="4">
        <v>45036</v>
      </c>
      <c r="H780" s="4">
        <v>45044</v>
      </c>
      <c r="I780" s="1" t="s">
        <v>77</v>
      </c>
      <c r="J780" s="1" t="s">
        <v>30</v>
      </c>
      <c r="K780" s="3">
        <v>4</v>
      </c>
      <c r="L780" s="2">
        <v>42109.716287215415</v>
      </c>
      <c r="M780" s="3">
        <v>10</v>
      </c>
      <c r="N780" s="1" t="s">
        <v>31</v>
      </c>
      <c r="O780" s="1" t="s">
        <v>281</v>
      </c>
      <c r="P780" s="1" t="s">
        <v>33</v>
      </c>
      <c r="Q780" s="1" t="s">
        <v>785</v>
      </c>
      <c r="R780" s="1" t="s">
        <v>2496</v>
      </c>
      <c r="S780" s="3">
        <v>3</v>
      </c>
      <c r="T780" s="1" t="s">
        <v>72</v>
      </c>
      <c r="U780" s="3">
        <v>491</v>
      </c>
      <c r="V780" s="1" t="s">
        <v>37</v>
      </c>
      <c r="W780" s="5">
        <f>Table1[[#This Row],[Quantity]]*Table1[[#This Row],[Price]]*(1-Table1[[#This Row],[Discount %]]/100)</f>
        <v>151594.97863397549</v>
      </c>
      <c r="X780">
        <f>Table1[[#This Row],[DeliveryDate]]-Table1[[#This Row],[OrderDate]]</f>
        <v>8</v>
      </c>
      <c r="Y780" t="str">
        <f>TEXT(Table1[[#This Row],[OrderDate]],"MMMM")</f>
        <v>April</v>
      </c>
      <c r="Z780" s="5">
        <f>YEAR(Table1[[#This Row],[OrderDate]])</f>
        <v>2023</v>
      </c>
    </row>
    <row r="781" spans="1:26" x14ac:dyDescent="0.3">
      <c r="A781" s="1" t="s">
        <v>2497</v>
      </c>
      <c r="B781" t="s">
        <v>309</v>
      </c>
      <c r="C781" s="3">
        <v>36</v>
      </c>
      <c r="D781" s="1" t="s">
        <v>24</v>
      </c>
      <c r="E781" s="1" t="s">
        <v>229</v>
      </c>
      <c r="F781" s="1" t="s">
        <v>91</v>
      </c>
      <c r="G781" s="4">
        <v>45166</v>
      </c>
      <c r="H781" s="4">
        <v>45171</v>
      </c>
      <c r="I781" s="1" t="s">
        <v>108</v>
      </c>
      <c r="J781" s="1" t="s">
        <v>44</v>
      </c>
      <c r="K781" s="3">
        <v>2</v>
      </c>
      <c r="L781" s="2">
        <v>60630</v>
      </c>
      <c r="M781" s="3">
        <v>5</v>
      </c>
      <c r="N781" s="1" t="s">
        <v>166</v>
      </c>
      <c r="O781" s="1" t="s">
        <v>46</v>
      </c>
      <c r="P781" s="1" t="s">
        <v>33</v>
      </c>
      <c r="Q781" s="1" t="s">
        <v>312</v>
      </c>
      <c r="R781" s="1" t="s">
        <v>3415</v>
      </c>
      <c r="S781" s="3">
        <v>3</v>
      </c>
      <c r="T781" s="1" t="s">
        <v>61</v>
      </c>
      <c r="U781" s="3">
        <v>98</v>
      </c>
      <c r="V781" s="1" t="s">
        <v>79</v>
      </c>
      <c r="W781" s="5">
        <f>Table1[[#This Row],[Quantity]]*Table1[[#This Row],[Price]]*(1-Table1[[#This Row],[Discount %]]/100)</f>
        <v>115197</v>
      </c>
      <c r="X781">
        <f>Table1[[#This Row],[DeliveryDate]]-Table1[[#This Row],[OrderDate]]</f>
        <v>5</v>
      </c>
      <c r="Y781" t="str">
        <f>TEXT(Table1[[#This Row],[OrderDate]],"MMMM")</f>
        <v>August</v>
      </c>
      <c r="Z781" s="5">
        <f>YEAR(Table1[[#This Row],[OrderDate]])</f>
        <v>2023</v>
      </c>
    </row>
    <row r="782" spans="1:26" x14ac:dyDescent="0.3">
      <c r="A782" s="1" t="s">
        <v>2499</v>
      </c>
      <c r="B782" t="s">
        <v>2016</v>
      </c>
      <c r="C782" s="3">
        <v>29</v>
      </c>
      <c r="D782" s="1" t="s">
        <v>24</v>
      </c>
      <c r="E782" s="1" t="s">
        <v>99</v>
      </c>
      <c r="F782" s="1" t="s">
        <v>65</v>
      </c>
      <c r="G782" s="4">
        <v>45560</v>
      </c>
      <c r="H782" s="4">
        <v>45568</v>
      </c>
      <c r="I782" s="1" t="s">
        <v>108</v>
      </c>
      <c r="J782" s="1" t="s">
        <v>44</v>
      </c>
      <c r="K782" s="3">
        <v>3</v>
      </c>
      <c r="L782" s="2">
        <v>78872</v>
      </c>
      <c r="M782" s="3">
        <v>15</v>
      </c>
      <c r="N782" s="1" t="s">
        <v>45</v>
      </c>
      <c r="O782" s="1" t="s">
        <v>32</v>
      </c>
      <c r="P782" s="1" t="s">
        <v>69</v>
      </c>
      <c r="Q782" s="1" t="s">
        <v>1792</v>
      </c>
      <c r="R782" s="1" t="s">
        <v>2501</v>
      </c>
      <c r="S782" s="3">
        <v>2</v>
      </c>
      <c r="T782" s="1" t="s">
        <v>72</v>
      </c>
      <c r="U782" s="3">
        <v>150</v>
      </c>
      <c r="V782" s="1" t="s">
        <v>79</v>
      </c>
      <c r="W782" s="5">
        <f>Table1[[#This Row],[Quantity]]*Table1[[#This Row],[Price]]*(1-Table1[[#This Row],[Discount %]]/100)</f>
        <v>201123.6</v>
      </c>
      <c r="X782">
        <f>Table1[[#This Row],[DeliveryDate]]-Table1[[#This Row],[OrderDate]]</f>
        <v>8</v>
      </c>
      <c r="Y782" t="str">
        <f>TEXT(Table1[[#This Row],[OrderDate]],"MMMM")</f>
        <v>September</v>
      </c>
      <c r="Z782" s="5">
        <f>YEAR(Table1[[#This Row],[OrderDate]])</f>
        <v>2024</v>
      </c>
    </row>
    <row r="783" spans="1:26" x14ac:dyDescent="0.3">
      <c r="A783" s="1" t="s">
        <v>2502</v>
      </c>
      <c r="B783" t="s">
        <v>674</v>
      </c>
      <c r="C783" s="3">
        <v>27</v>
      </c>
      <c r="D783" s="1" t="s">
        <v>24</v>
      </c>
      <c r="E783" s="1" t="s">
        <v>142</v>
      </c>
      <c r="F783" s="1" t="s">
        <v>53</v>
      </c>
      <c r="G783" s="4">
        <v>45423</v>
      </c>
      <c r="H783" s="4">
        <v>45429</v>
      </c>
      <c r="I783" s="1" t="s">
        <v>108</v>
      </c>
      <c r="J783" s="1" t="s">
        <v>44</v>
      </c>
      <c r="K783" s="3">
        <v>1</v>
      </c>
      <c r="L783" s="2">
        <v>57272</v>
      </c>
      <c r="M783" s="3">
        <v>5</v>
      </c>
      <c r="N783" s="1" t="s">
        <v>45</v>
      </c>
      <c r="O783" s="1" t="s">
        <v>32</v>
      </c>
      <c r="P783" s="1" t="s">
        <v>33</v>
      </c>
      <c r="Q783" s="1" t="s">
        <v>677</v>
      </c>
      <c r="R783" s="1" t="s">
        <v>2503</v>
      </c>
      <c r="S783" s="3">
        <v>2</v>
      </c>
      <c r="T783" s="1" t="s">
        <v>72</v>
      </c>
      <c r="U783" s="3">
        <v>168</v>
      </c>
      <c r="V783" s="1" t="s">
        <v>79</v>
      </c>
      <c r="W783" s="5">
        <f>Table1[[#This Row],[Quantity]]*Table1[[#This Row],[Price]]*(1-Table1[[#This Row],[Discount %]]/100)</f>
        <v>54408.399999999994</v>
      </c>
      <c r="X783">
        <f>Table1[[#This Row],[DeliveryDate]]-Table1[[#This Row],[OrderDate]]</f>
        <v>6</v>
      </c>
      <c r="Y783" t="str">
        <f>TEXT(Table1[[#This Row],[OrderDate]],"MMMM")</f>
        <v>May</v>
      </c>
      <c r="Z783" s="5">
        <f>YEAR(Table1[[#This Row],[OrderDate]])</f>
        <v>2024</v>
      </c>
    </row>
    <row r="784" spans="1:26" x14ac:dyDescent="0.3">
      <c r="A784" s="1" t="s">
        <v>2504</v>
      </c>
      <c r="B784" t="s">
        <v>150</v>
      </c>
      <c r="C784" s="3">
        <v>56</v>
      </c>
      <c r="D784" s="1" t="s">
        <v>51</v>
      </c>
      <c r="E784" s="1" t="s">
        <v>131</v>
      </c>
      <c r="F784" s="1" t="s">
        <v>82</v>
      </c>
      <c r="G784" s="4">
        <v>45044</v>
      </c>
      <c r="H784" s="4">
        <v>45050</v>
      </c>
      <c r="I784" s="1" t="s">
        <v>43</v>
      </c>
      <c r="J784" s="1" t="s">
        <v>30</v>
      </c>
      <c r="K784" s="3">
        <v>3</v>
      </c>
      <c r="L784" s="2">
        <v>71978</v>
      </c>
      <c r="M784" s="3">
        <v>0</v>
      </c>
      <c r="N784" s="1" t="s">
        <v>166</v>
      </c>
      <c r="O784" s="1" t="s">
        <v>133</v>
      </c>
      <c r="P784" s="1" t="s">
        <v>33</v>
      </c>
      <c r="Q784" s="1" t="s">
        <v>153</v>
      </c>
      <c r="R784" s="1" t="s">
        <v>2505</v>
      </c>
      <c r="S784" s="3">
        <v>1</v>
      </c>
      <c r="T784" s="1" t="s">
        <v>96</v>
      </c>
      <c r="U784" s="3">
        <v>87</v>
      </c>
      <c r="V784" s="1" t="s">
        <v>79</v>
      </c>
      <c r="W784" s="5">
        <f>Table1[[#This Row],[Quantity]]*Table1[[#This Row],[Price]]*(1-Table1[[#This Row],[Discount %]]/100)</f>
        <v>215934</v>
      </c>
      <c r="X784">
        <f>Table1[[#This Row],[DeliveryDate]]-Table1[[#This Row],[OrderDate]]</f>
        <v>6</v>
      </c>
      <c r="Y784" t="str">
        <f>TEXT(Table1[[#This Row],[OrderDate]],"MMMM")</f>
        <v>April</v>
      </c>
      <c r="Z784" s="5">
        <f>YEAR(Table1[[#This Row],[OrderDate]])</f>
        <v>2023</v>
      </c>
    </row>
    <row r="785" spans="1:26" x14ac:dyDescent="0.3">
      <c r="A785" s="1" t="s">
        <v>2506</v>
      </c>
      <c r="B785" t="s">
        <v>315</v>
      </c>
      <c r="C785" s="3">
        <v>50</v>
      </c>
      <c r="D785" s="1" t="s">
        <v>24</v>
      </c>
      <c r="E785" s="1" t="s">
        <v>26</v>
      </c>
      <c r="F785" s="1" t="s">
        <v>26</v>
      </c>
      <c r="G785" s="4">
        <v>45511</v>
      </c>
      <c r="H785" s="4">
        <v>45518</v>
      </c>
      <c r="I785" s="1" t="s">
        <v>29</v>
      </c>
      <c r="J785" s="1" t="s">
        <v>30</v>
      </c>
      <c r="K785" s="3">
        <v>2</v>
      </c>
      <c r="L785" s="2">
        <v>17876</v>
      </c>
      <c r="M785" s="3">
        <v>5</v>
      </c>
      <c r="N785" s="1" t="s">
        <v>166</v>
      </c>
      <c r="O785" s="1" t="s">
        <v>133</v>
      </c>
      <c r="P785" s="1" t="s">
        <v>174</v>
      </c>
      <c r="Q785" s="1" t="s">
        <v>3415</v>
      </c>
      <c r="R785" s="1" t="s">
        <v>2507</v>
      </c>
      <c r="S785" s="3">
        <v>1</v>
      </c>
      <c r="T785" s="1" t="s">
        <v>61</v>
      </c>
      <c r="U785" s="3">
        <v>288</v>
      </c>
      <c r="V785" s="1" t="s">
        <v>79</v>
      </c>
      <c r="W785" s="5">
        <f>Table1[[#This Row],[Quantity]]*Table1[[#This Row],[Price]]*(1-Table1[[#This Row],[Discount %]]/100)</f>
        <v>33964.400000000001</v>
      </c>
      <c r="X785">
        <f>Table1[[#This Row],[DeliveryDate]]-Table1[[#This Row],[OrderDate]]</f>
        <v>7</v>
      </c>
      <c r="Y785" t="str">
        <f>TEXT(Table1[[#This Row],[OrderDate]],"MMMM")</f>
        <v>August</v>
      </c>
      <c r="Z785" s="5">
        <f>YEAR(Table1[[#This Row],[OrderDate]])</f>
        <v>2024</v>
      </c>
    </row>
    <row r="786" spans="1:26" x14ac:dyDescent="0.3">
      <c r="A786" s="1" t="s">
        <v>2508</v>
      </c>
      <c r="B786" t="s">
        <v>729</v>
      </c>
      <c r="C786" s="3">
        <v>37</v>
      </c>
      <c r="D786" s="1" t="s">
        <v>24</v>
      </c>
      <c r="E786" s="1" t="s">
        <v>25</v>
      </c>
      <c r="F786" s="1" t="s">
        <v>91</v>
      </c>
      <c r="G786" s="4">
        <v>45073</v>
      </c>
      <c r="H786" s="4">
        <v>45077</v>
      </c>
      <c r="I786" s="1" t="s">
        <v>85</v>
      </c>
      <c r="J786" s="1" t="s">
        <v>44</v>
      </c>
      <c r="K786" s="3">
        <v>4</v>
      </c>
      <c r="L786" s="2">
        <v>67990</v>
      </c>
      <c r="M786" s="3">
        <v>0</v>
      </c>
      <c r="N786" s="1" t="s">
        <v>31</v>
      </c>
      <c r="O786" s="1" t="s">
        <v>109</v>
      </c>
      <c r="P786" s="1" t="s">
        <v>174</v>
      </c>
      <c r="Q786" s="1" t="s">
        <v>732</v>
      </c>
      <c r="R786" s="1" t="s">
        <v>2509</v>
      </c>
      <c r="S786" s="3">
        <v>2</v>
      </c>
      <c r="T786" s="1" t="s">
        <v>36</v>
      </c>
      <c r="U786" s="3">
        <v>433</v>
      </c>
      <c r="V786" s="1" t="s">
        <v>62</v>
      </c>
      <c r="W786" s="5">
        <f>Table1[[#This Row],[Quantity]]*Table1[[#This Row],[Price]]*(1-Table1[[#This Row],[Discount %]]/100)</f>
        <v>271960</v>
      </c>
      <c r="X786">
        <f>Table1[[#This Row],[DeliveryDate]]-Table1[[#This Row],[OrderDate]]</f>
        <v>4</v>
      </c>
      <c r="Y786" t="str">
        <f>TEXT(Table1[[#This Row],[OrderDate]],"MMMM")</f>
        <v>May</v>
      </c>
      <c r="Z786" s="5">
        <f>YEAR(Table1[[#This Row],[OrderDate]])</f>
        <v>2023</v>
      </c>
    </row>
    <row r="787" spans="1:26" x14ac:dyDescent="0.3">
      <c r="A787" s="1" t="s">
        <v>2510</v>
      </c>
      <c r="B787" t="s">
        <v>156</v>
      </c>
      <c r="C787" s="3">
        <v>25</v>
      </c>
      <c r="D787" s="1" t="s">
        <v>24</v>
      </c>
      <c r="E787" s="1" t="s">
        <v>142</v>
      </c>
      <c r="F787" s="1" t="s">
        <v>65</v>
      </c>
      <c r="G787" s="4">
        <v>44959</v>
      </c>
      <c r="H787" s="4">
        <v>44967</v>
      </c>
      <c r="I787" s="1" t="s">
        <v>93</v>
      </c>
      <c r="J787" s="1" t="s">
        <v>30</v>
      </c>
      <c r="K787" s="3">
        <v>2</v>
      </c>
      <c r="L787" s="2">
        <v>63963</v>
      </c>
      <c r="M787" s="3">
        <v>15</v>
      </c>
      <c r="N787" s="1" t="s">
        <v>56</v>
      </c>
      <c r="O787" s="1" t="s">
        <v>68</v>
      </c>
      <c r="P787" s="1" t="s">
        <v>69</v>
      </c>
      <c r="Q787" s="1" t="s">
        <v>159</v>
      </c>
      <c r="R787" s="1" t="s">
        <v>2511</v>
      </c>
      <c r="S787" s="3">
        <v>4</v>
      </c>
      <c r="T787" s="1" t="s">
        <v>61</v>
      </c>
      <c r="U787" s="3">
        <v>472</v>
      </c>
      <c r="V787" s="1" t="s">
        <v>79</v>
      </c>
      <c r="W787" s="5">
        <f>Table1[[#This Row],[Quantity]]*Table1[[#This Row],[Price]]*(1-Table1[[#This Row],[Discount %]]/100)</f>
        <v>108737.09999999999</v>
      </c>
      <c r="X787">
        <f>Table1[[#This Row],[DeliveryDate]]-Table1[[#This Row],[OrderDate]]</f>
        <v>8</v>
      </c>
      <c r="Y787" t="str">
        <f>TEXT(Table1[[#This Row],[OrderDate]],"MMMM")</f>
        <v>February</v>
      </c>
      <c r="Z787" s="5">
        <f>YEAR(Table1[[#This Row],[OrderDate]])</f>
        <v>2023</v>
      </c>
    </row>
    <row r="788" spans="1:26" x14ac:dyDescent="0.3">
      <c r="A788" s="1" t="s">
        <v>2512</v>
      </c>
      <c r="B788" t="s">
        <v>182</v>
      </c>
      <c r="C788" s="3">
        <v>51</v>
      </c>
      <c r="D788" s="1" t="s">
        <v>51</v>
      </c>
      <c r="E788" s="1" t="s">
        <v>52</v>
      </c>
      <c r="F788" s="1" t="s">
        <v>91</v>
      </c>
      <c r="G788" s="4">
        <v>45440</v>
      </c>
      <c r="H788" s="4">
        <v>45449</v>
      </c>
      <c r="I788" s="1" t="s">
        <v>93</v>
      </c>
      <c r="J788" s="1" t="s">
        <v>30</v>
      </c>
      <c r="K788" s="3">
        <v>3</v>
      </c>
      <c r="L788" s="2">
        <v>54860</v>
      </c>
      <c r="M788" s="3">
        <v>10</v>
      </c>
      <c r="N788" s="1" t="s">
        <v>31</v>
      </c>
      <c r="O788" s="1" t="s">
        <v>86</v>
      </c>
      <c r="P788" s="1" t="s">
        <v>33</v>
      </c>
      <c r="Q788" s="1" t="s">
        <v>186</v>
      </c>
      <c r="R788" s="1" t="s">
        <v>3415</v>
      </c>
      <c r="S788" s="3">
        <v>2</v>
      </c>
      <c r="T788" s="1" t="s">
        <v>36</v>
      </c>
      <c r="U788" s="3">
        <v>444</v>
      </c>
      <c r="V788" s="1" t="s">
        <v>37</v>
      </c>
      <c r="W788" s="5">
        <f>Table1[[#This Row],[Quantity]]*Table1[[#This Row],[Price]]*(1-Table1[[#This Row],[Discount %]]/100)</f>
        <v>148122</v>
      </c>
      <c r="X788">
        <f>Table1[[#This Row],[DeliveryDate]]-Table1[[#This Row],[OrderDate]]</f>
        <v>9</v>
      </c>
      <c r="Y788" t="str">
        <f>TEXT(Table1[[#This Row],[OrderDate]],"MMMM")</f>
        <v>May</v>
      </c>
      <c r="Z788" s="5">
        <f>YEAR(Table1[[#This Row],[OrderDate]])</f>
        <v>2024</v>
      </c>
    </row>
    <row r="789" spans="1:26" x14ac:dyDescent="0.3">
      <c r="A789" s="1" t="s">
        <v>2514</v>
      </c>
      <c r="B789" t="s">
        <v>555</v>
      </c>
      <c r="C789" s="3">
        <v>31</v>
      </c>
      <c r="D789" s="1" t="s">
        <v>24</v>
      </c>
      <c r="E789" s="1" t="s">
        <v>142</v>
      </c>
      <c r="F789" s="1" t="s">
        <v>65</v>
      </c>
      <c r="G789" s="4">
        <v>45344</v>
      </c>
      <c r="H789" s="4">
        <v>45349</v>
      </c>
      <c r="I789" s="1" t="s">
        <v>43</v>
      </c>
      <c r="J789" s="1" t="s">
        <v>30</v>
      </c>
      <c r="K789" s="3">
        <v>1</v>
      </c>
      <c r="L789" s="2">
        <v>68831</v>
      </c>
      <c r="M789" s="3">
        <v>10</v>
      </c>
      <c r="N789" s="1" t="s">
        <v>166</v>
      </c>
      <c r="O789" s="1" t="s">
        <v>109</v>
      </c>
      <c r="P789" s="1" t="s">
        <v>33</v>
      </c>
      <c r="Q789" s="1" t="s">
        <v>558</v>
      </c>
      <c r="R789" s="1" t="s">
        <v>2515</v>
      </c>
      <c r="S789" s="3">
        <v>3</v>
      </c>
      <c r="T789" s="1" t="s">
        <v>61</v>
      </c>
      <c r="U789" s="3">
        <v>466</v>
      </c>
      <c r="V789" s="1" t="s">
        <v>37</v>
      </c>
      <c r="W789" s="5">
        <f>Table1[[#This Row],[Quantity]]*Table1[[#This Row],[Price]]*(1-Table1[[#This Row],[Discount %]]/100)</f>
        <v>61947.9</v>
      </c>
      <c r="X789">
        <f>Table1[[#This Row],[DeliveryDate]]-Table1[[#This Row],[OrderDate]]</f>
        <v>5</v>
      </c>
      <c r="Y789" t="str">
        <f>TEXT(Table1[[#This Row],[OrderDate]],"MMMM")</f>
        <v>February</v>
      </c>
      <c r="Z789" s="5">
        <f>YEAR(Table1[[#This Row],[OrderDate]])</f>
        <v>2024</v>
      </c>
    </row>
    <row r="790" spans="1:26" x14ac:dyDescent="0.3">
      <c r="A790" s="1" t="s">
        <v>2516</v>
      </c>
      <c r="B790" t="s">
        <v>684</v>
      </c>
      <c r="C790" s="3">
        <v>46</v>
      </c>
      <c r="D790" s="1" t="s">
        <v>24</v>
      </c>
      <c r="E790" s="1" t="s">
        <v>99</v>
      </c>
      <c r="F790" s="1" t="s">
        <v>82</v>
      </c>
      <c r="G790" s="4">
        <v>45140</v>
      </c>
      <c r="H790" s="4">
        <v>45150</v>
      </c>
      <c r="I790" s="1" t="s">
        <v>29</v>
      </c>
      <c r="J790" s="1" t="s">
        <v>30</v>
      </c>
      <c r="K790" s="3">
        <v>4</v>
      </c>
      <c r="L790" s="2">
        <v>65743</v>
      </c>
      <c r="M790" s="3">
        <v>0</v>
      </c>
      <c r="N790" s="1" t="s">
        <v>31</v>
      </c>
      <c r="O790" s="1" t="s">
        <v>32</v>
      </c>
      <c r="P790" s="1" t="s">
        <v>69</v>
      </c>
      <c r="Q790" s="1" t="s">
        <v>785</v>
      </c>
      <c r="R790" s="1" t="s">
        <v>3415</v>
      </c>
      <c r="S790" s="3">
        <v>5</v>
      </c>
      <c r="T790" s="1" t="s">
        <v>36</v>
      </c>
      <c r="U790" s="3">
        <v>473</v>
      </c>
      <c r="V790" s="1" t="s">
        <v>37</v>
      </c>
      <c r="W790" s="5">
        <f>Table1[[#This Row],[Quantity]]*Table1[[#This Row],[Price]]*(1-Table1[[#This Row],[Discount %]]/100)</f>
        <v>262972</v>
      </c>
      <c r="X790">
        <f>Table1[[#This Row],[DeliveryDate]]-Table1[[#This Row],[OrderDate]]</f>
        <v>10</v>
      </c>
      <c r="Y790" t="str">
        <f>TEXT(Table1[[#This Row],[OrderDate]],"MMMM")</f>
        <v>August</v>
      </c>
      <c r="Z790" s="5">
        <f>YEAR(Table1[[#This Row],[OrderDate]])</f>
        <v>2023</v>
      </c>
    </row>
    <row r="791" spans="1:26" x14ac:dyDescent="0.3">
      <c r="A791" s="1" t="s">
        <v>2517</v>
      </c>
      <c r="B791" t="s">
        <v>1008</v>
      </c>
      <c r="C791" s="3">
        <v>47</v>
      </c>
      <c r="D791" s="1" t="s">
        <v>51</v>
      </c>
      <c r="E791" s="1" t="s">
        <v>99</v>
      </c>
      <c r="F791" s="1" t="s">
        <v>65</v>
      </c>
      <c r="G791" s="4">
        <v>45252</v>
      </c>
      <c r="H791" s="4">
        <v>45260</v>
      </c>
      <c r="I791" s="1" t="s">
        <v>93</v>
      </c>
      <c r="J791" s="1" t="s">
        <v>30</v>
      </c>
      <c r="K791" s="3">
        <v>3</v>
      </c>
      <c r="L791" s="2">
        <v>56308</v>
      </c>
      <c r="M791" s="3">
        <v>5</v>
      </c>
      <c r="N791" s="1" t="s">
        <v>45</v>
      </c>
      <c r="O791" s="1" t="s">
        <v>281</v>
      </c>
      <c r="P791" s="1" t="s">
        <v>58</v>
      </c>
      <c r="Q791" s="1" t="s">
        <v>1011</v>
      </c>
      <c r="R791" s="1" t="s">
        <v>2519</v>
      </c>
      <c r="S791" s="3">
        <v>4</v>
      </c>
      <c r="T791" s="1" t="s">
        <v>72</v>
      </c>
      <c r="U791" s="3">
        <v>306</v>
      </c>
      <c r="V791" s="1" t="s">
        <v>79</v>
      </c>
      <c r="W791" s="5">
        <f>Table1[[#This Row],[Quantity]]*Table1[[#This Row],[Price]]*(1-Table1[[#This Row],[Discount %]]/100)</f>
        <v>160477.79999999999</v>
      </c>
      <c r="X791">
        <f>Table1[[#This Row],[DeliveryDate]]-Table1[[#This Row],[OrderDate]]</f>
        <v>8</v>
      </c>
      <c r="Y791" t="str">
        <f>TEXT(Table1[[#This Row],[OrderDate]],"MMMM")</f>
        <v>November</v>
      </c>
      <c r="Z791" s="5">
        <f>YEAR(Table1[[#This Row],[OrderDate]])</f>
        <v>2023</v>
      </c>
    </row>
    <row r="792" spans="1:26" x14ac:dyDescent="0.3">
      <c r="A792" s="1" t="s">
        <v>2520</v>
      </c>
      <c r="B792" t="s">
        <v>527</v>
      </c>
      <c r="C792" s="3">
        <v>60</v>
      </c>
      <c r="D792" s="1" t="s">
        <v>24</v>
      </c>
      <c r="E792" s="1" t="s">
        <v>131</v>
      </c>
      <c r="F792" s="1" t="s">
        <v>91</v>
      </c>
      <c r="G792" s="4">
        <v>44959</v>
      </c>
      <c r="H792" s="4">
        <v>44969</v>
      </c>
      <c r="I792" s="1" t="s">
        <v>29</v>
      </c>
      <c r="J792" s="1" t="s">
        <v>44</v>
      </c>
      <c r="K792" s="3">
        <v>4</v>
      </c>
      <c r="L792" s="2">
        <v>46676</v>
      </c>
      <c r="M792" s="3">
        <v>5</v>
      </c>
      <c r="N792" s="1" t="s">
        <v>166</v>
      </c>
      <c r="O792" s="1" t="s">
        <v>173</v>
      </c>
      <c r="P792" s="1" t="s">
        <v>33</v>
      </c>
      <c r="Q792" s="1" t="s">
        <v>530</v>
      </c>
      <c r="R792" s="1" t="s">
        <v>3415</v>
      </c>
      <c r="S792" s="3">
        <v>3</v>
      </c>
      <c r="T792" s="1" t="s">
        <v>61</v>
      </c>
      <c r="U792" s="3">
        <v>87</v>
      </c>
      <c r="V792" s="1" t="s">
        <v>62</v>
      </c>
      <c r="W792" s="5">
        <f>Table1[[#This Row],[Quantity]]*Table1[[#This Row],[Price]]*(1-Table1[[#This Row],[Discount %]]/100)</f>
        <v>177368.8</v>
      </c>
      <c r="X792">
        <f>Table1[[#This Row],[DeliveryDate]]-Table1[[#This Row],[OrderDate]]</f>
        <v>10</v>
      </c>
      <c r="Y792" t="str">
        <f>TEXT(Table1[[#This Row],[OrderDate]],"MMMM")</f>
        <v>February</v>
      </c>
      <c r="Z792" s="5">
        <f>YEAR(Table1[[#This Row],[OrderDate]])</f>
        <v>2023</v>
      </c>
    </row>
    <row r="793" spans="1:26" x14ac:dyDescent="0.3">
      <c r="A793" s="1" t="s">
        <v>2522</v>
      </c>
      <c r="B793" t="s">
        <v>1443</v>
      </c>
      <c r="C793" s="3">
        <v>46</v>
      </c>
      <c r="D793" s="1" t="s">
        <v>24</v>
      </c>
      <c r="E793" s="1" t="s">
        <v>99</v>
      </c>
      <c r="F793" s="1" t="s">
        <v>53</v>
      </c>
      <c r="G793" s="4">
        <v>44935</v>
      </c>
      <c r="H793" s="4">
        <v>44938</v>
      </c>
      <c r="I793" s="1" t="s">
        <v>77</v>
      </c>
      <c r="J793" s="1" t="s">
        <v>30</v>
      </c>
      <c r="K793" s="3">
        <v>2</v>
      </c>
      <c r="L793" s="2">
        <v>42109.716287215415</v>
      </c>
      <c r="M793" s="3">
        <v>0</v>
      </c>
      <c r="N793" s="1" t="s">
        <v>31</v>
      </c>
      <c r="O793" s="1" t="s">
        <v>32</v>
      </c>
      <c r="P793" s="1" t="s">
        <v>58</v>
      </c>
      <c r="Q793" s="1" t="s">
        <v>1444</v>
      </c>
      <c r="R793" s="1" t="s">
        <v>2523</v>
      </c>
      <c r="S793" s="3">
        <v>5</v>
      </c>
      <c r="T793" s="1" t="s">
        <v>61</v>
      </c>
      <c r="U793" s="3">
        <v>233</v>
      </c>
      <c r="V793" s="1" t="s">
        <v>62</v>
      </c>
      <c r="W793" s="5">
        <f>Table1[[#This Row],[Quantity]]*Table1[[#This Row],[Price]]*(1-Table1[[#This Row],[Discount %]]/100)</f>
        <v>84219.43257443083</v>
      </c>
      <c r="X793">
        <f>Table1[[#This Row],[DeliveryDate]]-Table1[[#This Row],[OrderDate]]</f>
        <v>3</v>
      </c>
      <c r="Y793" t="str">
        <f>TEXT(Table1[[#This Row],[OrderDate]],"MMMM")</f>
        <v>January</v>
      </c>
      <c r="Z793" s="5">
        <f>YEAR(Table1[[#This Row],[OrderDate]])</f>
        <v>2023</v>
      </c>
    </row>
    <row r="794" spans="1:26" x14ac:dyDescent="0.3">
      <c r="A794" s="1" t="s">
        <v>2524</v>
      </c>
      <c r="B794" t="s">
        <v>113</v>
      </c>
      <c r="C794" s="3">
        <v>47</v>
      </c>
      <c r="D794" s="1" t="s">
        <v>51</v>
      </c>
      <c r="E794" s="1" t="s">
        <v>25</v>
      </c>
      <c r="F794" s="1" t="s">
        <v>82</v>
      </c>
      <c r="G794" s="4">
        <v>45534</v>
      </c>
      <c r="H794" s="4">
        <v>45543</v>
      </c>
      <c r="I794" s="1" t="s">
        <v>29</v>
      </c>
      <c r="J794" s="1" t="s">
        <v>30</v>
      </c>
      <c r="K794" s="3">
        <v>1</v>
      </c>
      <c r="L794" s="2">
        <v>29020</v>
      </c>
      <c r="M794" s="3">
        <v>5</v>
      </c>
      <c r="N794" s="1" t="s">
        <v>56</v>
      </c>
      <c r="O794" s="1" t="s">
        <v>68</v>
      </c>
      <c r="P794" s="1" t="s">
        <v>33</v>
      </c>
      <c r="Q794" s="1" t="s">
        <v>116</v>
      </c>
      <c r="R794" s="1" t="s">
        <v>2526</v>
      </c>
      <c r="S794" s="3">
        <v>5</v>
      </c>
      <c r="T794" s="1" t="s">
        <v>96</v>
      </c>
      <c r="U794" s="3">
        <v>118</v>
      </c>
      <c r="V794" s="1" t="s">
        <v>62</v>
      </c>
      <c r="W794" s="5">
        <f>Table1[[#This Row],[Quantity]]*Table1[[#This Row],[Price]]*(1-Table1[[#This Row],[Discount %]]/100)</f>
        <v>27569</v>
      </c>
      <c r="X794">
        <f>Table1[[#This Row],[DeliveryDate]]-Table1[[#This Row],[OrderDate]]</f>
        <v>9</v>
      </c>
      <c r="Y794" t="str">
        <f>TEXT(Table1[[#This Row],[OrderDate]],"MMMM")</f>
        <v>August</v>
      </c>
      <c r="Z794" s="5">
        <f>YEAR(Table1[[#This Row],[OrderDate]])</f>
        <v>2024</v>
      </c>
    </row>
    <row r="795" spans="1:26" x14ac:dyDescent="0.3">
      <c r="A795" s="1" t="s">
        <v>2527</v>
      </c>
      <c r="B795" t="s">
        <v>136</v>
      </c>
      <c r="C795" s="3">
        <v>28</v>
      </c>
      <c r="D795" s="1" t="s">
        <v>51</v>
      </c>
      <c r="E795" s="1" t="s">
        <v>25</v>
      </c>
      <c r="F795" s="1" t="s">
        <v>82</v>
      </c>
      <c r="G795" s="4">
        <v>45158</v>
      </c>
      <c r="H795" s="4">
        <v>45162</v>
      </c>
      <c r="I795" s="1" t="s">
        <v>93</v>
      </c>
      <c r="J795" s="1" t="s">
        <v>44</v>
      </c>
      <c r="K795" s="3">
        <v>1</v>
      </c>
      <c r="L795" s="2">
        <v>34116</v>
      </c>
      <c r="M795" s="3">
        <v>10</v>
      </c>
      <c r="N795" s="1" t="s">
        <v>31</v>
      </c>
      <c r="O795" s="1" t="s">
        <v>102</v>
      </c>
      <c r="P795" s="1" t="s">
        <v>69</v>
      </c>
      <c r="Q795" s="1" t="s">
        <v>3415</v>
      </c>
      <c r="R795" s="1" t="s">
        <v>2528</v>
      </c>
      <c r="S795" s="3">
        <v>1</v>
      </c>
      <c r="T795" s="1" t="s">
        <v>72</v>
      </c>
      <c r="U795" s="3">
        <v>337</v>
      </c>
      <c r="V795" s="1" t="s">
        <v>62</v>
      </c>
      <c r="W795" s="5">
        <f>Table1[[#This Row],[Quantity]]*Table1[[#This Row],[Price]]*(1-Table1[[#This Row],[Discount %]]/100)</f>
        <v>30704.400000000001</v>
      </c>
      <c r="X795">
        <f>Table1[[#This Row],[DeliveryDate]]-Table1[[#This Row],[OrderDate]]</f>
        <v>4</v>
      </c>
      <c r="Y795" t="str">
        <f>TEXT(Table1[[#This Row],[OrderDate]],"MMMM")</f>
        <v>August</v>
      </c>
      <c r="Z795" s="5">
        <f>YEAR(Table1[[#This Row],[OrderDate]])</f>
        <v>2023</v>
      </c>
    </row>
    <row r="796" spans="1:26" x14ac:dyDescent="0.3">
      <c r="A796" s="1" t="s">
        <v>2529</v>
      </c>
      <c r="B796" t="s">
        <v>484</v>
      </c>
      <c r="C796" s="3">
        <v>41</v>
      </c>
      <c r="D796" s="1" t="s">
        <v>51</v>
      </c>
      <c r="E796" s="1" t="s">
        <v>142</v>
      </c>
      <c r="F796" s="1" t="s">
        <v>82</v>
      </c>
      <c r="G796" s="4">
        <v>45034</v>
      </c>
      <c r="H796" s="4">
        <v>45035</v>
      </c>
      <c r="I796" s="1" t="s">
        <v>29</v>
      </c>
      <c r="J796" s="1" t="s">
        <v>44</v>
      </c>
      <c r="K796" s="3">
        <v>4</v>
      </c>
      <c r="L796" s="2">
        <v>70378</v>
      </c>
      <c r="M796" s="3">
        <v>5</v>
      </c>
      <c r="N796" s="1" t="s">
        <v>45</v>
      </c>
      <c r="O796" s="1" t="s">
        <v>133</v>
      </c>
      <c r="P796" s="1" t="s">
        <v>33</v>
      </c>
      <c r="Q796" s="1" t="s">
        <v>487</v>
      </c>
      <c r="R796" s="1" t="s">
        <v>2530</v>
      </c>
      <c r="S796" s="3">
        <v>1</v>
      </c>
      <c r="T796" s="1" t="s">
        <v>72</v>
      </c>
      <c r="U796" s="3">
        <v>139</v>
      </c>
      <c r="V796" s="1" t="s">
        <v>62</v>
      </c>
      <c r="W796" s="5">
        <f>Table1[[#This Row],[Quantity]]*Table1[[#This Row],[Price]]*(1-Table1[[#This Row],[Discount %]]/100)</f>
        <v>267436.39999999997</v>
      </c>
      <c r="X796">
        <f>Table1[[#This Row],[DeliveryDate]]-Table1[[#This Row],[OrderDate]]</f>
        <v>1</v>
      </c>
      <c r="Y796" t="str">
        <f>TEXT(Table1[[#This Row],[OrderDate]],"MMMM")</f>
        <v>April</v>
      </c>
      <c r="Z796" s="5">
        <f>YEAR(Table1[[#This Row],[OrderDate]])</f>
        <v>2023</v>
      </c>
    </row>
    <row r="797" spans="1:26" x14ac:dyDescent="0.3">
      <c r="A797" s="1" t="s">
        <v>2531</v>
      </c>
      <c r="B797" t="s">
        <v>767</v>
      </c>
      <c r="C797" s="3">
        <v>43</v>
      </c>
      <c r="D797" s="1" t="s">
        <v>51</v>
      </c>
      <c r="E797" s="1" t="s">
        <v>229</v>
      </c>
      <c r="F797" s="1" t="s">
        <v>65</v>
      </c>
      <c r="G797" s="4">
        <v>45221</v>
      </c>
      <c r="H797" s="4">
        <v>45231</v>
      </c>
      <c r="I797" s="1" t="s">
        <v>93</v>
      </c>
      <c r="J797" s="1" t="s">
        <v>30</v>
      </c>
      <c r="K797" s="3">
        <v>3</v>
      </c>
      <c r="L797" s="2">
        <v>52865</v>
      </c>
      <c r="M797" s="3">
        <v>5</v>
      </c>
      <c r="N797" s="1" t="s">
        <v>166</v>
      </c>
      <c r="O797" s="1" t="s">
        <v>32</v>
      </c>
      <c r="P797" s="1" t="s">
        <v>33</v>
      </c>
      <c r="Q797" s="1" t="s">
        <v>769</v>
      </c>
      <c r="R797" s="1" t="s">
        <v>2533</v>
      </c>
      <c r="S797" s="3">
        <v>1</v>
      </c>
      <c r="T797" s="1" t="s">
        <v>72</v>
      </c>
      <c r="U797" s="3">
        <v>399</v>
      </c>
      <c r="V797" s="1" t="s">
        <v>37</v>
      </c>
      <c r="W797" s="5">
        <f>Table1[[#This Row],[Quantity]]*Table1[[#This Row],[Price]]*(1-Table1[[#This Row],[Discount %]]/100)</f>
        <v>150665.25</v>
      </c>
      <c r="X797">
        <f>Table1[[#This Row],[DeliveryDate]]-Table1[[#This Row],[OrderDate]]</f>
        <v>10</v>
      </c>
      <c r="Y797" t="str">
        <f>TEXT(Table1[[#This Row],[OrderDate]],"MMMM")</f>
        <v>October</v>
      </c>
      <c r="Z797" s="5">
        <f>YEAR(Table1[[#This Row],[OrderDate]])</f>
        <v>2023</v>
      </c>
    </row>
    <row r="798" spans="1:26" x14ac:dyDescent="0.3">
      <c r="A798" s="1" t="s">
        <v>2534</v>
      </c>
      <c r="B798" t="s">
        <v>547</v>
      </c>
      <c r="C798" s="3">
        <v>35</v>
      </c>
      <c r="D798" s="1" t="s">
        <v>24</v>
      </c>
      <c r="E798" s="1" t="s">
        <v>40</v>
      </c>
      <c r="F798" s="1" t="s">
        <v>65</v>
      </c>
      <c r="G798" s="4">
        <v>44976</v>
      </c>
      <c r="H798" s="4">
        <v>44981</v>
      </c>
      <c r="I798" s="1" t="s">
        <v>85</v>
      </c>
      <c r="J798" s="1" t="s">
        <v>30</v>
      </c>
      <c r="K798" s="3">
        <v>3</v>
      </c>
      <c r="L798" s="2">
        <v>54664</v>
      </c>
      <c r="M798" s="3">
        <v>15</v>
      </c>
      <c r="N798" s="1" t="s">
        <v>166</v>
      </c>
      <c r="O798" s="1" t="s">
        <v>32</v>
      </c>
      <c r="P798" s="1" t="s">
        <v>33</v>
      </c>
      <c r="Q798" s="1" t="s">
        <v>549</v>
      </c>
      <c r="R798" s="1" t="s">
        <v>2535</v>
      </c>
      <c r="S798" s="3">
        <v>3</v>
      </c>
      <c r="T798" s="1" t="s">
        <v>96</v>
      </c>
      <c r="U798" s="3">
        <v>394</v>
      </c>
      <c r="V798" s="1" t="s">
        <v>62</v>
      </c>
      <c r="W798" s="5">
        <f>Table1[[#This Row],[Quantity]]*Table1[[#This Row],[Price]]*(1-Table1[[#This Row],[Discount %]]/100)</f>
        <v>139393.19999999998</v>
      </c>
      <c r="X798">
        <f>Table1[[#This Row],[DeliveryDate]]-Table1[[#This Row],[OrderDate]]</f>
        <v>5</v>
      </c>
      <c r="Y798" t="str">
        <f>TEXT(Table1[[#This Row],[OrderDate]],"MMMM")</f>
        <v>February</v>
      </c>
      <c r="Z798" s="5">
        <f>YEAR(Table1[[#This Row],[OrderDate]])</f>
        <v>2023</v>
      </c>
    </row>
    <row r="799" spans="1:26" x14ac:dyDescent="0.3">
      <c r="A799" s="1" t="s">
        <v>2536</v>
      </c>
      <c r="B799" t="s">
        <v>767</v>
      </c>
      <c r="C799" s="3">
        <v>23</v>
      </c>
      <c r="D799" s="1" t="s">
        <v>24</v>
      </c>
      <c r="E799" s="1" t="s">
        <v>26</v>
      </c>
      <c r="F799" s="1" t="s">
        <v>26</v>
      </c>
      <c r="G799" s="4">
        <v>45049</v>
      </c>
      <c r="H799" s="4">
        <v>45050</v>
      </c>
      <c r="I799" s="1" t="s">
        <v>93</v>
      </c>
      <c r="J799" s="1" t="s">
        <v>30</v>
      </c>
      <c r="K799" s="3">
        <v>1</v>
      </c>
      <c r="L799" s="2">
        <v>58085</v>
      </c>
      <c r="M799" s="3">
        <v>5</v>
      </c>
      <c r="N799" s="1" t="s">
        <v>166</v>
      </c>
      <c r="O799" s="1" t="s">
        <v>109</v>
      </c>
      <c r="P799" s="1" t="s">
        <v>58</v>
      </c>
      <c r="Q799" s="1" t="s">
        <v>3415</v>
      </c>
      <c r="R799" s="1" t="s">
        <v>2538</v>
      </c>
      <c r="S799" s="3">
        <v>2</v>
      </c>
      <c r="T799" s="1" t="s">
        <v>96</v>
      </c>
      <c r="U799" s="3">
        <v>452</v>
      </c>
      <c r="V799" s="1" t="s">
        <v>37</v>
      </c>
      <c r="W799" s="5">
        <f>Table1[[#This Row],[Quantity]]*Table1[[#This Row],[Price]]*(1-Table1[[#This Row],[Discount %]]/100)</f>
        <v>55180.75</v>
      </c>
      <c r="X799">
        <f>Table1[[#This Row],[DeliveryDate]]-Table1[[#This Row],[OrderDate]]</f>
        <v>1</v>
      </c>
      <c r="Y799" t="str">
        <f>TEXT(Table1[[#This Row],[OrderDate]],"MMMM")</f>
        <v>May</v>
      </c>
      <c r="Z799" s="5">
        <f>YEAR(Table1[[#This Row],[OrderDate]])</f>
        <v>2023</v>
      </c>
    </row>
    <row r="800" spans="1:26" x14ac:dyDescent="0.3">
      <c r="A800" s="1" t="s">
        <v>2539</v>
      </c>
      <c r="B800" t="s">
        <v>303</v>
      </c>
      <c r="C800" s="3">
        <v>46</v>
      </c>
      <c r="D800" s="1" t="s">
        <v>24</v>
      </c>
      <c r="E800" s="1" t="s">
        <v>99</v>
      </c>
      <c r="F800" s="1" t="s">
        <v>82</v>
      </c>
      <c r="G800" s="4">
        <v>45625</v>
      </c>
      <c r="H800" s="4">
        <v>45628</v>
      </c>
      <c r="I800" s="1" t="s">
        <v>77</v>
      </c>
      <c r="J800" s="1" t="s">
        <v>30</v>
      </c>
      <c r="K800" s="3">
        <v>1</v>
      </c>
      <c r="L800" s="2">
        <v>76703</v>
      </c>
      <c r="M800" s="3">
        <v>15</v>
      </c>
      <c r="N800" s="1" t="s">
        <v>31</v>
      </c>
      <c r="O800" s="1" t="s">
        <v>133</v>
      </c>
      <c r="P800" s="1" t="s">
        <v>58</v>
      </c>
      <c r="Q800" s="1" t="s">
        <v>306</v>
      </c>
      <c r="R800" s="1" t="s">
        <v>2540</v>
      </c>
      <c r="S800" s="3">
        <v>4</v>
      </c>
      <c r="T800" s="1" t="s">
        <v>36</v>
      </c>
      <c r="U800" s="3">
        <v>218</v>
      </c>
      <c r="V800" s="1" t="s">
        <v>62</v>
      </c>
      <c r="W800" s="5">
        <f>Table1[[#This Row],[Quantity]]*Table1[[#This Row],[Price]]*(1-Table1[[#This Row],[Discount %]]/100)</f>
        <v>65197.549999999996</v>
      </c>
      <c r="X800">
        <f>Table1[[#This Row],[DeliveryDate]]-Table1[[#This Row],[OrderDate]]</f>
        <v>3</v>
      </c>
      <c r="Y800" t="str">
        <f>TEXT(Table1[[#This Row],[OrderDate]],"MMMM")</f>
        <v>November</v>
      </c>
      <c r="Z800" s="5">
        <f>YEAR(Table1[[#This Row],[OrderDate]])</f>
        <v>2024</v>
      </c>
    </row>
    <row r="801" spans="1:26" x14ac:dyDescent="0.3">
      <c r="A801" s="1" t="s">
        <v>2541</v>
      </c>
      <c r="B801" t="s">
        <v>1080</v>
      </c>
      <c r="C801" s="3">
        <v>50</v>
      </c>
      <c r="D801" s="1" t="s">
        <v>51</v>
      </c>
      <c r="E801" s="1" t="s">
        <v>25</v>
      </c>
      <c r="F801" s="1" t="s">
        <v>91</v>
      </c>
      <c r="G801" s="4">
        <v>45610</v>
      </c>
      <c r="H801" s="4">
        <v>45616</v>
      </c>
      <c r="I801" s="1" t="s">
        <v>43</v>
      </c>
      <c r="J801" s="1" t="s">
        <v>44</v>
      </c>
      <c r="K801" s="3">
        <v>2</v>
      </c>
      <c r="L801" s="2">
        <v>72219</v>
      </c>
      <c r="M801" s="3">
        <v>0</v>
      </c>
      <c r="N801" s="1" t="s">
        <v>45</v>
      </c>
      <c r="O801" s="1" t="s">
        <v>133</v>
      </c>
      <c r="P801" s="1" t="s">
        <v>58</v>
      </c>
      <c r="Q801" s="1" t="s">
        <v>1082</v>
      </c>
      <c r="R801" s="1" t="s">
        <v>2543</v>
      </c>
      <c r="S801" s="3">
        <v>3</v>
      </c>
      <c r="T801" s="1" t="s">
        <v>61</v>
      </c>
      <c r="U801" s="3">
        <v>266</v>
      </c>
      <c r="V801" s="1" t="s">
        <v>79</v>
      </c>
      <c r="W801" s="5">
        <f>Table1[[#This Row],[Quantity]]*Table1[[#This Row],[Price]]*(1-Table1[[#This Row],[Discount %]]/100)</f>
        <v>144438</v>
      </c>
      <c r="X801">
        <f>Table1[[#This Row],[DeliveryDate]]-Table1[[#This Row],[OrderDate]]</f>
        <v>6</v>
      </c>
      <c r="Y801" t="str">
        <f>TEXT(Table1[[#This Row],[OrderDate]],"MMMM")</f>
        <v>November</v>
      </c>
      <c r="Z801" s="5">
        <f>YEAR(Table1[[#This Row],[OrderDate]])</f>
        <v>2024</v>
      </c>
    </row>
    <row r="802" spans="1:26" x14ac:dyDescent="0.3">
      <c r="A802" s="1" t="s">
        <v>2544</v>
      </c>
      <c r="B802" t="s">
        <v>344</v>
      </c>
      <c r="C802" s="3">
        <v>54</v>
      </c>
      <c r="D802" s="1" t="s">
        <v>24</v>
      </c>
      <c r="E802" s="1" t="s">
        <v>131</v>
      </c>
      <c r="F802" s="1" t="s">
        <v>53</v>
      </c>
      <c r="G802" s="4">
        <v>45249</v>
      </c>
      <c r="H802" s="4">
        <v>45250</v>
      </c>
      <c r="I802" s="1" t="s">
        <v>93</v>
      </c>
      <c r="J802" s="1" t="s">
        <v>44</v>
      </c>
      <c r="K802" s="3">
        <v>4</v>
      </c>
      <c r="L802" s="2">
        <v>37830</v>
      </c>
      <c r="M802" s="3">
        <v>0</v>
      </c>
      <c r="N802" s="1" t="s">
        <v>45</v>
      </c>
      <c r="O802" s="1" t="s">
        <v>102</v>
      </c>
      <c r="P802" s="1" t="s">
        <v>58</v>
      </c>
      <c r="Q802" s="1" t="s">
        <v>347</v>
      </c>
      <c r="R802" s="1" t="s">
        <v>2546</v>
      </c>
      <c r="S802" s="3">
        <v>1</v>
      </c>
      <c r="T802" s="1" t="s">
        <v>61</v>
      </c>
      <c r="U802" s="3">
        <v>273</v>
      </c>
      <c r="V802" s="1" t="s">
        <v>37</v>
      </c>
      <c r="W802" s="5">
        <f>Table1[[#This Row],[Quantity]]*Table1[[#This Row],[Price]]*(1-Table1[[#This Row],[Discount %]]/100)</f>
        <v>151320</v>
      </c>
      <c r="X802">
        <f>Table1[[#This Row],[DeliveryDate]]-Table1[[#This Row],[OrderDate]]</f>
        <v>1</v>
      </c>
      <c r="Y802" t="str">
        <f>TEXT(Table1[[#This Row],[OrderDate]],"MMMM")</f>
        <v>November</v>
      </c>
      <c r="Z802" s="5">
        <f>YEAR(Table1[[#This Row],[OrderDate]])</f>
        <v>2023</v>
      </c>
    </row>
    <row r="803" spans="1:26" x14ac:dyDescent="0.3">
      <c r="A803" s="1" t="s">
        <v>2547</v>
      </c>
      <c r="B803" t="s">
        <v>498</v>
      </c>
      <c r="C803" s="3">
        <v>28</v>
      </c>
      <c r="D803" s="1" t="s">
        <v>24</v>
      </c>
      <c r="E803" s="1" t="s">
        <v>25</v>
      </c>
      <c r="F803" s="1" t="s">
        <v>53</v>
      </c>
      <c r="G803" s="4">
        <v>45418</v>
      </c>
      <c r="H803" s="4">
        <v>45421</v>
      </c>
      <c r="I803" s="1" t="s">
        <v>93</v>
      </c>
      <c r="J803" s="1" t="s">
        <v>44</v>
      </c>
      <c r="K803" s="3">
        <v>3</v>
      </c>
      <c r="L803" s="2">
        <v>7817</v>
      </c>
      <c r="M803" s="3">
        <v>5</v>
      </c>
      <c r="N803" s="1" t="s">
        <v>31</v>
      </c>
      <c r="O803" s="1" t="s">
        <v>57</v>
      </c>
      <c r="P803" s="1" t="s">
        <v>58</v>
      </c>
      <c r="Q803" s="1" t="s">
        <v>500</v>
      </c>
      <c r="R803" s="1" t="s">
        <v>2549</v>
      </c>
      <c r="S803" s="3">
        <v>5</v>
      </c>
      <c r="T803" s="1" t="s">
        <v>72</v>
      </c>
      <c r="U803" s="3">
        <v>490</v>
      </c>
      <c r="V803" s="1" t="s">
        <v>62</v>
      </c>
      <c r="W803" s="5">
        <f>Table1[[#This Row],[Quantity]]*Table1[[#This Row],[Price]]*(1-Table1[[#This Row],[Discount %]]/100)</f>
        <v>22278.45</v>
      </c>
      <c r="X803">
        <f>Table1[[#This Row],[DeliveryDate]]-Table1[[#This Row],[OrderDate]]</f>
        <v>3</v>
      </c>
      <c r="Y803" t="str">
        <f>TEXT(Table1[[#This Row],[OrderDate]],"MMMM")</f>
        <v>May</v>
      </c>
      <c r="Z803" s="5">
        <f>YEAR(Table1[[#This Row],[OrderDate]])</f>
        <v>2024</v>
      </c>
    </row>
    <row r="804" spans="1:26" x14ac:dyDescent="0.3">
      <c r="A804" s="1" t="s">
        <v>2550</v>
      </c>
      <c r="B804" t="s">
        <v>555</v>
      </c>
      <c r="C804" s="3">
        <v>32</v>
      </c>
      <c r="D804" s="1" t="s">
        <v>24</v>
      </c>
      <c r="E804" s="1" t="s">
        <v>131</v>
      </c>
      <c r="F804" s="1" t="s">
        <v>91</v>
      </c>
      <c r="G804" s="4">
        <v>45600</v>
      </c>
      <c r="H804" s="4">
        <v>45604</v>
      </c>
      <c r="I804" s="1" t="s">
        <v>108</v>
      </c>
      <c r="J804" s="1" t="s">
        <v>30</v>
      </c>
      <c r="K804" s="3">
        <v>1</v>
      </c>
      <c r="L804" s="2">
        <v>47083</v>
      </c>
      <c r="M804" s="3">
        <v>5</v>
      </c>
      <c r="N804" s="1" t="s">
        <v>45</v>
      </c>
      <c r="O804" s="1" t="s">
        <v>46</v>
      </c>
      <c r="P804" s="1" t="s">
        <v>69</v>
      </c>
      <c r="Q804" s="1" t="s">
        <v>558</v>
      </c>
      <c r="R804" s="1" t="s">
        <v>3415</v>
      </c>
      <c r="S804" s="3">
        <v>3</v>
      </c>
      <c r="T804" s="1" t="s">
        <v>61</v>
      </c>
      <c r="U804" s="3">
        <v>323</v>
      </c>
      <c r="V804" s="1" t="s">
        <v>37</v>
      </c>
      <c r="W804" s="5">
        <f>Table1[[#This Row],[Quantity]]*Table1[[#This Row],[Price]]*(1-Table1[[#This Row],[Discount %]]/100)</f>
        <v>44728.85</v>
      </c>
      <c r="X804">
        <f>Table1[[#This Row],[DeliveryDate]]-Table1[[#This Row],[OrderDate]]</f>
        <v>4</v>
      </c>
      <c r="Y804" t="str">
        <f>TEXT(Table1[[#This Row],[OrderDate]],"MMMM")</f>
        <v>November</v>
      </c>
      <c r="Z804" s="5">
        <f>YEAR(Table1[[#This Row],[OrderDate]])</f>
        <v>2024</v>
      </c>
    </row>
    <row r="805" spans="1:26" x14ac:dyDescent="0.3">
      <c r="A805" s="1" t="s">
        <v>2551</v>
      </c>
      <c r="B805" t="s">
        <v>808</v>
      </c>
      <c r="C805" s="3">
        <v>59</v>
      </c>
      <c r="D805" s="1" t="s">
        <v>24</v>
      </c>
      <c r="E805" s="1" t="s">
        <v>131</v>
      </c>
      <c r="F805" s="1" t="s">
        <v>26</v>
      </c>
      <c r="G805" s="4">
        <v>45250</v>
      </c>
      <c r="H805" s="4">
        <v>45253</v>
      </c>
      <c r="I805" s="1" t="s">
        <v>77</v>
      </c>
      <c r="J805" s="1" t="s">
        <v>30</v>
      </c>
      <c r="K805" s="3">
        <v>5</v>
      </c>
      <c r="L805" s="2">
        <v>19431</v>
      </c>
      <c r="M805" s="3">
        <v>0</v>
      </c>
      <c r="N805" s="1" t="s">
        <v>56</v>
      </c>
      <c r="O805" s="1" t="s">
        <v>173</v>
      </c>
      <c r="P805" s="1" t="s">
        <v>69</v>
      </c>
      <c r="Q805" s="1" t="s">
        <v>191</v>
      </c>
      <c r="R805" s="1" t="s">
        <v>2552</v>
      </c>
      <c r="S805" s="3">
        <v>1</v>
      </c>
      <c r="T805" s="1" t="s">
        <v>61</v>
      </c>
      <c r="U805" s="3">
        <v>174</v>
      </c>
      <c r="V805" s="1" t="s">
        <v>62</v>
      </c>
      <c r="W805" s="5">
        <f>Table1[[#This Row],[Quantity]]*Table1[[#This Row],[Price]]*(1-Table1[[#This Row],[Discount %]]/100)</f>
        <v>97155</v>
      </c>
      <c r="X805">
        <f>Table1[[#This Row],[DeliveryDate]]-Table1[[#This Row],[OrderDate]]</f>
        <v>3</v>
      </c>
      <c r="Y805" t="str">
        <f>TEXT(Table1[[#This Row],[OrderDate]],"MMMM")</f>
        <v>November</v>
      </c>
      <c r="Z805" s="5">
        <f>YEAR(Table1[[#This Row],[OrderDate]])</f>
        <v>2023</v>
      </c>
    </row>
    <row r="806" spans="1:26" x14ac:dyDescent="0.3">
      <c r="A806" s="1" t="s">
        <v>2553</v>
      </c>
      <c r="B806" t="s">
        <v>702</v>
      </c>
      <c r="C806" s="3">
        <v>57</v>
      </c>
      <c r="D806" s="1" t="s">
        <v>24</v>
      </c>
      <c r="E806" s="1" t="s">
        <v>25</v>
      </c>
      <c r="F806" s="1" t="s">
        <v>65</v>
      </c>
      <c r="G806" s="4">
        <v>45348</v>
      </c>
      <c r="H806" s="4">
        <v>45349</v>
      </c>
      <c r="I806" s="1" t="s">
        <v>93</v>
      </c>
      <c r="J806" s="1" t="s">
        <v>30</v>
      </c>
      <c r="K806" s="3">
        <v>5</v>
      </c>
      <c r="L806" s="2">
        <v>14978</v>
      </c>
      <c r="M806" s="3">
        <v>15</v>
      </c>
      <c r="N806" s="1" t="s">
        <v>166</v>
      </c>
      <c r="O806" s="1" t="s">
        <v>86</v>
      </c>
      <c r="P806" s="1" t="s">
        <v>33</v>
      </c>
      <c r="Q806" s="1" t="s">
        <v>916</v>
      </c>
      <c r="R806" s="1" t="s">
        <v>2554</v>
      </c>
      <c r="S806" s="3">
        <v>5</v>
      </c>
      <c r="T806" s="1" t="s">
        <v>96</v>
      </c>
      <c r="U806" s="3">
        <v>98</v>
      </c>
      <c r="V806" s="1" t="s">
        <v>37</v>
      </c>
      <c r="W806" s="5">
        <f>Table1[[#This Row],[Quantity]]*Table1[[#This Row],[Price]]*(1-Table1[[#This Row],[Discount %]]/100)</f>
        <v>63656.5</v>
      </c>
      <c r="X806">
        <f>Table1[[#This Row],[DeliveryDate]]-Table1[[#This Row],[OrderDate]]</f>
        <v>1</v>
      </c>
      <c r="Y806" t="str">
        <f>TEXT(Table1[[#This Row],[OrderDate]],"MMMM")</f>
        <v>February</v>
      </c>
      <c r="Z806" s="5">
        <f>YEAR(Table1[[#This Row],[OrderDate]])</f>
        <v>2024</v>
      </c>
    </row>
    <row r="807" spans="1:26" x14ac:dyDescent="0.3">
      <c r="A807" s="1" t="s">
        <v>2555</v>
      </c>
      <c r="B807" t="s">
        <v>476</v>
      </c>
      <c r="C807" s="3">
        <v>59</v>
      </c>
      <c r="D807" s="1" t="s">
        <v>24</v>
      </c>
      <c r="E807" s="1" t="s">
        <v>52</v>
      </c>
      <c r="F807" s="1" t="s">
        <v>26</v>
      </c>
      <c r="G807" s="4">
        <v>45441</v>
      </c>
      <c r="H807" s="4">
        <v>45451</v>
      </c>
      <c r="I807" s="1" t="s">
        <v>43</v>
      </c>
      <c r="J807" s="1" t="s">
        <v>30</v>
      </c>
      <c r="K807" s="3">
        <v>1</v>
      </c>
      <c r="L807" s="2">
        <v>51307</v>
      </c>
      <c r="M807" s="3">
        <v>5</v>
      </c>
      <c r="N807" s="1" t="s">
        <v>45</v>
      </c>
      <c r="O807" s="1" t="s">
        <v>173</v>
      </c>
      <c r="P807" s="1" t="s">
        <v>58</v>
      </c>
      <c r="Q807" s="1" t="s">
        <v>478</v>
      </c>
      <c r="R807" s="1" t="s">
        <v>2556</v>
      </c>
      <c r="S807" s="3">
        <v>1</v>
      </c>
      <c r="T807" s="1" t="s">
        <v>72</v>
      </c>
      <c r="U807" s="3">
        <v>398</v>
      </c>
      <c r="V807" s="1" t="s">
        <v>62</v>
      </c>
      <c r="W807" s="5">
        <f>Table1[[#This Row],[Quantity]]*Table1[[#This Row],[Price]]*(1-Table1[[#This Row],[Discount %]]/100)</f>
        <v>48741.649999999994</v>
      </c>
      <c r="X807">
        <f>Table1[[#This Row],[DeliveryDate]]-Table1[[#This Row],[OrderDate]]</f>
        <v>10</v>
      </c>
      <c r="Y807" t="str">
        <f>TEXT(Table1[[#This Row],[OrderDate]],"MMMM")</f>
        <v>May</v>
      </c>
      <c r="Z807" s="5">
        <f>YEAR(Table1[[#This Row],[OrderDate]])</f>
        <v>2024</v>
      </c>
    </row>
    <row r="808" spans="1:26" x14ac:dyDescent="0.3">
      <c r="A808" s="1" t="s">
        <v>2557</v>
      </c>
      <c r="B808" t="s">
        <v>170</v>
      </c>
      <c r="C808" s="3">
        <v>23</v>
      </c>
      <c r="D808" s="1" t="s">
        <v>24</v>
      </c>
      <c r="E808" s="1" t="s">
        <v>142</v>
      </c>
      <c r="F808" s="1" t="s">
        <v>53</v>
      </c>
      <c r="G808" s="4">
        <v>45166</v>
      </c>
      <c r="H808" s="4">
        <v>45172</v>
      </c>
      <c r="I808" s="1" t="s">
        <v>29</v>
      </c>
      <c r="J808" s="1" t="s">
        <v>44</v>
      </c>
      <c r="K808" s="3">
        <v>2.9447852760736195</v>
      </c>
      <c r="L808" s="2">
        <v>37319</v>
      </c>
      <c r="M808" s="3">
        <v>10</v>
      </c>
      <c r="N808" s="1" t="s">
        <v>45</v>
      </c>
      <c r="O808" s="1" t="s">
        <v>109</v>
      </c>
      <c r="P808" s="1" t="s">
        <v>33</v>
      </c>
      <c r="Q808" s="1" t="s">
        <v>175</v>
      </c>
      <c r="R808" s="1" t="s">
        <v>2559</v>
      </c>
      <c r="S808" s="3">
        <v>1</v>
      </c>
      <c r="T808" s="1" t="s">
        <v>61</v>
      </c>
      <c r="U808" s="3">
        <v>471</v>
      </c>
      <c r="V808" s="1" t="s">
        <v>79</v>
      </c>
      <c r="W808" s="5">
        <f>Table1[[#This Row],[Quantity]]*Table1[[#This Row],[Price]]*(1-Table1[[#This Row],[Discount %]]/100)</f>
        <v>98906.797546012269</v>
      </c>
      <c r="X808">
        <f>Table1[[#This Row],[DeliveryDate]]-Table1[[#This Row],[OrderDate]]</f>
        <v>6</v>
      </c>
      <c r="Y808" t="str">
        <f>TEXT(Table1[[#This Row],[OrderDate]],"MMMM")</f>
        <v>August</v>
      </c>
      <c r="Z808" s="5">
        <f>YEAR(Table1[[#This Row],[OrderDate]])</f>
        <v>2023</v>
      </c>
    </row>
    <row r="809" spans="1:26" x14ac:dyDescent="0.3">
      <c r="A809" s="1" t="s">
        <v>2560</v>
      </c>
      <c r="B809" t="s">
        <v>1118</v>
      </c>
      <c r="C809" s="3">
        <v>18</v>
      </c>
      <c r="D809" s="1" t="s">
        <v>51</v>
      </c>
      <c r="E809" s="1" t="s">
        <v>25</v>
      </c>
      <c r="F809" s="1" t="s">
        <v>82</v>
      </c>
      <c r="G809" s="4">
        <v>45489</v>
      </c>
      <c r="H809" s="4">
        <v>45498</v>
      </c>
      <c r="I809" s="1" t="s">
        <v>43</v>
      </c>
      <c r="J809" s="1" t="s">
        <v>30</v>
      </c>
      <c r="K809" s="3">
        <v>2</v>
      </c>
      <c r="L809" s="2">
        <v>57384</v>
      </c>
      <c r="M809" s="3">
        <v>5</v>
      </c>
      <c r="N809" s="1" t="s">
        <v>31</v>
      </c>
      <c r="O809" s="1" t="s">
        <v>32</v>
      </c>
      <c r="P809" s="1" t="s">
        <v>58</v>
      </c>
      <c r="Q809" s="1" t="s">
        <v>1120</v>
      </c>
      <c r="R809" s="1" t="s">
        <v>2561</v>
      </c>
      <c r="S809" s="3">
        <v>4</v>
      </c>
      <c r="T809" s="1" t="s">
        <v>61</v>
      </c>
      <c r="U809" s="3">
        <v>81</v>
      </c>
      <c r="V809" s="1" t="s">
        <v>62</v>
      </c>
      <c r="W809" s="5">
        <f>Table1[[#This Row],[Quantity]]*Table1[[#This Row],[Price]]*(1-Table1[[#This Row],[Discount %]]/100)</f>
        <v>109029.59999999999</v>
      </c>
      <c r="X809">
        <f>Table1[[#This Row],[DeliveryDate]]-Table1[[#This Row],[OrderDate]]</f>
        <v>9</v>
      </c>
      <c r="Y809" t="str">
        <f>TEXT(Table1[[#This Row],[OrderDate]],"MMMM")</f>
        <v>July</v>
      </c>
      <c r="Z809" s="5">
        <f>YEAR(Table1[[#This Row],[OrderDate]])</f>
        <v>2024</v>
      </c>
    </row>
    <row r="810" spans="1:26" x14ac:dyDescent="0.3">
      <c r="A810" s="1" t="s">
        <v>2562</v>
      </c>
      <c r="B810" t="s">
        <v>498</v>
      </c>
      <c r="C810" s="3">
        <v>50</v>
      </c>
      <c r="D810" s="1" t="s">
        <v>51</v>
      </c>
      <c r="E810" s="1" t="s">
        <v>25</v>
      </c>
      <c r="F810" s="1" t="s">
        <v>65</v>
      </c>
      <c r="G810" s="4">
        <v>45255</v>
      </c>
      <c r="H810" s="4">
        <v>45261</v>
      </c>
      <c r="I810" s="1" t="s">
        <v>85</v>
      </c>
      <c r="J810" s="1" t="s">
        <v>44</v>
      </c>
      <c r="K810" s="3">
        <v>2</v>
      </c>
      <c r="L810" s="2">
        <v>71445</v>
      </c>
      <c r="M810" s="3">
        <v>10</v>
      </c>
      <c r="N810" s="1" t="s">
        <v>166</v>
      </c>
      <c r="O810" s="1" t="s">
        <v>32</v>
      </c>
      <c r="P810" s="1" t="s">
        <v>174</v>
      </c>
      <c r="Q810" s="1" t="s">
        <v>500</v>
      </c>
      <c r="R810" s="1" t="s">
        <v>2563</v>
      </c>
      <c r="S810" s="3">
        <v>3</v>
      </c>
      <c r="T810" s="1" t="s">
        <v>36</v>
      </c>
      <c r="U810" s="3">
        <v>116</v>
      </c>
      <c r="V810" s="1" t="s">
        <v>79</v>
      </c>
      <c r="W810" s="5">
        <f>Table1[[#This Row],[Quantity]]*Table1[[#This Row],[Price]]*(1-Table1[[#This Row],[Discount %]]/100)</f>
        <v>128601</v>
      </c>
      <c r="X810">
        <f>Table1[[#This Row],[DeliveryDate]]-Table1[[#This Row],[OrderDate]]</f>
        <v>6</v>
      </c>
      <c r="Y810" t="str">
        <f>TEXT(Table1[[#This Row],[OrderDate]],"MMMM")</f>
        <v>November</v>
      </c>
      <c r="Z810" s="5">
        <f>YEAR(Table1[[#This Row],[OrderDate]])</f>
        <v>2023</v>
      </c>
    </row>
    <row r="811" spans="1:26" x14ac:dyDescent="0.3">
      <c r="A811" s="1" t="s">
        <v>2564</v>
      </c>
      <c r="B811" t="s">
        <v>361</v>
      </c>
      <c r="C811" s="3">
        <v>45</v>
      </c>
      <c r="D811" s="1" t="s">
        <v>24</v>
      </c>
      <c r="E811" s="1" t="s">
        <v>131</v>
      </c>
      <c r="F811" s="1" t="s">
        <v>53</v>
      </c>
      <c r="G811" s="4">
        <v>45157</v>
      </c>
      <c r="H811" s="4">
        <v>45167</v>
      </c>
      <c r="I811" s="1" t="s">
        <v>43</v>
      </c>
      <c r="J811" s="1" t="s">
        <v>30</v>
      </c>
      <c r="K811" s="3">
        <v>2</v>
      </c>
      <c r="L811" s="2">
        <v>70157</v>
      </c>
      <c r="M811" s="3">
        <v>10</v>
      </c>
      <c r="N811" s="1" t="s">
        <v>56</v>
      </c>
      <c r="O811" s="1" t="s">
        <v>46</v>
      </c>
      <c r="P811" s="1" t="s">
        <v>33</v>
      </c>
      <c r="Q811" s="1" t="s">
        <v>364</v>
      </c>
      <c r="R811" s="1" t="s">
        <v>2565</v>
      </c>
      <c r="S811" s="3">
        <v>5</v>
      </c>
      <c r="T811" s="1" t="s">
        <v>61</v>
      </c>
      <c r="U811" s="3">
        <v>386</v>
      </c>
      <c r="V811" s="1" t="s">
        <v>62</v>
      </c>
      <c r="W811" s="5">
        <f>Table1[[#This Row],[Quantity]]*Table1[[#This Row],[Price]]*(1-Table1[[#This Row],[Discount %]]/100)</f>
        <v>126282.6</v>
      </c>
      <c r="X811">
        <f>Table1[[#This Row],[DeliveryDate]]-Table1[[#This Row],[OrderDate]]</f>
        <v>10</v>
      </c>
      <c r="Y811" t="str">
        <f>TEXT(Table1[[#This Row],[OrderDate]],"MMMM")</f>
        <v>August</v>
      </c>
      <c r="Z811" s="5">
        <f>YEAR(Table1[[#This Row],[OrderDate]])</f>
        <v>2023</v>
      </c>
    </row>
    <row r="812" spans="1:26" x14ac:dyDescent="0.3">
      <c r="A812" s="1" t="s">
        <v>2566</v>
      </c>
      <c r="B812" t="s">
        <v>424</v>
      </c>
      <c r="C812" s="3">
        <v>51</v>
      </c>
      <c r="D812" s="1" t="s">
        <v>51</v>
      </c>
      <c r="E812" s="1" t="s">
        <v>25</v>
      </c>
      <c r="F812" s="1" t="s">
        <v>82</v>
      </c>
      <c r="G812" s="4">
        <v>45092</v>
      </c>
      <c r="H812" s="4">
        <v>45095</v>
      </c>
      <c r="I812" s="1" t="s">
        <v>93</v>
      </c>
      <c r="J812" s="1" t="s">
        <v>44</v>
      </c>
      <c r="K812" s="3">
        <v>3</v>
      </c>
      <c r="L812" s="2">
        <v>67680</v>
      </c>
      <c r="M812" s="3">
        <v>10</v>
      </c>
      <c r="N812" s="1" t="s">
        <v>56</v>
      </c>
      <c r="O812" s="1" t="s">
        <v>109</v>
      </c>
      <c r="P812" s="1" t="s">
        <v>58</v>
      </c>
      <c r="Q812" s="1" t="s">
        <v>427</v>
      </c>
      <c r="R812" s="1" t="s">
        <v>2567</v>
      </c>
      <c r="S812" s="3">
        <v>5</v>
      </c>
      <c r="T812" s="1" t="s">
        <v>61</v>
      </c>
      <c r="U812" s="3">
        <v>305</v>
      </c>
      <c r="V812" s="1" t="s">
        <v>62</v>
      </c>
      <c r="W812" s="5">
        <f>Table1[[#This Row],[Quantity]]*Table1[[#This Row],[Price]]*(1-Table1[[#This Row],[Discount %]]/100)</f>
        <v>182736</v>
      </c>
      <c r="X812">
        <f>Table1[[#This Row],[DeliveryDate]]-Table1[[#This Row],[OrderDate]]</f>
        <v>3</v>
      </c>
      <c r="Y812" t="str">
        <f>TEXT(Table1[[#This Row],[OrderDate]],"MMMM")</f>
        <v>June</v>
      </c>
      <c r="Z812" s="5">
        <f>YEAR(Table1[[#This Row],[OrderDate]])</f>
        <v>2023</v>
      </c>
    </row>
    <row r="813" spans="1:26" x14ac:dyDescent="0.3">
      <c r="A813" s="1" t="s">
        <v>2568</v>
      </c>
      <c r="B813" t="s">
        <v>119</v>
      </c>
      <c r="C813" s="3">
        <v>52</v>
      </c>
      <c r="D813" s="1" t="s">
        <v>51</v>
      </c>
      <c r="E813" s="1" t="s">
        <v>25</v>
      </c>
      <c r="F813" s="1" t="s">
        <v>26</v>
      </c>
      <c r="G813" s="4">
        <v>45569</v>
      </c>
      <c r="H813" s="4">
        <v>45576</v>
      </c>
      <c r="I813" s="1" t="s">
        <v>108</v>
      </c>
      <c r="J813" s="1" t="s">
        <v>44</v>
      </c>
      <c r="K813" s="3">
        <v>5</v>
      </c>
      <c r="L813" s="2">
        <v>40339</v>
      </c>
      <c r="M813" s="3">
        <v>10</v>
      </c>
      <c r="N813" s="1" t="s">
        <v>31</v>
      </c>
      <c r="O813" s="1" t="s">
        <v>46</v>
      </c>
      <c r="P813" s="1" t="s">
        <v>58</v>
      </c>
      <c r="Q813" s="1" t="s">
        <v>122</v>
      </c>
      <c r="R813" s="1" t="s">
        <v>2570</v>
      </c>
      <c r="S813" s="3">
        <v>4</v>
      </c>
      <c r="T813" s="1" t="s">
        <v>72</v>
      </c>
      <c r="U813" s="3">
        <v>125</v>
      </c>
      <c r="V813" s="1" t="s">
        <v>37</v>
      </c>
      <c r="W813" s="5">
        <f>Table1[[#This Row],[Quantity]]*Table1[[#This Row],[Price]]*(1-Table1[[#This Row],[Discount %]]/100)</f>
        <v>181525.5</v>
      </c>
      <c r="X813">
        <f>Table1[[#This Row],[DeliveryDate]]-Table1[[#This Row],[OrderDate]]</f>
        <v>7</v>
      </c>
      <c r="Y813" t="str">
        <f>TEXT(Table1[[#This Row],[OrderDate]],"MMMM")</f>
        <v>October</v>
      </c>
      <c r="Z813" s="5">
        <f>YEAR(Table1[[#This Row],[OrderDate]])</f>
        <v>2024</v>
      </c>
    </row>
    <row r="814" spans="1:26" x14ac:dyDescent="0.3">
      <c r="A814" s="1" t="s">
        <v>2571</v>
      </c>
      <c r="B814" t="s">
        <v>397</v>
      </c>
      <c r="C814" s="3">
        <v>47</v>
      </c>
      <c r="D814" s="1" t="s">
        <v>24</v>
      </c>
      <c r="E814" s="1" t="s">
        <v>229</v>
      </c>
      <c r="F814" s="1" t="s">
        <v>65</v>
      </c>
      <c r="G814" s="4">
        <v>44938</v>
      </c>
      <c r="H814" s="4">
        <v>44945</v>
      </c>
      <c r="I814" s="1" t="s">
        <v>93</v>
      </c>
      <c r="J814" s="1" t="s">
        <v>44</v>
      </c>
      <c r="K814" s="3">
        <v>5</v>
      </c>
      <c r="L814" s="2">
        <v>71406</v>
      </c>
      <c r="M814" s="3">
        <v>10</v>
      </c>
      <c r="N814" s="1" t="s">
        <v>45</v>
      </c>
      <c r="O814" s="1" t="s">
        <v>46</v>
      </c>
      <c r="P814" s="1" t="s">
        <v>174</v>
      </c>
      <c r="Q814" s="1" t="s">
        <v>400</v>
      </c>
      <c r="R814" s="1" t="s">
        <v>3415</v>
      </c>
      <c r="S814" s="3">
        <v>2</v>
      </c>
      <c r="T814" s="1" t="s">
        <v>72</v>
      </c>
      <c r="U814" s="3">
        <v>80</v>
      </c>
      <c r="V814" s="1" t="s">
        <v>79</v>
      </c>
      <c r="W814" s="5">
        <f>Table1[[#This Row],[Quantity]]*Table1[[#This Row],[Price]]*(1-Table1[[#This Row],[Discount %]]/100)</f>
        <v>321327</v>
      </c>
      <c r="X814">
        <f>Table1[[#This Row],[DeliveryDate]]-Table1[[#This Row],[OrderDate]]</f>
        <v>7</v>
      </c>
      <c r="Y814" t="str">
        <f>TEXT(Table1[[#This Row],[OrderDate]],"MMMM")</f>
        <v>January</v>
      </c>
      <c r="Z814" s="5">
        <f>YEAR(Table1[[#This Row],[OrderDate]])</f>
        <v>2023</v>
      </c>
    </row>
    <row r="815" spans="1:26" x14ac:dyDescent="0.3">
      <c r="A815" s="1" t="s">
        <v>2574</v>
      </c>
      <c r="B815" t="s">
        <v>484</v>
      </c>
      <c r="C815" s="3">
        <v>53</v>
      </c>
      <c r="D815" s="1" t="s">
        <v>51</v>
      </c>
      <c r="E815" s="1" t="s">
        <v>142</v>
      </c>
      <c r="F815" s="1" t="s">
        <v>91</v>
      </c>
      <c r="G815" s="4">
        <v>45308</v>
      </c>
      <c r="H815" s="4">
        <v>45310</v>
      </c>
      <c r="I815" s="1" t="s">
        <v>85</v>
      </c>
      <c r="J815" s="1" t="s">
        <v>44</v>
      </c>
      <c r="K815" s="3">
        <v>3</v>
      </c>
      <c r="L815" s="2">
        <v>35576</v>
      </c>
      <c r="M815" s="3">
        <v>5</v>
      </c>
      <c r="N815" s="1" t="s">
        <v>166</v>
      </c>
      <c r="O815" s="1" t="s">
        <v>86</v>
      </c>
      <c r="P815" s="1" t="s">
        <v>58</v>
      </c>
      <c r="Q815" s="1" t="s">
        <v>487</v>
      </c>
      <c r="R815" s="1" t="s">
        <v>2575</v>
      </c>
      <c r="S815" s="3">
        <v>5</v>
      </c>
      <c r="T815" s="1" t="s">
        <v>96</v>
      </c>
      <c r="U815" s="3">
        <v>417</v>
      </c>
      <c r="V815" s="1" t="s">
        <v>79</v>
      </c>
      <c r="W815" s="5">
        <f>Table1[[#This Row],[Quantity]]*Table1[[#This Row],[Price]]*(1-Table1[[#This Row],[Discount %]]/100)</f>
        <v>101391.59999999999</v>
      </c>
      <c r="X815">
        <f>Table1[[#This Row],[DeliveryDate]]-Table1[[#This Row],[OrderDate]]</f>
        <v>2</v>
      </c>
      <c r="Y815" t="str">
        <f>TEXT(Table1[[#This Row],[OrderDate]],"MMMM")</f>
        <v>January</v>
      </c>
      <c r="Z815" s="5">
        <f>YEAR(Table1[[#This Row],[OrderDate]])</f>
        <v>2024</v>
      </c>
    </row>
    <row r="816" spans="1:26" x14ac:dyDescent="0.3">
      <c r="A816" s="1" t="s">
        <v>2576</v>
      </c>
      <c r="B816" t="s">
        <v>125</v>
      </c>
      <c r="C816" s="3">
        <v>40</v>
      </c>
      <c r="D816" s="1" t="s">
        <v>51</v>
      </c>
      <c r="E816" s="1" t="s">
        <v>99</v>
      </c>
      <c r="F816" s="1" t="s">
        <v>53</v>
      </c>
      <c r="G816" s="4">
        <v>45189</v>
      </c>
      <c r="H816" s="4">
        <v>45192</v>
      </c>
      <c r="I816" s="1" t="s">
        <v>85</v>
      </c>
      <c r="J816" s="1" t="s">
        <v>30</v>
      </c>
      <c r="K816" s="3">
        <v>5</v>
      </c>
      <c r="L816" s="2">
        <v>58498</v>
      </c>
      <c r="M816" s="3">
        <v>0</v>
      </c>
      <c r="N816" s="1" t="s">
        <v>166</v>
      </c>
      <c r="O816" s="1" t="s">
        <v>68</v>
      </c>
      <c r="P816" s="1" t="s">
        <v>69</v>
      </c>
      <c r="Q816" s="1" t="s">
        <v>3415</v>
      </c>
      <c r="R816" s="1" t="s">
        <v>2578</v>
      </c>
      <c r="S816" s="3">
        <v>5</v>
      </c>
      <c r="T816" s="1" t="s">
        <v>72</v>
      </c>
      <c r="U816" s="3">
        <v>132</v>
      </c>
      <c r="V816" s="1" t="s">
        <v>37</v>
      </c>
      <c r="W816" s="5">
        <f>Table1[[#This Row],[Quantity]]*Table1[[#This Row],[Price]]*(1-Table1[[#This Row],[Discount %]]/100)</f>
        <v>292490</v>
      </c>
      <c r="X816">
        <f>Table1[[#This Row],[DeliveryDate]]-Table1[[#This Row],[OrderDate]]</f>
        <v>3</v>
      </c>
      <c r="Y816" t="str">
        <f>TEXT(Table1[[#This Row],[OrderDate]],"MMMM")</f>
        <v>September</v>
      </c>
      <c r="Z816" s="5">
        <f>YEAR(Table1[[#This Row],[OrderDate]])</f>
        <v>2023</v>
      </c>
    </row>
    <row r="817" spans="1:26" x14ac:dyDescent="0.3">
      <c r="A817" s="1" t="s">
        <v>2579</v>
      </c>
      <c r="B817" t="s">
        <v>547</v>
      </c>
      <c r="C817" s="3">
        <v>33</v>
      </c>
      <c r="D817" s="1" t="s">
        <v>24</v>
      </c>
      <c r="E817" s="1" t="s">
        <v>131</v>
      </c>
      <c r="F817" s="1" t="s">
        <v>26</v>
      </c>
      <c r="G817" s="4">
        <v>45205</v>
      </c>
      <c r="H817" s="4">
        <v>45212</v>
      </c>
      <c r="I817" s="1" t="s">
        <v>93</v>
      </c>
      <c r="J817" s="1" t="s">
        <v>44</v>
      </c>
      <c r="K817" s="3">
        <v>3</v>
      </c>
      <c r="L817" s="2">
        <v>30839</v>
      </c>
      <c r="M817" s="3">
        <v>0</v>
      </c>
      <c r="N817" s="1" t="s">
        <v>56</v>
      </c>
      <c r="O817" s="1" t="s">
        <v>46</v>
      </c>
      <c r="P817" s="1" t="s">
        <v>33</v>
      </c>
      <c r="Q817" s="1" t="s">
        <v>549</v>
      </c>
      <c r="R817" s="1" t="s">
        <v>2581</v>
      </c>
      <c r="S817" s="3">
        <v>5</v>
      </c>
      <c r="T817" s="1" t="s">
        <v>96</v>
      </c>
      <c r="U817" s="3">
        <v>88</v>
      </c>
      <c r="V817" s="1" t="s">
        <v>79</v>
      </c>
      <c r="W817" s="5">
        <f>Table1[[#This Row],[Quantity]]*Table1[[#This Row],[Price]]*(1-Table1[[#This Row],[Discount %]]/100)</f>
        <v>92517</v>
      </c>
      <c r="X817">
        <f>Table1[[#This Row],[DeliveryDate]]-Table1[[#This Row],[OrderDate]]</f>
        <v>7</v>
      </c>
      <c r="Y817" t="str">
        <f>TEXT(Table1[[#This Row],[OrderDate]],"MMMM")</f>
        <v>October</v>
      </c>
      <c r="Z817" s="5">
        <f>YEAR(Table1[[#This Row],[OrderDate]])</f>
        <v>2023</v>
      </c>
    </row>
    <row r="818" spans="1:26" x14ac:dyDescent="0.3">
      <c r="A818" s="1" t="s">
        <v>2582</v>
      </c>
      <c r="B818" t="s">
        <v>136</v>
      </c>
      <c r="C818" s="3">
        <v>60</v>
      </c>
      <c r="D818" s="1" t="s">
        <v>51</v>
      </c>
      <c r="E818" s="1" t="s">
        <v>52</v>
      </c>
      <c r="F818" s="1" t="s">
        <v>82</v>
      </c>
      <c r="G818" s="4">
        <v>45295</v>
      </c>
      <c r="H818" s="4">
        <v>45305</v>
      </c>
      <c r="I818" s="1" t="s">
        <v>43</v>
      </c>
      <c r="J818" s="1" t="s">
        <v>44</v>
      </c>
      <c r="K818" s="3">
        <v>3</v>
      </c>
      <c r="L818" s="2">
        <v>28698</v>
      </c>
      <c r="M818" s="3">
        <v>15</v>
      </c>
      <c r="N818" s="1" t="s">
        <v>31</v>
      </c>
      <c r="O818" s="1" t="s">
        <v>173</v>
      </c>
      <c r="P818" s="1" t="s">
        <v>69</v>
      </c>
      <c r="Q818" s="1" t="s">
        <v>269</v>
      </c>
      <c r="R818" s="1" t="s">
        <v>2584</v>
      </c>
      <c r="S818" s="3">
        <v>3</v>
      </c>
      <c r="T818" s="1" t="s">
        <v>61</v>
      </c>
      <c r="U818" s="3">
        <v>233</v>
      </c>
      <c r="V818" s="1" t="s">
        <v>79</v>
      </c>
      <c r="W818" s="5">
        <f>Table1[[#This Row],[Quantity]]*Table1[[#This Row],[Price]]*(1-Table1[[#This Row],[Discount %]]/100)</f>
        <v>73179.899999999994</v>
      </c>
      <c r="X818">
        <f>Table1[[#This Row],[DeliveryDate]]-Table1[[#This Row],[OrderDate]]</f>
        <v>10</v>
      </c>
      <c r="Y818" t="str">
        <f>TEXT(Table1[[#This Row],[OrderDate]],"MMMM")</f>
        <v>January</v>
      </c>
      <c r="Z818" s="5">
        <f>YEAR(Table1[[#This Row],[OrderDate]])</f>
        <v>2024</v>
      </c>
    </row>
    <row r="819" spans="1:26" x14ac:dyDescent="0.3">
      <c r="A819" s="1" t="s">
        <v>2585</v>
      </c>
      <c r="B819" t="s">
        <v>228</v>
      </c>
      <c r="C819" s="3">
        <v>44</v>
      </c>
      <c r="D819" s="1" t="s">
        <v>51</v>
      </c>
      <c r="E819" s="1" t="s">
        <v>25</v>
      </c>
      <c r="F819" s="1" t="s">
        <v>65</v>
      </c>
      <c r="G819" s="4">
        <v>45138</v>
      </c>
      <c r="H819" s="4">
        <v>45143</v>
      </c>
      <c r="I819" s="1" t="s">
        <v>43</v>
      </c>
      <c r="J819" s="1" t="s">
        <v>44</v>
      </c>
      <c r="K819" s="3">
        <v>4</v>
      </c>
      <c r="L819" s="2">
        <v>9115</v>
      </c>
      <c r="M819" s="3">
        <v>0</v>
      </c>
      <c r="N819" s="1" t="s">
        <v>31</v>
      </c>
      <c r="O819" s="1" t="s">
        <v>133</v>
      </c>
      <c r="P819" s="1" t="s">
        <v>69</v>
      </c>
      <c r="Q819" s="1" t="s">
        <v>232</v>
      </c>
      <c r="R819" s="1" t="s">
        <v>2586</v>
      </c>
      <c r="S819" s="3">
        <v>1</v>
      </c>
      <c r="T819" s="1" t="s">
        <v>96</v>
      </c>
      <c r="U819" s="3">
        <v>492</v>
      </c>
      <c r="V819" s="1" t="s">
        <v>79</v>
      </c>
      <c r="W819" s="5">
        <f>Table1[[#This Row],[Quantity]]*Table1[[#This Row],[Price]]*(1-Table1[[#This Row],[Discount %]]/100)</f>
        <v>36460</v>
      </c>
      <c r="X819">
        <f>Table1[[#This Row],[DeliveryDate]]-Table1[[#This Row],[OrderDate]]</f>
        <v>5</v>
      </c>
      <c r="Y819" t="str">
        <f>TEXT(Table1[[#This Row],[OrderDate]],"MMMM")</f>
        <v>July</v>
      </c>
      <c r="Z819" s="5">
        <f>YEAR(Table1[[#This Row],[OrderDate]])</f>
        <v>2023</v>
      </c>
    </row>
    <row r="820" spans="1:26" x14ac:dyDescent="0.3">
      <c r="A820" s="1" t="s">
        <v>2587</v>
      </c>
      <c r="B820" t="s">
        <v>74</v>
      </c>
      <c r="C820" s="3">
        <v>24</v>
      </c>
      <c r="D820" s="1" t="s">
        <v>24</v>
      </c>
      <c r="E820" s="1" t="s">
        <v>229</v>
      </c>
      <c r="F820" s="1" t="s">
        <v>53</v>
      </c>
      <c r="G820" s="4">
        <v>45580</v>
      </c>
      <c r="H820" s="4">
        <v>45583</v>
      </c>
      <c r="I820" s="1" t="s">
        <v>43</v>
      </c>
      <c r="J820" s="1" t="s">
        <v>30</v>
      </c>
      <c r="K820" s="3">
        <v>2</v>
      </c>
      <c r="L820" s="2">
        <v>29037</v>
      </c>
      <c r="M820" s="3">
        <v>10</v>
      </c>
      <c r="N820" s="1" t="s">
        <v>45</v>
      </c>
      <c r="O820" s="1" t="s">
        <v>133</v>
      </c>
      <c r="P820" s="1" t="s">
        <v>33</v>
      </c>
      <c r="Q820" s="1" t="s">
        <v>78</v>
      </c>
      <c r="R820" s="1" t="s">
        <v>3415</v>
      </c>
      <c r="S820" s="3">
        <v>2</v>
      </c>
      <c r="T820" s="1" t="s">
        <v>96</v>
      </c>
      <c r="U820" s="3">
        <v>105</v>
      </c>
      <c r="V820" s="1" t="s">
        <v>62</v>
      </c>
      <c r="W820" s="5">
        <f>Table1[[#This Row],[Quantity]]*Table1[[#This Row],[Price]]*(1-Table1[[#This Row],[Discount %]]/100)</f>
        <v>52266.6</v>
      </c>
      <c r="X820">
        <f>Table1[[#This Row],[DeliveryDate]]-Table1[[#This Row],[OrderDate]]</f>
        <v>3</v>
      </c>
      <c r="Y820" t="str">
        <f>TEXT(Table1[[#This Row],[OrderDate]],"MMMM")</f>
        <v>October</v>
      </c>
      <c r="Z820" s="5">
        <f>YEAR(Table1[[#This Row],[OrderDate]])</f>
        <v>2024</v>
      </c>
    </row>
    <row r="821" spans="1:26" x14ac:dyDescent="0.3">
      <c r="A821" s="1" t="s">
        <v>2588</v>
      </c>
      <c r="B821" t="s">
        <v>1396</v>
      </c>
      <c r="C821" s="3">
        <v>59</v>
      </c>
      <c r="D821" s="1" t="s">
        <v>24</v>
      </c>
      <c r="E821" s="1" t="s">
        <v>25</v>
      </c>
      <c r="F821" s="1" t="s">
        <v>91</v>
      </c>
      <c r="G821" s="4">
        <v>45145</v>
      </c>
      <c r="H821" s="4">
        <v>45150</v>
      </c>
      <c r="I821" s="1" t="s">
        <v>29</v>
      </c>
      <c r="J821" s="1" t="s">
        <v>30</v>
      </c>
      <c r="K821" s="3">
        <v>3</v>
      </c>
      <c r="L821" s="2">
        <v>29923</v>
      </c>
      <c r="M821" s="3">
        <v>15</v>
      </c>
      <c r="N821" s="1" t="s">
        <v>56</v>
      </c>
      <c r="O821" s="1" t="s">
        <v>109</v>
      </c>
      <c r="P821" s="1" t="s">
        <v>69</v>
      </c>
      <c r="Q821" s="1" t="s">
        <v>1397</v>
      </c>
      <c r="R821" s="1" t="s">
        <v>2589</v>
      </c>
      <c r="S821" s="3">
        <v>1</v>
      </c>
      <c r="T821" s="1" t="s">
        <v>36</v>
      </c>
      <c r="U821" s="3">
        <v>200</v>
      </c>
      <c r="V821" s="1" t="s">
        <v>37</v>
      </c>
      <c r="W821" s="5">
        <f>Table1[[#This Row],[Quantity]]*Table1[[#This Row],[Price]]*(1-Table1[[#This Row],[Discount %]]/100)</f>
        <v>76303.649999999994</v>
      </c>
      <c r="X821">
        <f>Table1[[#This Row],[DeliveryDate]]-Table1[[#This Row],[OrderDate]]</f>
        <v>5</v>
      </c>
      <c r="Y821" t="str">
        <f>TEXT(Table1[[#This Row],[OrderDate]],"MMMM")</f>
        <v>August</v>
      </c>
      <c r="Z821" s="5">
        <f>YEAR(Table1[[#This Row],[OrderDate]])</f>
        <v>2023</v>
      </c>
    </row>
    <row r="822" spans="1:26" x14ac:dyDescent="0.3">
      <c r="A822" s="1" t="s">
        <v>2590</v>
      </c>
      <c r="B822" t="s">
        <v>471</v>
      </c>
      <c r="C822" s="3">
        <v>49</v>
      </c>
      <c r="D822" s="1" t="s">
        <v>51</v>
      </c>
      <c r="E822" s="1" t="s">
        <v>52</v>
      </c>
      <c r="F822" s="1" t="s">
        <v>82</v>
      </c>
      <c r="G822" s="4">
        <v>45227</v>
      </c>
      <c r="H822" s="4">
        <v>45228</v>
      </c>
      <c r="I822" s="1" t="s">
        <v>108</v>
      </c>
      <c r="J822" s="1" t="s">
        <v>44</v>
      </c>
      <c r="K822" s="3">
        <v>2</v>
      </c>
      <c r="L822" s="2">
        <v>47908</v>
      </c>
      <c r="M822" s="3">
        <v>0</v>
      </c>
      <c r="N822" s="1" t="s">
        <v>31</v>
      </c>
      <c r="O822" s="1" t="s">
        <v>109</v>
      </c>
      <c r="P822" s="1" t="s">
        <v>69</v>
      </c>
      <c r="Q822" s="1" t="s">
        <v>495</v>
      </c>
      <c r="R822" s="1" t="s">
        <v>2592</v>
      </c>
      <c r="S822" s="3">
        <v>5</v>
      </c>
      <c r="T822" s="1" t="s">
        <v>61</v>
      </c>
      <c r="U822" s="3">
        <v>246</v>
      </c>
      <c r="V822" s="1" t="s">
        <v>37</v>
      </c>
      <c r="W822" s="5">
        <f>Table1[[#This Row],[Quantity]]*Table1[[#This Row],[Price]]*(1-Table1[[#This Row],[Discount %]]/100)</f>
        <v>95816</v>
      </c>
      <c r="X822">
        <f>Table1[[#This Row],[DeliveryDate]]-Table1[[#This Row],[OrderDate]]</f>
        <v>1</v>
      </c>
      <c r="Y822" t="str">
        <f>TEXT(Table1[[#This Row],[OrderDate]],"MMMM")</f>
        <v>October</v>
      </c>
      <c r="Z822" s="5">
        <f>YEAR(Table1[[#This Row],[OrderDate]])</f>
        <v>2023</v>
      </c>
    </row>
    <row r="823" spans="1:26" x14ac:dyDescent="0.3">
      <c r="A823" s="1" t="s">
        <v>2593</v>
      </c>
      <c r="B823" t="s">
        <v>650</v>
      </c>
      <c r="C823" s="3">
        <v>24</v>
      </c>
      <c r="D823" s="1" t="s">
        <v>51</v>
      </c>
      <c r="E823" s="1" t="s">
        <v>229</v>
      </c>
      <c r="F823" s="1" t="s">
        <v>53</v>
      </c>
      <c r="G823" s="4">
        <v>45378</v>
      </c>
      <c r="H823" s="4">
        <v>45388</v>
      </c>
      <c r="I823" s="1" t="s">
        <v>85</v>
      </c>
      <c r="J823" s="1" t="s">
        <v>44</v>
      </c>
      <c r="K823" s="3">
        <v>2</v>
      </c>
      <c r="L823" s="2">
        <v>42109.716287215415</v>
      </c>
      <c r="M823" s="3">
        <v>0</v>
      </c>
      <c r="N823" s="1" t="s">
        <v>56</v>
      </c>
      <c r="O823" s="1" t="s">
        <v>133</v>
      </c>
      <c r="P823" s="1" t="s">
        <v>58</v>
      </c>
      <c r="Q823" s="1" t="s">
        <v>653</v>
      </c>
      <c r="R823" s="1" t="s">
        <v>2594</v>
      </c>
      <c r="S823" s="3">
        <v>1</v>
      </c>
      <c r="T823" s="1" t="s">
        <v>61</v>
      </c>
      <c r="U823" s="3">
        <v>370</v>
      </c>
      <c r="V823" s="1" t="s">
        <v>37</v>
      </c>
      <c r="W823" s="5">
        <f>Table1[[#This Row],[Quantity]]*Table1[[#This Row],[Price]]*(1-Table1[[#This Row],[Discount %]]/100)</f>
        <v>84219.43257443083</v>
      </c>
      <c r="X823">
        <f>Table1[[#This Row],[DeliveryDate]]-Table1[[#This Row],[OrderDate]]</f>
        <v>10</v>
      </c>
      <c r="Y823" t="str">
        <f>TEXT(Table1[[#This Row],[OrderDate]],"MMMM")</f>
        <v>March</v>
      </c>
      <c r="Z823" s="5">
        <f>YEAR(Table1[[#This Row],[OrderDate]])</f>
        <v>2024</v>
      </c>
    </row>
    <row r="824" spans="1:26" x14ac:dyDescent="0.3">
      <c r="A824" s="1" t="s">
        <v>2595</v>
      </c>
      <c r="B824" t="s">
        <v>1008</v>
      </c>
      <c r="C824" s="3">
        <v>24</v>
      </c>
      <c r="D824" s="1" t="s">
        <v>24</v>
      </c>
      <c r="E824" s="1" t="s">
        <v>40</v>
      </c>
      <c r="F824" s="1" t="s">
        <v>91</v>
      </c>
      <c r="G824" s="4">
        <v>45485</v>
      </c>
      <c r="H824" s="4">
        <v>45490</v>
      </c>
      <c r="I824" s="1" t="s">
        <v>108</v>
      </c>
      <c r="J824" s="1" t="s">
        <v>44</v>
      </c>
      <c r="K824" s="3">
        <v>2.9447852760736195</v>
      </c>
      <c r="L824" s="2">
        <v>25984</v>
      </c>
      <c r="M824" s="3">
        <v>0</v>
      </c>
      <c r="N824" s="1" t="s">
        <v>166</v>
      </c>
      <c r="O824" s="1" t="s">
        <v>32</v>
      </c>
      <c r="P824" s="1" t="s">
        <v>174</v>
      </c>
      <c r="Q824" s="1" t="s">
        <v>1011</v>
      </c>
      <c r="R824" s="1" t="s">
        <v>2596</v>
      </c>
      <c r="S824" s="3">
        <v>5</v>
      </c>
      <c r="T824" s="1" t="s">
        <v>61</v>
      </c>
      <c r="U824" s="3">
        <v>213</v>
      </c>
      <c r="V824" s="1" t="s">
        <v>79</v>
      </c>
      <c r="W824" s="5">
        <f>Table1[[#This Row],[Quantity]]*Table1[[#This Row],[Price]]*(1-Table1[[#This Row],[Discount %]]/100)</f>
        <v>76517.300613496933</v>
      </c>
      <c r="X824">
        <f>Table1[[#This Row],[DeliveryDate]]-Table1[[#This Row],[OrderDate]]</f>
        <v>5</v>
      </c>
      <c r="Y824" t="str">
        <f>TEXT(Table1[[#This Row],[OrderDate]],"MMMM")</f>
        <v>July</v>
      </c>
      <c r="Z824" s="5">
        <f>YEAR(Table1[[#This Row],[OrderDate]])</f>
        <v>2024</v>
      </c>
    </row>
    <row r="825" spans="1:26" x14ac:dyDescent="0.3">
      <c r="A825" s="1" t="s">
        <v>2597</v>
      </c>
      <c r="B825" t="s">
        <v>39</v>
      </c>
      <c r="C825" s="3">
        <v>43</v>
      </c>
      <c r="D825" s="1" t="s">
        <v>51</v>
      </c>
      <c r="E825" s="1" t="s">
        <v>99</v>
      </c>
      <c r="F825" s="1" t="s">
        <v>82</v>
      </c>
      <c r="G825" s="4">
        <v>45031</v>
      </c>
      <c r="H825" s="4">
        <v>45033</v>
      </c>
      <c r="I825" s="1" t="s">
        <v>85</v>
      </c>
      <c r="J825" s="1" t="s">
        <v>30</v>
      </c>
      <c r="K825" s="3">
        <v>1</v>
      </c>
      <c r="L825" s="2">
        <v>65810</v>
      </c>
      <c r="M825" s="3">
        <v>0</v>
      </c>
      <c r="N825" s="1" t="s">
        <v>166</v>
      </c>
      <c r="O825" s="1" t="s">
        <v>46</v>
      </c>
      <c r="P825" s="1" t="s">
        <v>58</v>
      </c>
      <c r="Q825" s="1" t="s">
        <v>47</v>
      </c>
      <c r="R825" s="1" t="s">
        <v>2599</v>
      </c>
      <c r="S825" s="3">
        <v>3</v>
      </c>
      <c r="T825" s="1" t="s">
        <v>61</v>
      </c>
      <c r="U825" s="3">
        <v>241</v>
      </c>
      <c r="V825" s="1" t="s">
        <v>62</v>
      </c>
      <c r="W825" s="5">
        <f>Table1[[#This Row],[Quantity]]*Table1[[#This Row],[Price]]*(1-Table1[[#This Row],[Discount %]]/100)</f>
        <v>65810</v>
      </c>
      <c r="X825">
        <f>Table1[[#This Row],[DeliveryDate]]-Table1[[#This Row],[OrderDate]]</f>
        <v>2</v>
      </c>
      <c r="Y825" t="str">
        <f>TEXT(Table1[[#This Row],[OrderDate]],"MMMM")</f>
        <v>April</v>
      </c>
      <c r="Z825" s="5">
        <f>YEAR(Table1[[#This Row],[OrderDate]])</f>
        <v>2023</v>
      </c>
    </row>
    <row r="826" spans="1:26" x14ac:dyDescent="0.3">
      <c r="A826" s="1" t="s">
        <v>2600</v>
      </c>
      <c r="B826" t="s">
        <v>617</v>
      </c>
      <c r="C826" s="3">
        <v>45</v>
      </c>
      <c r="D826" s="1" t="s">
        <v>51</v>
      </c>
      <c r="E826" s="1" t="s">
        <v>25</v>
      </c>
      <c r="F826" s="1" t="s">
        <v>91</v>
      </c>
      <c r="G826" s="4">
        <v>45612</v>
      </c>
      <c r="H826" s="4">
        <v>45619</v>
      </c>
      <c r="I826" s="1" t="s">
        <v>29</v>
      </c>
      <c r="J826" s="1" t="s">
        <v>44</v>
      </c>
      <c r="K826" s="3">
        <v>5</v>
      </c>
      <c r="L826" s="2">
        <v>74544</v>
      </c>
      <c r="M826" s="3">
        <v>15</v>
      </c>
      <c r="N826" s="1" t="s">
        <v>45</v>
      </c>
      <c r="O826" s="1" t="s">
        <v>57</v>
      </c>
      <c r="P826" s="1" t="s">
        <v>33</v>
      </c>
      <c r="Q826" s="1" t="s">
        <v>620</v>
      </c>
      <c r="R826" s="1" t="s">
        <v>3415</v>
      </c>
      <c r="S826" s="3">
        <v>5</v>
      </c>
      <c r="T826" s="1" t="s">
        <v>96</v>
      </c>
      <c r="U826" s="3">
        <v>290</v>
      </c>
      <c r="V826" s="1" t="s">
        <v>62</v>
      </c>
      <c r="W826" s="5">
        <f>Table1[[#This Row],[Quantity]]*Table1[[#This Row],[Price]]*(1-Table1[[#This Row],[Discount %]]/100)</f>
        <v>316812</v>
      </c>
      <c r="X826">
        <f>Table1[[#This Row],[DeliveryDate]]-Table1[[#This Row],[OrderDate]]</f>
        <v>7</v>
      </c>
      <c r="Y826" t="str">
        <f>TEXT(Table1[[#This Row],[OrderDate]],"MMMM")</f>
        <v>November</v>
      </c>
      <c r="Z826" s="5">
        <f>YEAR(Table1[[#This Row],[OrderDate]])</f>
        <v>2024</v>
      </c>
    </row>
    <row r="827" spans="1:26" x14ac:dyDescent="0.3">
      <c r="A827" s="1" t="s">
        <v>2601</v>
      </c>
      <c r="B827" t="s">
        <v>689</v>
      </c>
      <c r="C827" s="3">
        <v>40</v>
      </c>
      <c r="D827" s="1" t="s">
        <v>51</v>
      </c>
      <c r="E827" s="1" t="s">
        <v>52</v>
      </c>
      <c r="F827" s="1" t="s">
        <v>26</v>
      </c>
      <c r="G827" s="4">
        <v>45055</v>
      </c>
      <c r="H827" s="4">
        <v>45065</v>
      </c>
      <c r="I827" s="1" t="s">
        <v>85</v>
      </c>
      <c r="J827" s="1" t="s">
        <v>30</v>
      </c>
      <c r="K827" s="3">
        <v>4</v>
      </c>
      <c r="L827" s="2">
        <v>38457</v>
      </c>
      <c r="M827" s="3">
        <v>5</v>
      </c>
      <c r="N827" s="1" t="s">
        <v>56</v>
      </c>
      <c r="O827" s="1" t="s">
        <v>281</v>
      </c>
      <c r="P827" s="1" t="s">
        <v>33</v>
      </c>
      <c r="Q827" s="1" t="s">
        <v>3415</v>
      </c>
      <c r="R827" s="1" t="s">
        <v>2602</v>
      </c>
      <c r="S827" s="3">
        <v>2</v>
      </c>
      <c r="T827" s="1" t="s">
        <v>61</v>
      </c>
      <c r="U827" s="3">
        <v>418</v>
      </c>
      <c r="V827" s="1" t="s">
        <v>79</v>
      </c>
      <c r="W827" s="5">
        <f>Table1[[#This Row],[Quantity]]*Table1[[#This Row],[Price]]*(1-Table1[[#This Row],[Discount %]]/100)</f>
        <v>146136.6</v>
      </c>
      <c r="X827">
        <f>Table1[[#This Row],[DeliveryDate]]-Table1[[#This Row],[OrderDate]]</f>
        <v>10</v>
      </c>
      <c r="Y827" t="str">
        <f>TEXT(Table1[[#This Row],[OrderDate]],"MMMM")</f>
        <v>May</v>
      </c>
      <c r="Z827" s="5">
        <f>YEAR(Table1[[#This Row],[OrderDate]])</f>
        <v>2023</v>
      </c>
    </row>
    <row r="828" spans="1:26" x14ac:dyDescent="0.3">
      <c r="A828" s="1" t="s">
        <v>2603</v>
      </c>
      <c r="B828" t="s">
        <v>216</v>
      </c>
      <c r="C828" s="3">
        <v>46</v>
      </c>
      <c r="D828" s="1" t="s">
        <v>51</v>
      </c>
      <c r="E828" s="1" t="s">
        <v>40</v>
      </c>
      <c r="F828" s="1" t="s">
        <v>82</v>
      </c>
      <c r="G828" s="4">
        <v>45042</v>
      </c>
      <c r="H828" s="4">
        <v>45048</v>
      </c>
      <c r="I828" s="1" t="s">
        <v>93</v>
      </c>
      <c r="J828" s="1" t="s">
        <v>30</v>
      </c>
      <c r="K828" s="3">
        <v>3</v>
      </c>
      <c r="L828" s="2">
        <v>20163</v>
      </c>
      <c r="M828" s="3">
        <v>15</v>
      </c>
      <c r="N828" s="1" t="s">
        <v>45</v>
      </c>
      <c r="O828" s="1" t="s">
        <v>109</v>
      </c>
      <c r="P828" s="1" t="s">
        <v>58</v>
      </c>
      <c r="Q828" s="1" t="s">
        <v>219</v>
      </c>
      <c r="R828" s="1" t="s">
        <v>2604</v>
      </c>
      <c r="S828" s="3">
        <v>5</v>
      </c>
      <c r="T828" s="1" t="s">
        <v>61</v>
      </c>
      <c r="U828" s="3">
        <v>436</v>
      </c>
      <c r="V828" s="1" t="s">
        <v>37</v>
      </c>
      <c r="W828" s="5">
        <f>Table1[[#This Row],[Quantity]]*Table1[[#This Row],[Price]]*(1-Table1[[#This Row],[Discount %]]/100)</f>
        <v>51415.65</v>
      </c>
      <c r="X828">
        <f>Table1[[#This Row],[DeliveryDate]]-Table1[[#This Row],[OrderDate]]</f>
        <v>6</v>
      </c>
      <c r="Y828" t="str">
        <f>TEXT(Table1[[#This Row],[OrderDate]],"MMMM")</f>
        <v>April</v>
      </c>
      <c r="Z828" s="5">
        <f>YEAR(Table1[[#This Row],[OrderDate]])</f>
        <v>2023</v>
      </c>
    </row>
    <row r="829" spans="1:26" x14ac:dyDescent="0.3">
      <c r="A829" s="1" t="s">
        <v>2605</v>
      </c>
      <c r="B829" t="s">
        <v>1008</v>
      </c>
      <c r="C829" s="3">
        <v>41</v>
      </c>
      <c r="D829" s="1" t="s">
        <v>51</v>
      </c>
      <c r="E829" s="1" t="s">
        <v>26</v>
      </c>
      <c r="F829" s="1" t="s">
        <v>82</v>
      </c>
      <c r="G829" s="4">
        <v>45442</v>
      </c>
      <c r="H829" s="4">
        <v>45443</v>
      </c>
      <c r="I829" s="1" t="s">
        <v>29</v>
      </c>
      <c r="J829" s="1" t="s">
        <v>30</v>
      </c>
      <c r="K829" s="3">
        <v>1</v>
      </c>
      <c r="L829" s="2">
        <v>40134</v>
      </c>
      <c r="M829" s="3">
        <v>5</v>
      </c>
      <c r="N829" s="1" t="s">
        <v>56</v>
      </c>
      <c r="O829" s="1" t="s">
        <v>86</v>
      </c>
      <c r="P829" s="1" t="s">
        <v>58</v>
      </c>
      <c r="Q829" s="1" t="s">
        <v>1011</v>
      </c>
      <c r="R829" s="1" t="s">
        <v>2606</v>
      </c>
      <c r="S829" s="3">
        <v>1</v>
      </c>
      <c r="T829" s="1" t="s">
        <v>96</v>
      </c>
      <c r="U829" s="3">
        <v>335</v>
      </c>
      <c r="V829" s="1" t="s">
        <v>79</v>
      </c>
      <c r="W829" s="5">
        <f>Table1[[#This Row],[Quantity]]*Table1[[#This Row],[Price]]*(1-Table1[[#This Row],[Discount %]]/100)</f>
        <v>38127.299999999996</v>
      </c>
      <c r="X829">
        <f>Table1[[#This Row],[DeliveryDate]]-Table1[[#This Row],[OrderDate]]</f>
        <v>1</v>
      </c>
      <c r="Y829" t="str">
        <f>TEXT(Table1[[#This Row],[OrderDate]],"MMMM")</f>
        <v>May</v>
      </c>
      <c r="Z829" s="5">
        <f>YEAR(Table1[[#This Row],[OrderDate]])</f>
        <v>2024</v>
      </c>
    </row>
    <row r="830" spans="1:26" x14ac:dyDescent="0.3">
      <c r="A830" s="1" t="s">
        <v>2607</v>
      </c>
      <c r="B830" t="s">
        <v>136</v>
      </c>
      <c r="C830" s="3">
        <v>40</v>
      </c>
      <c r="D830" s="1" t="s">
        <v>24</v>
      </c>
      <c r="E830" s="1" t="s">
        <v>131</v>
      </c>
      <c r="F830" s="1" t="s">
        <v>91</v>
      </c>
      <c r="G830" s="4">
        <v>45259</v>
      </c>
      <c r="H830" s="4">
        <v>45264</v>
      </c>
      <c r="I830" s="1" t="s">
        <v>29</v>
      </c>
      <c r="J830" s="1" t="s">
        <v>30</v>
      </c>
      <c r="K830" s="3">
        <v>2</v>
      </c>
      <c r="L830" s="2">
        <v>38584</v>
      </c>
      <c r="M830" s="3">
        <v>0</v>
      </c>
      <c r="N830" s="1" t="s">
        <v>56</v>
      </c>
      <c r="O830" s="1" t="s">
        <v>173</v>
      </c>
      <c r="P830" s="1" t="s">
        <v>33</v>
      </c>
      <c r="Q830" s="1" t="s">
        <v>269</v>
      </c>
      <c r="R830" s="1" t="s">
        <v>2609</v>
      </c>
      <c r="S830" s="3">
        <v>1</v>
      </c>
      <c r="T830" s="1" t="s">
        <v>72</v>
      </c>
      <c r="U830" s="3">
        <v>187</v>
      </c>
      <c r="V830" s="1" t="s">
        <v>62</v>
      </c>
      <c r="W830" s="5">
        <f>Table1[[#This Row],[Quantity]]*Table1[[#This Row],[Price]]*(1-Table1[[#This Row],[Discount %]]/100)</f>
        <v>77168</v>
      </c>
      <c r="X830">
        <f>Table1[[#This Row],[DeliveryDate]]-Table1[[#This Row],[OrderDate]]</f>
        <v>5</v>
      </c>
      <c r="Y830" t="str">
        <f>TEXT(Table1[[#This Row],[OrderDate]],"MMMM")</f>
        <v>November</v>
      </c>
      <c r="Z830" s="5">
        <f>YEAR(Table1[[#This Row],[OrderDate]])</f>
        <v>2023</v>
      </c>
    </row>
    <row r="831" spans="1:26" x14ac:dyDescent="0.3">
      <c r="A831" s="1" t="s">
        <v>2610</v>
      </c>
      <c r="B831" t="s">
        <v>702</v>
      </c>
      <c r="C831" s="3">
        <v>40</v>
      </c>
      <c r="D831" s="1" t="s">
        <v>51</v>
      </c>
      <c r="E831" s="1" t="s">
        <v>99</v>
      </c>
      <c r="F831" s="1" t="s">
        <v>26</v>
      </c>
      <c r="G831" s="4">
        <v>45117</v>
      </c>
      <c r="H831" s="4">
        <v>45123</v>
      </c>
      <c r="I831" s="1" t="s">
        <v>43</v>
      </c>
      <c r="J831" s="1" t="s">
        <v>44</v>
      </c>
      <c r="K831" s="3">
        <v>5</v>
      </c>
      <c r="L831" s="2">
        <v>54533</v>
      </c>
      <c r="M831" s="3">
        <v>0</v>
      </c>
      <c r="N831" s="1" t="s">
        <v>45</v>
      </c>
      <c r="O831" s="1" t="s">
        <v>133</v>
      </c>
      <c r="P831" s="1" t="s">
        <v>69</v>
      </c>
      <c r="Q831" s="1" t="s">
        <v>916</v>
      </c>
      <c r="R831" s="1" t="s">
        <v>3415</v>
      </c>
      <c r="S831" s="3">
        <v>1</v>
      </c>
      <c r="T831" s="1" t="s">
        <v>72</v>
      </c>
      <c r="U831" s="3">
        <v>240</v>
      </c>
      <c r="V831" s="1" t="s">
        <v>37</v>
      </c>
      <c r="W831" s="5">
        <f>Table1[[#This Row],[Quantity]]*Table1[[#This Row],[Price]]*(1-Table1[[#This Row],[Discount %]]/100)</f>
        <v>272665</v>
      </c>
      <c r="X831">
        <f>Table1[[#This Row],[DeliveryDate]]-Table1[[#This Row],[OrderDate]]</f>
        <v>6</v>
      </c>
      <c r="Y831" t="str">
        <f>TEXT(Table1[[#This Row],[OrderDate]],"MMMM")</f>
        <v>July</v>
      </c>
      <c r="Z831" s="5">
        <f>YEAR(Table1[[#This Row],[OrderDate]])</f>
        <v>2023</v>
      </c>
    </row>
    <row r="832" spans="1:26" x14ac:dyDescent="0.3">
      <c r="A832" s="1" t="s">
        <v>2611</v>
      </c>
      <c r="B832" t="s">
        <v>1396</v>
      </c>
      <c r="C832" s="3">
        <v>52</v>
      </c>
      <c r="D832" s="1" t="s">
        <v>24</v>
      </c>
      <c r="E832" s="1" t="s">
        <v>25</v>
      </c>
      <c r="F832" s="1" t="s">
        <v>91</v>
      </c>
      <c r="G832" s="4">
        <v>45440</v>
      </c>
      <c r="H832" s="4">
        <v>45445</v>
      </c>
      <c r="I832" s="1" t="s">
        <v>108</v>
      </c>
      <c r="J832" s="1" t="s">
        <v>44</v>
      </c>
      <c r="K832" s="3">
        <v>5</v>
      </c>
      <c r="L832" s="2">
        <v>74917</v>
      </c>
      <c r="M832" s="3">
        <v>5</v>
      </c>
      <c r="N832" s="1" t="s">
        <v>31</v>
      </c>
      <c r="O832" s="1" t="s">
        <v>173</v>
      </c>
      <c r="P832" s="1" t="s">
        <v>58</v>
      </c>
      <c r="Q832" s="1" t="s">
        <v>1397</v>
      </c>
      <c r="R832" s="1" t="s">
        <v>2613</v>
      </c>
      <c r="S832" s="3">
        <v>3</v>
      </c>
      <c r="T832" s="1" t="s">
        <v>61</v>
      </c>
      <c r="U832" s="3">
        <v>312</v>
      </c>
      <c r="V832" s="1" t="s">
        <v>37</v>
      </c>
      <c r="W832" s="5">
        <f>Table1[[#This Row],[Quantity]]*Table1[[#This Row],[Price]]*(1-Table1[[#This Row],[Discount %]]/100)</f>
        <v>355855.75</v>
      </c>
      <c r="X832">
        <f>Table1[[#This Row],[DeliveryDate]]-Table1[[#This Row],[OrderDate]]</f>
        <v>5</v>
      </c>
      <c r="Y832" t="str">
        <f>TEXT(Table1[[#This Row],[OrderDate]],"MMMM")</f>
        <v>May</v>
      </c>
      <c r="Z832" s="5">
        <f>YEAR(Table1[[#This Row],[OrderDate]])</f>
        <v>2024</v>
      </c>
    </row>
    <row r="833" spans="1:26" x14ac:dyDescent="0.3">
      <c r="A833" s="1" t="s">
        <v>2614</v>
      </c>
      <c r="B833" t="s">
        <v>461</v>
      </c>
      <c r="C833" s="3">
        <v>57</v>
      </c>
      <c r="D833" s="1" t="s">
        <v>24</v>
      </c>
      <c r="E833" s="1" t="s">
        <v>142</v>
      </c>
      <c r="F833" s="1" t="s">
        <v>65</v>
      </c>
      <c r="G833" s="4">
        <v>45371</v>
      </c>
      <c r="H833" s="4">
        <v>45376</v>
      </c>
      <c r="I833" s="1" t="s">
        <v>43</v>
      </c>
      <c r="J833" s="1" t="s">
        <v>44</v>
      </c>
      <c r="K833" s="3">
        <v>3</v>
      </c>
      <c r="L833" s="2">
        <v>66617</v>
      </c>
      <c r="M833" s="3">
        <v>10</v>
      </c>
      <c r="N833" s="1" t="s">
        <v>166</v>
      </c>
      <c r="O833" s="1" t="s">
        <v>102</v>
      </c>
      <c r="P833" s="1" t="s">
        <v>58</v>
      </c>
      <c r="Q833" s="1" t="s">
        <v>563</v>
      </c>
      <c r="R833" s="1" t="s">
        <v>2615</v>
      </c>
      <c r="S833" s="3">
        <v>3</v>
      </c>
      <c r="T833" s="1" t="s">
        <v>72</v>
      </c>
      <c r="U833" s="3">
        <v>365</v>
      </c>
      <c r="V833" s="1" t="s">
        <v>79</v>
      </c>
      <c r="W833" s="5">
        <f>Table1[[#This Row],[Quantity]]*Table1[[#This Row],[Price]]*(1-Table1[[#This Row],[Discount %]]/100)</f>
        <v>179865.9</v>
      </c>
      <c r="X833">
        <f>Table1[[#This Row],[DeliveryDate]]-Table1[[#This Row],[OrderDate]]</f>
        <v>5</v>
      </c>
      <c r="Y833" t="str">
        <f>TEXT(Table1[[#This Row],[OrderDate]],"MMMM")</f>
        <v>March</v>
      </c>
      <c r="Z833" s="5">
        <f>YEAR(Table1[[#This Row],[OrderDate]])</f>
        <v>2024</v>
      </c>
    </row>
    <row r="834" spans="1:26" x14ac:dyDescent="0.3">
      <c r="A834" s="1" t="s">
        <v>2616</v>
      </c>
      <c r="B834" t="s">
        <v>113</v>
      </c>
      <c r="C834" s="3">
        <v>57</v>
      </c>
      <c r="D834" s="1" t="s">
        <v>51</v>
      </c>
      <c r="E834" s="1" t="s">
        <v>40</v>
      </c>
      <c r="F834" s="1" t="s">
        <v>91</v>
      </c>
      <c r="G834" s="4">
        <v>45424</v>
      </c>
      <c r="H834" s="4">
        <v>45427</v>
      </c>
      <c r="I834" s="1" t="s">
        <v>29</v>
      </c>
      <c r="J834" s="1" t="s">
        <v>44</v>
      </c>
      <c r="K834" s="3">
        <v>1</v>
      </c>
      <c r="L834" s="2">
        <v>78036</v>
      </c>
      <c r="M834" s="3">
        <v>15</v>
      </c>
      <c r="N834" s="1" t="s">
        <v>45</v>
      </c>
      <c r="O834" s="1" t="s">
        <v>46</v>
      </c>
      <c r="P834" s="1" t="s">
        <v>33</v>
      </c>
      <c r="Q834" s="1" t="s">
        <v>116</v>
      </c>
      <c r="R834" s="1" t="s">
        <v>2618</v>
      </c>
      <c r="S834" s="3">
        <v>4</v>
      </c>
      <c r="T834" s="1" t="s">
        <v>36</v>
      </c>
      <c r="U834" s="3">
        <v>214</v>
      </c>
      <c r="V834" s="1" t="s">
        <v>37</v>
      </c>
      <c r="W834" s="5">
        <f>Table1[[#This Row],[Quantity]]*Table1[[#This Row],[Price]]*(1-Table1[[#This Row],[Discount %]]/100)</f>
        <v>66330.599999999991</v>
      </c>
      <c r="X834">
        <f>Table1[[#This Row],[DeliveryDate]]-Table1[[#This Row],[OrderDate]]</f>
        <v>3</v>
      </c>
      <c r="Y834" t="str">
        <f>TEXT(Table1[[#This Row],[OrderDate]],"MMMM")</f>
        <v>May</v>
      </c>
      <c r="Z834" s="5">
        <f>YEAR(Table1[[#This Row],[OrderDate]])</f>
        <v>2024</v>
      </c>
    </row>
    <row r="835" spans="1:26" x14ac:dyDescent="0.3">
      <c r="A835" s="1" t="s">
        <v>2619</v>
      </c>
      <c r="B835" t="s">
        <v>946</v>
      </c>
      <c r="C835" s="3">
        <v>53</v>
      </c>
      <c r="D835" s="1" t="s">
        <v>51</v>
      </c>
      <c r="E835" s="1" t="s">
        <v>99</v>
      </c>
      <c r="F835" s="1" t="s">
        <v>82</v>
      </c>
      <c r="G835" s="4">
        <v>45276</v>
      </c>
      <c r="H835" s="4">
        <v>45278</v>
      </c>
      <c r="I835" s="1" t="s">
        <v>93</v>
      </c>
      <c r="J835" s="1" t="s">
        <v>30</v>
      </c>
      <c r="K835" s="3">
        <v>2</v>
      </c>
      <c r="L835" s="2">
        <v>64597</v>
      </c>
      <c r="M835" s="3">
        <v>15</v>
      </c>
      <c r="N835" s="1" t="s">
        <v>31</v>
      </c>
      <c r="O835" s="1" t="s">
        <v>57</v>
      </c>
      <c r="P835" s="1" t="s">
        <v>58</v>
      </c>
      <c r="Q835" s="1" t="s">
        <v>983</v>
      </c>
      <c r="R835" s="1" t="s">
        <v>2620</v>
      </c>
      <c r="S835" s="3">
        <v>2</v>
      </c>
      <c r="T835" s="1" t="s">
        <v>72</v>
      </c>
      <c r="U835" s="3">
        <v>480</v>
      </c>
      <c r="V835" s="1" t="s">
        <v>79</v>
      </c>
      <c r="W835" s="5">
        <f>Table1[[#This Row],[Quantity]]*Table1[[#This Row],[Price]]*(1-Table1[[#This Row],[Discount %]]/100)</f>
        <v>109814.9</v>
      </c>
      <c r="X835">
        <f>Table1[[#This Row],[DeliveryDate]]-Table1[[#This Row],[OrderDate]]</f>
        <v>2</v>
      </c>
      <c r="Y835" t="str">
        <f>TEXT(Table1[[#This Row],[OrderDate]],"MMMM")</f>
        <v>December</v>
      </c>
      <c r="Z835" s="5">
        <f>YEAR(Table1[[#This Row],[OrderDate]])</f>
        <v>2023</v>
      </c>
    </row>
    <row r="836" spans="1:26" x14ac:dyDescent="0.3">
      <c r="A836" s="1" t="s">
        <v>2621</v>
      </c>
      <c r="B836" t="s">
        <v>707</v>
      </c>
      <c r="C836" s="3">
        <v>56</v>
      </c>
      <c r="D836" s="1" t="s">
        <v>24</v>
      </c>
      <c r="E836" s="1" t="s">
        <v>40</v>
      </c>
      <c r="F836" s="1" t="s">
        <v>65</v>
      </c>
      <c r="G836" s="4">
        <v>44954</v>
      </c>
      <c r="H836" s="4">
        <v>44961</v>
      </c>
      <c r="I836" s="1" t="s">
        <v>29</v>
      </c>
      <c r="J836" s="1" t="s">
        <v>44</v>
      </c>
      <c r="K836" s="3">
        <v>4</v>
      </c>
      <c r="L836" s="2">
        <v>21376</v>
      </c>
      <c r="M836" s="3">
        <v>5</v>
      </c>
      <c r="N836" s="1" t="s">
        <v>31</v>
      </c>
      <c r="O836" s="1" t="s">
        <v>102</v>
      </c>
      <c r="P836" s="1" t="s">
        <v>33</v>
      </c>
      <c r="Q836" s="1" t="s">
        <v>3415</v>
      </c>
      <c r="R836" s="1" t="s">
        <v>2622</v>
      </c>
      <c r="S836" s="3">
        <v>5</v>
      </c>
      <c r="T836" s="1" t="s">
        <v>36</v>
      </c>
      <c r="U836" s="3">
        <v>161</v>
      </c>
      <c r="V836" s="1" t="s">
        <v>79</v>
      </c>
      <c r="W836" s="5">
        <f>Table1[[#This Row],[Quantity]]*Table1[[#This Row],[Price]]*(1-Table1[[#This Row],[Discount %]]/100)</f>
        <v>81228.800000000003</v>
      </c>
      <c r="X836">
        <f>Table1[[#This Row],[DeliveryDate]]-Table1[[#This Row],[OrderDate]]</f>
        <v>7</v>
      </c>
      <c r="Y836" t="str">
        <f>TEXT(Table1[[#This Row],[OrderDate]],"MMMM")</f>
        <v>January</v>
      </c>
      <c r="Z836" s="5">
        <f>YEAR(Table1[[#This Row],[OrderDate]])</f>
        <v>2023</v>
      </c>
    </row>
    <row r="837" spans="1:26" x14ac:dyDescent="0.3">
      <c r="A837" s="1" t="s">
        <v>2623</v>
      </c>
      <c r="B837" t="s">
        <v>204</v>
      </c>
      <c r="C837" s="3">
        <v>42</v>
      </c>
      <c r="D837" s="1" t="s">
        <v>24</v>
      </c>
      <c r="E837" s="1" t="s">
        <v>25</v>
      </c>
      <c r="F837" s="1" t="s">
        <v>26</v>
      </c>
      <c r="G837" s="4">
        <v>45286</v>
      </c>
      <c r="H837" s="4">
        <v>45291</v>
      </c>
      <c r="I837" s="1" t="s">
        <v>108</v>
      </c>
      <c r="J837" s="1" t="s">
        <v>44</v>
      </c>
      <c r="K837" s="3">
        <v>2</v>
      </c>
      <c r="L837" s="2">
        <v>36110</v>
      </c>
      <c r="M837" s="3">
        <v>0</v>
      </c>
      <c r="N837" s="1" t="s">
        <v>56</v>
      </c>
      <c r="O837" s="1" t="s">
        <v>57</v>
      </c>
      <c r="P837" s="1" t="s">
        <v>69</v>
      </c>
      <c r="Q837" s="1" t="s">
        <v>207</v>
      </c>
      <c r="R837" s="1" t="s">
        <v>2625</v>
      </c>
      <c r="S837" s="3">
        <v>3</v>
      </c>
      <c r="T837" s="1" t="s">
        <v>61</v>
      </c>
      <c r="U837" s="3">
        <v>382</v>
      </c>
      <c r="V837" s="1" t="s">
        <v>37</v>
      </c>
      <c r="W837" s="5">
        <f>Table1[[#This Row],[Quantity]]*Table1[[#This Row],[Price]]*(1-Table1[[#This Row],[Discount %]]/100)</f>
        <v>72220</v>
      </c>
      <c r="X837">
        <f>Table1[[#This Row],[DeliveryDate]]-Table1[[#This Row],[OrderDate]]</f>
        <v>5</v>
      </c>
      <c r="Y837" t="str">
        <f>TEXT(Table1[[#This Row],[OrderDate]],"MMMM")</f>
        <v>December</v>
      </c>
      <c r="Z837" s="5">
        <f>YEAR(Table1[[#This Row],[OrderDate]])</f>
        <v>2023</v>
      </c>
    </row>
    <row r="838" spans="1:26" x14ac:dyDescent="0.3">
      <c r="A838" s="1" t="s">
        <v>2626</v>
      </c>
      <c r="B838" t="s">
        <v>222</v>
      </c>
      <c r="C838" s="3">
        <v>51</v>
      </c>
      <c r="D838" s="1" t="s">
        <v>51</v>
      </c>
      <c r="E838" s="1" t="s">
        <v>131</v>
      </c>
      <c r="F838" s="1" t="s">
        <v>26</v>
      </c>
      <c r="G838" s="4">
        <v>45557</v>
      </c>
      <c r="H838" s="4">
        <v>45566</v>
      </c>
      <c r="I838" s="1" t="s">
        <v>85</v>
      </c>
      <c r="J838" s="1" t="s">
        <v>30</v>
      </c>
      <c r="K838" s="3">
        <v>4</v>
      </c>
      <c r="L838" s="2">
        <v>29407</v>
      </c>
      <c r="M838" s="3">
        <v>15</v>
      </c>
      <c r="N838" s="1" t="s">
        <v>31</v>
      </c>
      <c r="O838" s="1" t="s">
        <v>68</v>
      </c>
      <c r="P838" s="1" t="s">
        <v>69</v>
      </c>
      <c r="Q838" s="1" t="s">
        <v>225</v>
      </c>
      <c r="R838" s="1" t="s">
        <v>2628</v>
      </c>
      <c r="S838" s="3">
        <v>4</v>
      </c>
      <c r="T838" s="1" t="s">
        <v>96</v>
      </c>
      <c r="U838" s="3">
        <v>396</v>
      </c>
      <c r="V838" s="1" t="s">
        <v>62</v>
      </c>
      <c r="W838" s="5">
        <f>Table1[[#This Row],[Quantity]]*Table1[[#This Row],[Price]]*(1-Table1[[#This Row],[Discount %]]/100)</f>
        <v>99983.8</v>
      </c>
      <c r="X838">
        <f>Table1[[#This Row],[DeliveryDate]]-Table1[[#This Row],[OrderDate]]</f>
        <v>9</v>
      </c>
      <c r="Y838" t="str">
        <f>TEXT(Table1[[#This Row],[OrderDate]],"MMMM")</f>
        <v>September</v>
      </c>
      <c r="Z838" s="5">
        <f>YEAR(Table1[[#This Row],[OrderDate]])</f>
        <v>2024</v>
      </c>
    </row>
    <row r="839" spans="1:26" x14ac:dyDescent="0.3">
      <c r="A839" s="1" t="s">
        <v>2629</v>
      </c>
      <c r="B839" t="s">
        <v>285</v>
      </c>
      <c r="C839" s="3">
        <v>52</v>
      </c>
      <c r="D839" s="1" t="s">
        <v>51</v>
      </c>
      <c r="E839" s="1" t="s">
        <v>131</v>
      </c>
      <c r="F839" s="1" t="s">
        <v>53</v>
      </c>
      <c r="G839" s="4">
        <v>45257</v>
      </c>
      <c r="H839" s="4">
        <v>45263</v>
      </c>
      <c r="I839" s="1" t="s">
        <v>85</v>
      </c>
      <c r="J839" s="1" t="s">
        <v>44</v>
      </c>
      <c r="K839" s="3">
        <v>2</v>
      </c>
      <c r="L839" s="2">
        <v>33750</v>
      </c>
      <c r="M839" s="3">
        <v>15</v>
      </c>
      <c r="N839" s="1" t="s">
        <v>56</v>
      </c>
      <c r="O839" s="1" t="s">
        <v>57</v>
      </c>
      <c r="P839" s="1" t="s">
        <v>58</v>
      </c>
      <c r="Q839" s="1" t="s">
        <v>300</v>
      </c>
      <c r="R839" s="1" t="s">
        <v>2631</v>
      </c>
      <c r="S839" s="3">
        <v>5</v>
      </c>
      <c r="T839" s="1" t="s">
        <v>61</v>
      </c>
      <c r="U839" s="3">
        <v>413</v>
      </c>
      <c r="V839" s="1" t="s">
        <v>62</v>
      </c>
      <c r="W839" s="5">
        <f>Table1[[#This Row],[Quantity]]*Table1[[#This Row],[Price]]*(1-Table1[[#This Row],[Discount %]]/100)</f>
        <v>57375</v>
      </c>
      <c r="X839">
        <f>Table1[[#This Row],[DeliveryDate]]-Table1[[#This Row],[OrderDate]]</f>
        <v>6</v>
      </c>
      <c r="Y839" t="str">
        <f>TEXT(Table1[[#This Row],[OrderDate]],"MMMM")</f>
        <v>November</v>
      </c>
      <c r="Z839" s="5">
        <f>YEAR(Table1[[#This Row],[OrderDate]])</f>
        <v>2023</v>
      </c>
    </row>
    <row r="840" spans="1:26" x14ac:dyDescent="0.3">
      <c r="A840" s="1" t="s">
        <v>2632</v>
      </c>
      <c r="B840" t="s">
        <v>440</v>
      </c>
      <c r="C840" s="3">
        <v>34</v>
      </c>
      <c r="D840" s="1" t="s">
        <v>24</v>
      </c>
      <c r="E840" s="1" t="s">
        <v>142</v>
      </c>
      <c r="F840" s="1" t="s">
        <v>82</v>
      </c>
      <c r="G840" s="4">
        <v>45424</v>
      </c>
      <c r="H840" s="4">
        <v>45427</v>
      </c>
      <c r="I840" s="1" t="s">
        <v>43</v>
      </c>
      <c r="J840" s="1" t="s">
        <v>44</v>
      </c>
      <c r="K840" s="3">
        <v>3</v>
      </c>
      <c r="L840" s="2">
        <v>60340</v>
      </c>
      <c r="M840" s="3">
        <v>15</v>
      </c>
      <c r="N840" s="1" t="s">
        <v>45</v>
      </c>
      <c r="O840" s="1" t="s">
        <v>57</v>
      </c>
      <c r="P840" s="1" t="s">
        <v>69</v>
      </c>
      <c r="Q840" s="1" t="s">
        <v>437</v>
      </c>
      <c r="R840" s="1" t="s">
        <v>2633</v>
      </c>
      <c r="S840" s="3">
        <v>3</v>
      </c>
      <c r="T840" s="1" t="s">
        <v>96</v>
      </c>
      <c r="U840" s="3">
        <v>374</v>
      </c>
      <c r="V840" s="1" t="s">
        <v>79</v>
      </c>
      <c r="W840" s="5">
        <f>Table1[[#This Row],[Quantity]]*Table1[[#This Row],[Price]]*(1-Table1[[#This Row],[Discount %]]/100)</f>
        <v>153867</v>
      </c>
      <c r="X840">
        <f>Table1[[#This Row],[DeliveryDate]]-Table1[[#This Row],[OrderDate]]</f>
        <v>3</v>
      </c>
      <c r="Y840" t="str">
        <f>TEXT(Table1[[#This Row],[OrderDate]],"MMMM")</f>
        <v>May</v>
      </c>
      <c r="Z840" s="5">
        <f>YEAR(Table1[[#This Row],[OrderDate]])</f>
        <v>2024</v>
      </c>
    </row>
    <row r="841" spans="1:26" x14ac:dyDescent="0.3">
      <c r="A841" s="1" t="s">
        <v>2634</v>
      </c>
      <c r="B841" t="s">
        <v>216</v>
      </c>
      <c r="C841" s="3">
        <v>20</v>
      </c>
      <c r="D841" s="1" t="s">
        <v>24</v>
      </c>
      <c r="E841" s="1" t="s">
        <v>142</v>
      </c>
      <c r="F841" s="1" t="s">
        <v>82</v>
      </c>
      <c r="G841" s="4">
        <v>45594</v>
      </c>
      <c r="H841" s="4">
        <v>45598</v>
      </c>
      <c r="I841" s="1" t="s">
        <v>77</v>
      </c>
      <c r="J841" s="1" t="s">
        <v>44</v>
      </c>
      <c r="K841" s="3">
        <v>2.9447852760736195</v>
      </c>
      <c r="L841" s="2">
        <v>41799</v>
      </c>
      <c r="M841" s="3">
        <v>10</v>
      </c>
      <c r="N841" s="1" t="s">
        <v>31</v>
      </c>
      <c r="O841" s="1" t="s">
        <v>102</v>
      </c>
      <c r="P841" s="1" t="s">
        <v>33</v>
      </c>
      <c r="Q841" s="1" t="s">
        <v>219</v>
      </c>
      <c r="R841" s="1" t="s">
        <v>2635</v>
      </c>
      <c r="S841" s="3">
        <v>2</v>
      </c>
      <c r="T841" s="1" t="s">
        <v>36</v>
      </c>
      <c r="U841" s="3">
        <v>345</v>
      </c>
      <c r="V841" s="1" t="s">
        <v>37</v>
      </c>
      <c r="W841" s="5">
        <f>Table1[[#This Row],[Quantity]]*Table1[[#This Row],[Price]]*(1-Table1[[#This Row],[Discount %]]/100)</f>
        <v>110780.17177914109</v>
      </c>
      <c r="X841">
        <f>Table1[[#This Row],[DeliveryDate]]-Table1[[#This Row],[OrderDate]]</f>
        <v>4</v>
      </c>
      <c r="Y841" t="str">
        <f>TEXT(Table1[[#This Row],[OrderDate]],"MMMM")</f>
        <v>October</v>
      </c>
      <c r="Z841" s="5">
        <f>YEAR(Table1[[#This Row],[OrderDate]])</f>
        <v>2024</v>
      </c>
    </row>
    <row r="842" spans="1:26" x14ac:dyDescent="0.3">
      <c r="A842" s="1" t="s">
        <v>2636</v>
      </c>
      <c r="B842" t="s">
        <v>617</v>
      </c>
      <c r="C842" s="3">
        <v>22</v>
      </c>
      <c r="D842" s="1" t="s">
        <v>24</v>
      </c>
      <c r="E842" s="1" t="s">
        <v>142</v>
      </c>
      <c r="F842" s="1" t="s">
        <v>26</v>
      </c>
      <c r="G842" s="4">
        <v>45549</v>
      </c>
      <c r="H842" s="4">
        <v>45557</v>
      </c>
      <c r="I842" s="1" t="s">
        <v>43</v>
      </c>
      <c r="J842" s="1" t="s">
        <v>30</v>
      </c>
      <c r="K842" s="3">
        <v>1</v>
      </c>
      <c r="L842" s="2">
        <v>48309</v>
      </c>
      <c r="M842" s="3">
        <v>10</v>
      </c>
      <c r="N842" s="1" t="s">
        <v>31</v>
      </c>
      <c r="O842" s="1" t="s">
        <v>173</v>
      </c>
      <c r="P842" s="1" t="s">
        <v>174</v>
      </c>
      <c r="Q842" s="1" t="s">
        <v>620</v>
      </c>
      <c r="R842" s="1" t="s">
        <v>2637</v>
      </c>
      <c r="S842" s="3">
        <v>4</v>
      </c>
      <c r="T842" s="1" t="s">
        <v>36</v>
      </c>
      <c r="U842" s="3">
        <v>422</v>
      </c>
      <c r="V842" s="1" t="s">
        <v>62</v>
      </c>
      <c r="W842" s="5">
        <f>Table1[[#This Row],[Quantity]]*Table1[[#This Row],[Price]]*(1-Table1[[#This Row],[Discount %]]/100)</f>
        <v>43478.1</v>
      </c>
      <c r="X842">
        <f>Table1[[#This Row],[DeliveryDate]]-Table1[[#This Row],[OrderDate]]</f>
        <v>8</v>
      </c>
      <c r="Y842" t="str">
        <f>TEXT(Table1[[#This Row],[OrderDate]],"MMMM")</f>
        <v>September</v>
      </c>
      <c r="Z842" s="5">
        <f>YEAR(Table1[[#This Row],[OrderDate]])</f>
        <v>2024</v>
      </c>
    </row>
    <row r="843" spans="1:26" x14ac:dyDescent="0.3">
      <c r="A843" s="1" t="s">
        <v>2638</v>
      </c>
      <c r="B843" t="s">
        <v>162</v>
      </c>
      <c r="C843" s="3">
        <v>28</v>
      </c>
      <c r="D843" s="1" t="s">
        <v>24</v>
      </c>
      <c r="E843" s="1" t="s">
        <v>26</v>
      </c>
      <c r="F843" s="1" t="s">
        <v>26</v>
      </c>
      <c r="G843" s="4">
        <v>45515</v>
      </c>
      <c r="H843" s="4">
        <v>45521</v>
      </c>
      <c r="I843" s="1" t="s">
        <v>108</v>
      </c>
      <c r="J843" s="1" t="s">
        <v>30</v>
      </c>
      <c r="K843" s="3">
        <v>3</v>
      </c>
      <c r="L843" s="2">
        <v>6391</v>
      </c>
      <c r="M843" s="3">
        <v>5</v>
      </c>
      <c r="N843" s="1" t="s">
        <v>45</v>
      </c>
      <c r="O843" s="1" t="s">
        <v>281</v>
      </c>
      <c r="P843" s="1" t="s">
        <v>58</v>
      </c>
      <c r="Q843" s="1" t="s">
        <v>167</v>
      </c>
      <c r="R843" s="1" t="s">
        <v>2639</v>
      </c>
      <c r="S843" s="3">
        <v>5</v>
      </c>
      <c r="T843" s="1" t="s">
        <v>96</v>
      </c>
      <c r="U843" s="3">
        <v>219</v>
      </c>
      <c r="V843" s="1" t="s">
        <v>37</v>
      </c>
      <c r="W843" s="5">
        <f>Table1[[#This Row],[Quantity]]*Table1[[#This Row],[Price]]*(1-Table1[[#This Row],[Discount %]]/100)</f>
        <v>18214.349999999999</v>
      </c>
      <c r="X843">
        <f>Table1[[#This Row],[DeliveryDate]]-Table1[[#This Row],[OrderDate]]</f>
        <v>6</v>
      </c>
      <c r="Y843" t="str">
        <f>TEXT(Table1[[#This Row],[OrderDate]],"MMMM")</f>
        <v>August</v>
      </c>
      <c r="Z843" s="5">
        <f>YEAR(Table1[[#This Row],[OrderDate]])</f>
        <v>2024</v>
      </c>
    </row>
    <row r="844" spans="1:26" x14ac:dyDescent="0.3">
      <c r="A844" s="1" t="s">
        <v>2640</v>
      </c>
      <c r="B844" t="s">
        <v>570</v>
      </c>
      <c r="C844" s="3">
        <v>59</v>
      </c>
      <c r="D844" s="1" t="s">
        <v>51</v>
      </c>
      <c r="E844" s="1" t="s">
        <v>25</v>
      </c>
      <c r="F844" s="1" t="s">
        <v>53</v>
      </c>
      <c r="G844" s="4">
        <v>45504</v>
      </c>
      <c r="H844" s="4">
        <v>45511</v>
      </c>
      <c r="I844" s="1" t="s">
        <v>77</v>
      </c>
      <c r="J844" s="1" t="s">
        <v>44</v>
      </c>
      <c r="K844" s="3">
        <v>3</v>
      </c>
      <c r="L844" s="2">
        <v>10255</v>
      </c>
      <c r="M844" s="3">
        <v>5</v>
      </c>
      <c r="N844" s="1" t="s">
        <v>31</v>
      </c>
      <c r="O844" s="1" t="s">
        <v>133</v>
      </c>
      <c r="P844" s="1" t="s">
        <v>58</v>
      </c>
      <c r="Q844" s="1" t="s">
        <v>573</v>
      </c>
      <c r="R844" s="1" t="s">
        <v>2641</v>
      </c>
      <c r="S844" s="3">
        <v>2</v>
      </c>
      <c r="T844" s="1" t="s">
        <v>96</v>
      </c>
      <c r="U844" s="3">
        <v>480</v>
      </c>
      <c r="V844" s="1" t="s">
        <v>62</v>
      </c>
      <c r="W844" s="5">
        <f>Table1[[#This Row],[Quantity]]*Table1[[#This Row],[Price]]*(1-Table1[[#This Row],[Discount %]]/100)</f>
        <v>29226.75</v>
      </c>
      <c r="X844">
        <f>Table1[[#This Row],[DeliveryDate]]-Table1[[#This Row],[OrderDate]]</f>
        <v>7</v>
      </c>
      <c r="Y844" t="str">
        <f>TEXT(Table1[[#This Row],[OrderDate]],"MMMM")</f>
        <v>July</v>
      </c>
      <c r="Z844" s="5">
        <f>YEAR(Table1[[#This Row],[OrderDate]])</f>
        <v>2024</v>
      </c>
    </row>
    <row r="845" spans="1:26" x14ac:dyDescent="0.3">
      <c r="A845" s="1" t="s">
        <v>2642</v>
      </c>
      <c r="B845" t="s">
        <v>702</v>
      </c>
      <c r="C845" s="3">
        <v>54</v>
      </c>
      <c r="D845" s="1" t="s">
        <v>51</v>
      </c>
      <c r="E845" s="1" t="s">
        <v>25</v>
      </c>
      <c r="F845" s="1" t="s">
        <v>53</v>
      </c>
      <c r="G845" s="4">
        <v>45413</v>
      </c>
      <c r="H845" s="4">
        <v>45418</v>
      </c>
      <c r="I845" s="1" t="s">
        <v>108</v>
      </c>
      <c r="J845" s="1" t="s">
        <v>44</v>
      </c>
      <c r="K845" s="3">
        <v>2.9447852760736195</v>
      </c>
      <c r="L845" s="2">
        <v>62022</v>
      </c>
      <c r="M845" s="3">
        <v>15</v>
      </c>
      <c r="N845" s="1" t="s">
        <v>45</v>
      </c>
      <c r="O845" s="1" t="s">
        <v>86</v>
      </c>
      <c r="P845" s="1" t="s">
        <v>69</v>
      </c>
      <c r="Q845" s="1" t="s">
        <v>916</v>
      </c>
      <c r="R845" s="1" t="s">
        <v>2644</v>
      </c>
      <c r="S845" s="3">
        <v>4</v>
      </c>
      <c r="T845" s="1" t="s">
        <v>36</v>
      </c>
      <c r="U845" s="3">
        <v>380</v>
      </c>
      <c r="V845" s="1" t="s">
        <v>62</v>
      </c>
      <c r="W845" s="5">
        <f>Table1[[#This Row],[Quantity]]*Table1[[#This Row],[Price]]*(1-Table1[[#This Row],[Discount %]]/100)</f>
        <v>155245.25153374232</v>
      </c>
      <c r="X845">
        <f>Table1[[#This Row],[DeliveryDate]]-Table1[[#This Row],[OrderDate]]</f>
        <v>5</v>
      </c>
      <c r="Y845" t="str">
        <f>TEXT(Table1[[#This Row],[OrderDate]],"MMMM")</f>
        <v>May</v>
      </c>
      <c r="Z845" s="5">
        <f>YEAR(Table1[[#This Row],[OrderDate]])</f>
        <v>2024</v>
      </c>
    </row>
    <row r="846" spans="1:26" x14ac:dyDescent="0.3">
      <c r="A846" s="1" t="s">
        <v>2645</v>
      </c>
      <c r="B846" t="s">
        <v>309</v>
      </c>
      <c r="C846" s="3">
        <v>32</v>
      </c>
      <c r="D846" s="1" t="s">
        <v>24</v>
      </c>
      <c r="E846" s="1" t="s">
        <v>99</v>
      </c>
      <c r="F846" s="1" t="s">
        <v>53</v>
      </c>
      <c r="G846" s="4">
        <v>45119</v>
      </c>
      <c r="H846" s="4">
        <v>45120</v>
      </c>
      <c r="I846" s="1" t="s">
        <v>29</v>
      </c>
      <c r="J846" s="1" t="s">
        <v>30</v>
      </c>
      <c r="K846" s="3">
        <v>5</v>
      </c>
      <c r="L846" s="2">
        <v>77688</v>
      </c>
      <c r="M846" s="3">
        <v>0</v>
      </c>
      <c r="N846" s="1" t="s">
        <v>56</v>
      </c>
      <c r="O846" s="1" t="s">
        <v>32</v>
      </c>
      <c r="P846" s="1" t="s">
        <v>174</v>
      </c>
      <c r="Q846" s="1" t="s">
        <v>312</v>
      </c>
      <c r="R846" s="1" t="s">
        <v>2646</v>
      </c>
      <c r="S846" s="3">
        <v>4</v>
      </c>
      <c r="T846" s="1" t="s">
        <v>72</v>
      </c>
      <c r="U846" s="3">
        <v>211</v>
      </c>
      <c r="V846" s="1" t="s">
        <v>79</v>
      </c>
      <c r="W846" s="5">
        <f>Table1[[#This Row],[Quantity]]*Table1[[#This Row],[Price]]*(1-Table1[[#This Row],[Discount %]]/100)</f>
        <v>388440</v>
      </c>
      <c r="X846">
        <f>Table1[[#This Row],[DeliveryDate]]-Table1[[#This Row],[OrderDate]]</f>
        <v>1</v>
      </c>
      <c r="Y846" t="str">
        <f>TEXT(Table1[[#This Row],[OrderDate]],"MMMM")</f>
        <v>July</v>
      </c>
      <c r="Z846" s="5">
        <f>YEAR(Table1[[#This Row],[OrderDate]])</f>
        <v>2023</v>
      </c>
    </row>
    <row r="847" spans="1:26" x14ac:dyDescent="0.3">
      <c r="A847" s="1" t="s">
        <v>2647</v>
      </c>
      <c r="B847" t="s">
        <v>156</v>
      </c>
      <c r="C847" s="3">
        <v>58</v>
      </c>
      <c r="D847" s="1" t="s">
        <v>24</v>
      </c>
      <c r="E847" s="1" t="s">
        <v>229</v>
      </c>
      <c r="F847" s="1" t="s">
        <v>65</v>
      </c>
      <c r="G847" s="4">
        <v>45063</v>
      </c>
      <c r="H847" s="4">
        <v>45072</v>
      </c>
      <c r="I847" s="1" t="s">
        <v>93</v>
      </c>
      <c r="J847" s="1" t="s">
        <v>44</v>
      </c>
      <c r="K847" s="3">
        <v>2</v>
      </c>
      <c r="L847" s="2">
        <v>5532</v>
      </c>
      <c r="M847" s="3">
        <v>0</v>
      </c>
      <c r="N847" s="1" t="s">
        <v>45</v>
      </c>
      <c r="O847" s="1" t="s">
        <v>57</v>
      </c>
      <c r="P847" s="1" t="s">
        <v>69</v>
      </c>
      <c r="Q847" s="1" t="s">
        <v>159</v>
      </c>
      <c r="R847" s="1" t="s">
        <v>2648</v>
      </c>
      <c r="S847" s="3">
        <v>5</v>
      </c>
      <c r="T847" s="1" t="s">
        <v>61</v>
      </c>
      <c r="U847" s="3">
        <v>430</v>
      </c>
      <c r="V847" s="1" t="s">
        <v>37</v>
      </c>
      <c r="W847" s="5">
        <f>Table1[[#This Row],[Quantity]]*Table1[[#This Row],[Price]]*(1-Table1[[#This Row],[Discount %]]/100)</f>
        <v>11064</v>
      </c>
      <c r="X847">
        <f>Table1[[#This Row],[DeliveryDate]]-Table1[[#This Row],[OrderDate]]</f>
        <v>9</v>
      </c>
      <c r="Y847" t="str">
        <f>TEXT(Table1[[#This Row],[OrderDate]],"MMMM")</f>
        <v>May</v>
      </c>
      <c r="Z847" s="5">
        <f>YEAR(Table1[[#This Row],[OrderDate]])</f>
        <v>2023</v>
      </c>
    </row>
    <row r="848" spans="1:26" x14ac:dyDescent="0.3">
      <c r="A848" s="1" t="s">
        <v>2649</v>
      </c>
      <c r="B848" t="s">
        <v>637</v>
      </c>
      <c r="C848" s="3">
        <v>24</v>
      </c>
      <c r="D848" s="1" t="s">
        <v>24</v>
      </c>
      <c r="E848" s="1" t="s">
        <v>131</v>
      </c>
      <c r="F848" s="1" t="s">
        <v>65</v>
      </c>
      <c r="G848" s="4">
        <v>45031</v>
      </c>
      <c r="H848" s="4">
        <v>45038</v>
      </c>
      <c r="I848" s="1" t="s">
        <v>77</v>
      </c>
      <c r="J848" s="1" t="s">
        <v>44</v>
      </c>
      <c r="K848" s="3">
        <v>2</v>
      </c>
      <c r="L848" s="2">
        <v>8237</v>
      </c>
      <c r="M848" s="3">
        <v>0</v>
      </c>
      <c r="N848" s="1" t="s">
        <v>56</v>
      </c>
      <c r="O848" s="1" t="s">
        <v>46</v>
      </c>
      <c r="P848" s="1" t="s">
        <v>69</v>
      </c>
      <c r="Q848" s="1" t="s">
        <v>2248</v>
      </c>
      <c r="R848" s="1" t="s">
        <v>2650</v>
      </c>
      <c r="S848" s="3">
        <v>2</v>
      </c>
      <c r="T848" s="1" t="s">
        <v>36</v>
      </c>
      <c r="U848" s="3">
        <v>105</v>
      </c>
      <c r="V848" s="1" t="s">
        <v>79</v>
      </c>
      <c r="W848" s="5">
        <f>Table1[[#This Row],[Quantity]]*Table1[[#This Row],[Price]]*(1-Table1[[#This Row],[Discount %]]/100)</f>
        <v>16474</v>
      </c>
      <c r="X848">
        <f>Table1[[#This Row],[DeliveryDate]]-Table1[[#This Row],[OrderDate]]</f>
        <v>7</v>
      </c>
      <c r="Y848" t="str">
        <f>TEXT(Table1[[#This Row],[OrderDate]],"MMMM")</f>
        <v>April</v>
      </c>
      <c r="Z848" s="5">
        <f>YEAR(Table1[[#This Row],[OrderDate]])</f>
        <v>2023</v>
      </c>
    </row>
    <row r="849" spans="1:26" x14ac:dyDescent="0.3">
      <c r="A849" s="1" t="s">
        <v>2651</v>
      </c>
      <c r="B849" t="s">
        <v>461</v>
      </c>
      <c r="C849" s="3">
        <v>34</v>
      </c>
      <c r="D849" s="1" t="s">
        <v>24</v>
      </c>
      <c r="E849" s="1" t="s">
        <v>25</v>
      </c>
      <c r="F849" s="1" t="s">
        <v>26</v>
      </c>
      <c r="G849" s="4">
        <v>45222</v>
      </c>
      <c r="H849" s="4">
        <v>45226</v>
      </c>
      <c r="I849" s="1" t="s">
        <v>43</v>
      </c>
      <c r="J849" s="1" t="s">
        <v>44</v>
      </c>
      <c r="K849" s="3">
        <v>4</v>
      </c>
      <c r="L849" s="2">
        <v>54377</v>
      </c>
      <c r="M849" s="3">
        <v>5</v>
      </c>
      <c r="N849" s="1" t="s">
        <v>166</v>
      </c>
      <c r="O849" s="1" t="s">
        <v>281</v>
      </c>
      <c r="P849" s="1" t="s">
        <v>174</v>
      </c>
      <c r="Q849" s="1" t="s">
        <v>563</v>
      </c>
      <c r="R849" s="1" t="s">
        <v>2653</v>
      </c>
      <c r="S849" s="3">
        <v>2</v>
      </c>
      <c r="T849" s="1" t="s">
        <v>36</v>
      </c>
      <c r="U849" s="3">
        <v>316</v>
      </c>
      <c r="V849" s="1" t="s">
        <v>37</v>
      </c>
      <c r="W849" s="5">
        <f>Table1[[#This Row],[Quantity]]*Table1[[#This Row],[Price]]*(1-Table1[[#This Row],[Discount %]]/100)</f>
        <v>206632.59999999998</v>
      </c>
      <c r="X849">
        <f>Table1[[#This Row],[DeliveryDate]]-Table1[[#This Row],[OrderDate]]</f>
        <v>4</v>
      </c>
      <c r="Y849" t="str">
        <f>TEXT(Table1[[#This Row],[OrderDate]],"MMMM")</f>
        <v>October</v>
      </c>
      <c r="Z849" s="5">
        <f>YEAR(Table1[[#This Row],[OrderDate]])</f>
        <v>2023</v>
      </c>
    </row>
    <row r="850" spans="1:26" x14ac:dyDescent="0.3">
      <c r="A850" s="1" t="s">
        <v>2654</v>
      </c>
      <c r="B850" t="s">
        <v>484</v>
      </c>
      <c r="C850" s="3">
        <v>57</v>
      </c>
      <c r="D850" s="1" t="s">
        <v>24</v>
      </c>
      <c r="E850" s="1" t="s">
        <v>52</v>
      </c>
      <c r="F850" s="1" t="s">
        <v>91</v>
      </c>
      <c r="G850" s="4">
        <v>44994</v>
      </c>
      <c r="H850" s="4">
        <v>45002</v>
      </c>
      <c r="I850" s="1" t="s">
        <v>93</v>
      </c>
      <c r="J850" s="1" t="s">
        <v>30</v>
      </c>
      <c r="K850" s="3">
        <v>2</v>
      </c>
      <c r="L850" s="2">
        <v>13564</v>
      </c>
      <c r="M850" s="3">
        <v>0</v>
      </c>
      <c r="N850" s="1" t="s">
        <v>56</v>
      </c>
      <c r="O850" s="1" t="s">
        <v>86</v>
      </c>
      <c r="P850" s="1" t="s">
        <v>33</v>
      </c>
      <c r="Q850" s="1" t="s">
        <v>3415</v>
      </c>
      <c r="R850" s="1" t="s">
        <v>2655</v>
      </c>
      <c r="S850" s="3">
        <v>3</v>
      </c>
      <c r="T850" s="1" t="s">
        <v>36</v>
      </c>
      <c r="U850" s="3">
        <v>284</v>
      </c>
      <c r="V850" s="1" t="s">
        <v>62</v>
      </c>
      <c r="W850" s="5">
        <f>Table1[[#This Row],[Quantity]]*Table1[[#This Row],[Price]]*(1-Table1[[#This Row],[Discount %]]/100)</f>
        <v>27128</v>
      </c>
      <c r="X850">
        <f>Table1[[#This Row],[DeliveryDate]]-Table1[[#This Row],[OrderDate]]</f>
        <v>8</v>
      </c>
      <c r="Y850" t="str">
        <f>TEXT(Table1[[#This Row],[OrderDate]],"MMMM")</f>
        <v>March</v>
      </c>
      <c r="Z850" s="5">
        <f>YEAR(Table1[[#This Row],[OrderDate]])</f>
        <v>2023</v>
      </c>
    </row>
    <row r="851" spans="1:26" x14ac:dyDescent="0.3">
      <c r="A851" s="1" t="s">
        <v>2656</v>
      </c>
      <c r="B851" t="s">
        <v>125</v>
      </c>
      <c r="C851" s="3">
        <v>54</v>
      </c>
      <c r="D851" s="1" t="s">
        <v>24</v>
      </c>
      <c r="E851" s="1" t="s">
        <v>142</v>
      </c>
      <c r="F851" s="1" t="s">
        <v>53</v>
      </c>
      <c r="G851" s="4">
        <v>44973</v>
      </c>
      <c r="H851" s="4">
        <v>44980</v>
      </c>
      <c r="I851" s="1" t="s">
        <v>43</v>
      </c>
      <c r="J851" s="1" t="s">
        <v>44</v>
      </c>
      <c r="K851" s="3">
        <v>3</v>
      </c>
      <c r="L851" s="2">
        <v>34921</v>
      </c>
      <c r="M851" s="3">
        <v>5</v>
      </c>
      <c r="N851" s="1" t="s">
        <v>31</v>
      </c>
      <c r="O851" s="1" t="s">
        <v>57</v>
      </c>
      <c r="P851" s="1" t="s">
        <v>174</v>
      </c>
      <c r="Q851" s="1" t="s">
        <v>756</v>
      </c>
      <c r="R851" s="1" t="s">
        <v>2659</v>
      </c>
      <c r="S851" s="3">
        <v>2</v>
      </c>
      <c r="T851" s="1" t="s">
        <v>36</v>
      </c>
      <c r="U851" s="3">
        <v>243</v>
      </c>
      <c r="V851" s="1" t="s">
        <v>37</v>
      </c>
      <c r="W851" s="5">
        <f>Table1[[#This Row],[Quantity]]*Table1[[#This Row],[Price]]*(1-Table1[[#This Row],[Discount %]]/100)</f>
        <v>99524.849999999991</v>
      </c>
      <c r="X851">
        <f>Table1[[#This Row],[DeliveryDate]]-Table1[[#This Row],[OrderDate]]</f>
        <v>7</v>
      </c>
      <c r="Y851" t="str">
        <f>TEXT(Table1[[#This Row],[OrderDate]],"MMMM")</f>
        <v>February</v>
      </c>
      <c r="Z851" s="5">
        <f>YEAR(Table1[[#This Row],[OrderDate]])</f>
        <v>2023</v>
      </c>
    </row>
    <row r="852" spans="1:26" x14ac:dyDescent="0.3">
      <c r="A852" s="1" t="s">
        <v>2660</v>
      </c>
      <c r="B852" t="s">
        <v>170</v>
      </c>
      <c r="C852" s="3">
        <v>57</v>
      </c>
      <c r="D852" s="1" t="s">
        <v>24</v>
      </c>
      <c r="E852" s="1" t="s">
        <v>229</v>
      </c>
      <c r="F852" s="1" t="s">
        <v>65</v>
      </c>
      <c r="G852" s="4">
        <v>45522</v>
      </c>
      <c r="H852" s="4">
        <v>45530</v>
      </c>
      <c r="I852" s="1" t="s">
        <v>77</v>
      </c>
      <c r="J852" s="1" t="s">
        <v>30</v>
      </c>
      <c r="K852" s="3">
        <v>5</v>
      </c>
      <c r="L852" s="2">
        <v>12459</v>
      </c>
      <c r="M852" s="3">
        <v>10</v>
      </c>
      <c r="N852" s="1" t="s">
        <v>166</v>
      </c>
      <c r="O852" s="1" t="s">
        <v>46</v>
      </c>
      <c r="P852" s="1" t="s">
        <v>33</v>
      </c>
      <c r="Q852" s="1" t="s">
        <v>175</v>
      </c>
      <c r="R852" s="1" t="s">
        <v>2662</v>
      </c>
      <c r="S852" s="3">
        <v>4</v>
      </c>
      <c r="T852" s="1" t="s">
        <v>61</v>
      </c>
      <c r="U852" s="3">
        <v>448</v>
      </c>
      <c r="V852" s="1" t="s">
        <v>37</v>
      </c>
      <c r="W852" s="5">
        <f>Table1[[#This Row],[Quantity]]*Table1[[#This Row],[Price]]*(1-Table1[[#This Row],[Discount %]]/100)</f>
        <v>56065.5</v>
      </c>
      <c r="X852">
        <f>Table1[[#This Row],[DeliveryDate]]-Table1[[#This Row],[OrderDate]]</f>
        <v>8</v>
      </c>
      <c r="Y852" t="str">
        <f>TEXT(Table1[[#This Row],[OrderDate]],"MMMM")</f>
        <v>August</v>
      </c>
      <c r="Z852" s="5">
        <f>YEAR(Table1[[#This Row],[OrderDate]])</f>
        <v>2024</v>
      </c>
    </row>
    <row r="853" spans="1:26" x14ac:dyDescent="0.3">
      <c r="A853" s="1" t="s">
        <v>2663</v>
      </c>
      <c r="B853" t="s">
        <v>767</v>
      </c>
      <c r="C853" s="3">
        <v>38</v>
      </c>
      <c r="D853" s="1" t="s">
        <v>24</v>
      </c>
      <c r="E853" s="1" t="s">
        <v>99</v>
      </c>
      <c r="F853" s="1" t="s">
        <v>65</v>
      </c>
      <c r="G853" s="4">
        <v>45353</v>
      </c>
      <c r="H853" s="4">
        <v>45357</v>
      </c>
      <c r="I853" s="1" t="s">
        <v>85</v>
      </c>
      <c r="J853" s="1" t="s">
        <v>44</v>
      </c>
      <c r="K853" s="3">
        <v>1</v>
      </c>
      <c r="L853" s="2">
        <v>77121</v>
      </c>
      <c r="M853" s="3">
        <v>15</v>
      </c>
      <c r="N853" s="1" t="s">
        <v>56</v>
      </c>
      <c r="O853" s="1" t="s">
        <v>32</v>
      </c>
      <c r="P853" s="1" t="s">
        <v>174</v>
      </c>
      <c r="Q853" s="1" t="s">
        <v>769</v>
      </c>
      <c r="R853" s="1" t="s">
        <v>2664</v>
      </c>
      <c r="S853" s="3">
        <v>5</v>
      </c>
      <c r="T853" s="1" t="s">
        <v>96</v>
      </c>
      <c r="U853" s="3">
        <v>173</v>
      </c>
      <c r="V853" s="1" t="s">
        <v>37</v>
      </c>
      <c r="W853" s="5">
        <f>Table1[[#This Row],[Quantity]]*Table1[[#This Row],[Price]]*(1-Table1[[#This Row],[Discount %]]/100)</f>
        <v>65552.849999999991</v>
      </c>
      <c r="X853">
        <f>Table1[[#This Row],[DeliveryDate]]-Table1[[#This Row],[OrderDate]]</f>
        <v>4</v>
      </c>
      <c r="Y853" t="str">
        <f>TEXT(Table1[[#This Row],[OrderDate]],"MMMM")</f>
        <v>March</v>
      </c>
      <c r="Z853" s="5">
        <f>YEAR(Table1[[#This Row],[OrderDate]])</f>
        <v>2024</v>
      </c>
    </row>
    <row r="854" spans="1:26" x14ac:dyDescent="0.3">
      <c r="A854" s="1" t="s">
        <v>2665</v>
      </c>
      <c r="B854" t="s">
        <v>90</v>
      </c>
      <c r="C854" s="3">
        <v>52</v>
      </c>
      <c r="D854" s="1" t="s">
        <v>24</v>
      </c>
      <c r="E854" s="1" t="s">
        <v>26</v>
      </c>
      <c r="F854" s="1" t="s">
        <v>91</v>
      </c>
      <c r="G854" s="4">
        <v>45508</v>
      </c>
      <c r="H854" s="4">
        <v>45512</v>
      </c>
      <c r="I854" s="1" t="s">
        <v>29</v>
      </c>
      <c r="J854" s="1" t="s">
        <v>44</v>
      </c>
      <c r="K854" s="3">
        <v>1</v>
      </c>
      <c r="L854" s="2">
        <v>37078</v>
      </c>
      <c r="M854" s="3">
        <v>5</v>
      </c>
      <c r="N854" s="1" t="s">
        <v>56</v>
      </c>
      <c r="O854" s="1" t="s">
        <v>133</v>
      </c>
      <c r="P854" s="1" t="s">
        <v>69</v>
      </c>
      <c r="Q854" s="1" t="s">
        <v>94</v>
      </c>
      <c r="R854" s="1" t="s">
        <v>2666</v>
      </c>
      <c r="S854" s="3">
        <v>1</v>
      </c>
      <c r="T854" s="1" t="s">
        <v>36</v>
      </c>
      <c r="U854" s="3">
        <v>260</v>
      </c>
      <c r="V854" s="1" t="s">
        <v>79</v>
      </c>
      <c r="W854" s="5">
        <f>Table1[[#This Row],[Quantity]]*Table1[[#This Row],[Price]]*(1-Table1[[#This Row],[Discount %]]/100)</f>
        <v>35224.1</v>
      </c>
      <c r="X854">
        <f>Table1[[#This Row],[DeliveryDate]]-Table1[[#This Row],[OrderDate]]</f>
        <v>4</v>
      </c>
      <c r="Y854" t="str">
        <f>TEXT(Table1[[#This Row],[OrderDate]],"MMMM")</f>
        <v>August</v>
      </c>
      <c r="Z854" s="5">
        <f>YEAR(Table1[[#This Row],[OrderDate]])</f>
        <v>2024</v>
      </c>
    </row>
    <row r="855" spans="1:26" x14ac:dyDescent="0.3">
      <c r="A855" s="1" t="s">
        <v>2667</v>
      </c>
      <c r="B855" t="s">
        <v>64</v>
      </c>
      <c r="C855" s="3">
        <v>36</v>
      </c>
      <c r="D855" s="1" t="s">
        <v>24</v>
      </c>
      <c r="E855" s="1" t="s">
        <v>52</v>
      </c>
      <c r="F855" s="1" t="s">
        <v>65</v>
      </c>
      <c r="G855" s="4">
        <v>45103</v>
      </c>
      <c r="H855" s="4">
        <v>45110</v>
      </c>
      <c r="I855" s="1" t="s">
        <v>108</v>
      </c>
      <c r="J855" s="1" t="s">
        <v>30</v>
      </c>
      <c r="K855" s="3">
        <v>5</v>
      </c>
      <c r="L855" s="2">
        <v>30882</v>
      </c>
      <c r="M855" s="3">
        <v>0</v>
      </c>
      <c r="N855" s="1" t="s">
        <v>166</v>
      </c>
      <c r="O855" s="1" t="s">
        <v>68</v>
      </c>
      <c r="P855" s="1" t="s">
        <v>58</v>
      </c>
      <c r="Q855" s="1" t="s">
        <v>70</v>
      </c>
      <c r="R855" s="1" t="s">
        <v>2668</v>
      </c>
      <c r="S855" s="3">
        <v>1</v>
      </c>
      <c r="T855" s="1" t="s">
        <v>72</v>
      </c>
      <c r="U855" s="3">
        <v>489</v>
      </c>
      <c r="V855" s="1" t="s">
        <v>79</v>
      </c>
      <c r="W855" s="5">
        <f>Table1[[#This Row],[Quantity]]*Table1[[#This Row],[Price]]*(1-Table1[[#This Row],[Discount %]]/100)</f>
        <v>154410</v>
      </c>
      <c r="X855">
        <f>Table1[[#This Row],[DeliveryDate]]-Table1[[#This Row],[OrderDate]]</f>
        <v>7</v>
      </c>
      <c r="Y855" t="str">
        <f>TEXT(Table1[[#This Row],[OrderDate]],"MMMM")</f>
        <v>June</v>
      </c>
      <c r="Z855" s="5">
        <f>YEAR(Table1[[#This Row],[OrderDate]])</f>
        <v>2023</v>
      </c>
    </row>
    <row r="856" spans="1:26" x14ac:dyDescent="0.3">
      <c r="A856" s="1" t="s">
        <v>2669</v>
      </c>
      <c r="B856" t="s">
        <v>278</v>
      </c>
      <c r="C856" s="3">
        <v>60</v>
      </c>
      <c r="D856" s="1" t="s">
        <v>51</v>
      </c>
      <c r="E856" s="1" t="s">
        <v>142</v>
      </c>
      <c r="F856" s="1" t="s">
        <v>53</v>
      </c>
      <c r="G856" s="4">
        <v>45370</v>
      </c>
      <c r="H856" s="4">
        <v>45373</v>
      </c>
      <c r="I856" s="1" t="s">
        <v>43</v>
      </c>
      <c r="J856" s="1" t="s">
        <v>30</v>
      </c>
      <c r="K856" s="3">
        <v>1</v>
      </c>
      <c r="L856" s="2">
        <v>14326</v>
      </c>
      <c r="M856" s="3">
        <v>0</v>
      </c>
      <c r="N856" s="1" t="s">
        <v>45</v>
      </c>
      <c r="O856" s="1" t="s">
        <v>86</v>
      </c>
      <c r="P856" s="1" t="s">
        <v>69</v>
      </c>
      <c r="Q856" s="1" t="s">
        <v>282</v>
      </c>
      <c r="R856" s="1" t="s">
        <v>2670</v>
      </c>
      <c r="S856" s="3">
        <v>1</v>
      </c>
      <c r="T856" s="1" t="s">
        <v>96</v>
      </c>
      <c r="U856" s="3">
        <v>488</v>
      </c>
      <c r="V856" s="1" t="s">
        <v>37</v>
      </c>
      <c r="W856" s="5">
        <f>Table1[[#This Row],[Quantity]]*Table1[[#This Row],[Price]]*(1-Table1[[#This Row],[Discount %]]/100)</f>
        <v>14326</v>
      </c>
      <c r="X856">
        <f>Table1[[#This Row],[DeliveryDate]]-Table1[[#This Row],[OrderDate]]</f>
        <v>3</v>
      </c>
      <c r="Y856" t="str">
        <f>TEXT(Table1[[#This Row],[OrderDate]],"MMMM")</f>
        <v>March</v>
      </c>
      <c r="Z856" s="5">
        <f>YEAR(Table1[[#This Row],[OrderDate]])</f>
        <v>2024</v>
      </c>
    </row>
    <row r="857" spans="1:26" x14ac:dyDescent="0.3">
      <c r="A857" s="1" t="s">
        <v>2671</v>
      </c>
      <c r="B857" t="s">
        <v>182</v>
      </c>
      <c r="C857" s="3">
        <v>50</v>
      </c>
      <c r="D857" s="1" t="s">
        <v>51</v>
      </c>
      <c r="E857" s="1" t="s">
        <v>99</v>
      </c>
      <c r="F857" s="1" t="s">
        <v>53</v>
      </c>
      <c r="G857" s="4">
        <v>45479</v>
      </c>
      <c r="H857" s="4">
        <v>45481</v>
      </c>
      <c r="I857" s="1" t="s">
        <v>108</v>
      </c>
      <c r="J857" s="1" t="s">
        <v>30</v>
      </c>
      <c r="K857" s="3">
        <v>3</v>
      </c>
      <c r="L857" s="2">
        <v>14560</v>
      </c>
      <c r="M857" s="3">
        <v>15</v>
      </c>
      <c r="N857" s="1" t="s">
        <v>166</v>
      </c>
      <c r="O857" s="1" t="s">
        <v>133</v>
      </c>
      <c r="P857" s="1" t="s">
        <v>174</v>
      </c>
      <c r="Q857" s="1" t="s">
        <v>3415</v>
      </c>
      <c r="R857" s="1" t="s">
        <v>2672</v>
      </c>
      <c r="S857" s="3">
        <v>4</v>
      </c>
      <c r="T857" s="1" t="s">
        <v>61</v>
      </c>
      <c r="U857" s="3">
        <v>301</v>
      </c>
      <c r="V857" s="1" t="s">
        <v>37</v>
      </c>
      <c r="W857" s="5">
        <f>Table1[[#This Row],[Quantity]]*Table1[[#This Row],[Price]]*(1-Table1[[#This Row],[Discount %]]/100)</f>
        <v>37128</v>
      </c>
      <c r="X857">
        <f>Table1[[#This Row],[DeliveryDate]]-Table1[[#This Row],[OrderDate]]</f>
        <v>2</v>
      </c>
      <c r="Y857" t="str">
        <f>TEXT(Table1[[#This Row],[OrderDate]],"MMMM")</f>
        <v>July</v>
      </c>
      <c r="Z857" s="5">
        <f>YEAR(Table1[[#This Row],[OrderDate]])</f>
        <v>2024</v>
      </c>
    </row>
    <row r="858" spans="1:26" x14ac:dyDescent="0.3">
      <c r="A858" s="1" t="s">
        <v>2673</v>
      </c>
      <c r="B858" t="s">
        <v>216</v>
      </c>
      <c r="C858" s="3">
        <v>18</v>
      </c>
      <c r="D858" s="1" t="s">
        <v>24</v>
      </c>
      <c r="E858" s="1" t="s">
        <v>131</v>
      </c>
      <c r="F858" s="1" t="s">
        <v>26</v>
      </c>
      <c r="G858" s="4">
        <v>45154</v>
      </c>
      <c r="H858" s="4">
        <v>45163</v>
      </c>
      <c r="I858" s="1" t="s">
        <v>43</v>
      </c>
      <c r="J858" s="1" t="s">
        <v>44</v>
      </c>
      <c r="K858" s="3">
        <v>2</v>
      </c>
      <c r="L858" s="2">
        <v>19072</v>
      </c>
      <c r="M858" s="3">
        <v>5</v>
      </c>
      <c r="N858" s="1" t="s">
        <v>45</v>
      </c>
      <c r="O858" s="1" t="s">
        <v>281</v>
      </c>
      <c r="P858" s="1" t="s">
        <v>69</v>
      </c>
      <c r="Q858" s="1" t="s">
        <v>219</v>
      </c>
      <c r="R858" s="1" t="s">
        <v>2674</v>
      </c>
      <c r="S858" s="3">
        <v>5</v>
      </c>
      <c r="T858" s="1" t="s">
        <v>61</v>
      </c>
      <c r="U858" s="3">
        <v>233</v>
      </c>
      <c r="V858" s="1" t="s">
        <v>37</v>
      </c>
      <c r="W858" s="5">
        <f>Table1[[#This Row],[Quantity]]*Table1[[#This Row],[Price]]*(1-Table1[[#This Row],[Discount %]]/100)</f>
        <v>36236.799999999996</v>
      </c>
      <c r="X858">
        <f>Table1[[#This Row],[DeliveryDate]]-Table1[[#This Row],[OrderDate]]</f>
        <v>9</v>
      </c>
      <c r="Y858" t="str">
        <f>TEXT(Table1[[#This Row],[OrderDate]],"MMMM")</f>
        <v>August</v>
      </c>
      <c r="Z858" s="5">
        <f>YEAR(Table1[[#This Row],[OrderDate]])</f>
        <v>2023</v>
      </c>
    </row>
    <row r="859" spans="1:26" x14ac:dyDescent="0.3">
      <c r="A859" s="1" t="s">
        <v>2675</v>
      </c>
      <c r="B859" t="s">
        <v>1340</v>
      </c>
      <c r="C859" s="3">
        <v>30</v>
      </c>
      <c r="D859" s="1" t="s">
        <v>51</v>
      </c>
      <c r="E859" s="1" t="s">
        <v>229</v>
      </c>
      <c r="F859" s="1" t="s">
        <v>82</v>
      </c>
      <c r="G859" s="4">
        <v>44969</v>
      </c>
      <c r="H859" s="4">
        <v>44973</v>
      </c>
      <c r="I859" s="1" t="s">
        <v>77</v>
      </c>
      <c r="J859" s="1" t="s">
        <v>30</v>
      </c>
      <c r="K859" s="3">
        <v>1</v>
      </c>
      <c r="L859" s="2">
        <v>49483</v>
      </c>
      <c r="M859" s="3">
        <v>5</v>
      </c>
      <c r="N859" s="1" t="s">
        <v>166</v>
      </c>
      <c r="O859" s="1" t="s">
        <v>173</v>
      </c>
      <c r="P859" s="1" t="s">
        <v>58</v>
      </c>
      <c r="Q859" s="1" t="s">
        <v>1342</v>
      </c>
      <c r="R859" s="1" t="s">
        <v>2678</v>
      </c>
      <c r="S859" s="3">
        <v>2</v>
      </c>
      <c r="T859" s="1" t="s">
        <v>96</v>
      </c>
      <c r="U859" s="3">
        <v>400</v>
      </c>
      <c r="V859" s="1" t="s">
        <v>62</v>
      </c>
      <c r="W859" s="5">
        <f>Table1[[#This Row],[Quantity]]*Table1[[#This Row],[Price]]*(1-Table1[[#This Row],[Discount %]]/100)</f>
        <v>47008.85</v>
      </c>
      <c r="X859">
        <f>Table1[[#This Row],[DeliveryDate]]-Table1[[#This Row],[OrderDate]]</f>
        <v>4</v>
      </c>
      <c r="Y859" t="str">
        <f>TEXT(Table1[[#This Row],[OrderDate]],"MMMM")</f>
        <v>February</v>
      </c>
      <c r="Z859" s="5">
        <f>YEAR(Table1[[#This Row],[OrderDate]])</f>
        <v>2023</v>
      </c>
    </row>
    <row r="860" spans="1:26" x14ac:dyDescent="0.3">
      <c r="A860" s="1" t="s">
        <v>2679</v>
      </c>
      <c r="B860" t="s">
        <v>156</v>
      </c>
      <c r="C860" s="3">
        <v>45</v>
      </c>
      <c r="D860" s="1" t="s">
        <v>51</v>
      </c>
      <c r="E860" s="1" t="s">
        <v>52</v>
      </c>
      <c r="F860" s="1" t="s">
        <v>65</v>
      </c>
      <c r="G860" s="4">
        <v>45136</v>
      </c>
      <c r="H860" s="4">
        <v>45137</v>
      </c>
      <c r="I860" s="1" t="s">
        <v>85</v>
      </c>
      <c r="J860" s="1" t="s">
        <v>44</v>
      </c>
      <c r="K860" s="3">
        <v>2</v>
      </c>
      <c r="L860" s="2">
        <v>27109</v>
      </c>
      <c r="M860" s="3">
        <v>10</v>
      </c>
      <c r="N860" s="1" t="s">
        <v>45</v>
      </c>
      <c r="O860" s="1" t="s">
        <v>46</v>
      </c>
      <c r="P860" s="1" t="s">
        <v>174</v>
      </c>
      <c r="Q860" s="1" t="s">
        <v>159</v>
      </c>
      <c r="R860" s="1" t="s">
        <v>2681</v>
      </c>
      <c r="S860" s="3">
        <v>5</v>
      </c>
      <c r="T860" s="1" t="s">
        <v>96</v>
      </c>
      <c r="U860" s="3">
        <v>450</v>
      </c>
      <c r="V860" s="1" t="s">
        <v>79</v>
      </c>
      <c r="W860" s="5">
        <f>Table1[[#This Row],[Quantity]]*Table1[[#This Row],[Price]]*(1-Table1[[#This Row],[Discount %]]/100)</f>
        <v>48796.200000000004</v>
      </c>
      <c r="X860">
        <f>Table1[[#This Row],[DeliveryDate]]-Table1[[#This Row],[OrderDate]]</f>
        <v>1</v>
      </c>
      <c r="Y860" t="str">
        <f>TEXT(Table1[[#This Row],[OrderDate]],"MMMM")</f>
        <v>July</v>
      </c>
      <c r="Z860" s="5">
        <f>YEAR(Table1[[#This Row],[OrderDate]])</f>
        <v>2023</v>
      </c>
    </row>
    <row r="861" spans="1:26" x14ac:dyDescent="0.3">
      <c r="A861" s="1" t="s">
        <v>2682</v>
      </c>
      <c r="B861" t="s">
        <v>261</v>
      </c>
      <c r="C861" s="3">
        <v>55</v>
      </c>
      <c r="D861" s="1" t="s">
        <v>24</v>
      </c>
      <c r="E861" s="1" t="s">
        <v>26</v>
      </c>
      <c r="F861" s="1" t="s">
        <v>82</v>
      </c>
      <c r="G861" s="4">
        <v>44962</v>
      </c>
      <c r="H861" s="4">
        <v>44967</v>
      </c>
      <c r="I861" s="1" t="s">
        <v>108</v>
      </c>
      <c r="J861" s="1" t="s">
        <v>44</v>
      </c>
      <c r="K861" s="3">
        <v>3</v>
      </c>
      <c r="L861" s="2">
        <v>53582</v>
      </c>
      <c r="M861" s="3">
        <v>15</v>
      </c>
      <c r="N861" s="1" t="s">
        <v>45</v>
      </c>
      <c r="O861" s="1" t="s">
        <v>57</v>
      </c>
      <c r="P861" s="1" t="s">
        <v>69</v>
      </c>
      <c r="Q861" s="1" t="s">
        <v>264</v>
      </c>
      <c r="R861" s="1" t="s">
        <v>2683</v>
      </c>
      <c r="S861" s="3">
        <v>1</v>
      </c>
      <c r="T861" s="1" t="s">
        <v>96</v>
      </c>
      <c r="U861" s="3">
        <v>429</v>
      </c>
      <c r="V861" s="1" t="s">
        <v>37</v>
      </c>
      <c r="W861" s="5">
        <f>Table1[[#This Row],[Quantity]]*Table1[[#This Row],[Price]]*(1-Table1[[#This Row],[Discount %]]/100)</f>
        <v>136634.1</v>
      </c>
      <c r="X861">
        <f>Table1[[#This Row],[DeliveryDate]]-Table1[[#This Row],[OrderDate]]</f>
        <v>5</v>
      </c>
      <c r="Y861" t="str">
        <f>TEXT(Table1[[#This Row],[OrderDate]],"MMMM")</f>
        <v>February</v>
      </c>
      <c r="Z861" s="5">
        <f>YEAR(Table1[[#This Row],[OrderDate]])</f>
        <v>2023</v>
      </c>
    </row>
    <row r="862" spans="1:26" x14ac:dyDescent="0.3">
      <c r="A862" s="1" t="s">
        <v>2684</v>
      </c>
      <c r="B862" t="s">
        <v>808</v>
      </c>
      <c r="C862" s="3">
        <v>23</v>
      </c>
      <c r="D862" s="1" t="s">
        <v>24</v>
      </c>
      <c r="E862" s="1" t="s">
        <v>40</v>
      </c>
      <c r="F862" s="1" t="s">
        <v>65</v>
      </c>
      <c r="G862" s="4">
        <v>45545</v>
      </c>
      <c r="H862" s="4">
        <v>45550</v>
      </c>
      <c r="I862" s="1" t="s">
        <v>85</v>
      </c>
      <c r="J862" s="1" t="s">
        <v>30</v>
      </c>
      <c r="K862" s="3">
        <v>4</v>
      </c>
      <c r="L862" s="2">
        <v>5374</v>
      </c>
      <c r="M862" s="3">
        <v>10</v>
      </c>
      <c r="N862" s="1" t="s">
        <v>166</v>
      </c>
      <c r="O862" s="1" t="s">
        <v>46</v>
      </c>
      <c r="P862" s="1" t="s">
        <v>174</v>
      </c>
      <c r="Q862" s="1" t="s">
        <v>191</v>
      </c>
      <c r="R862" s="1" t="s">
        <v>2685</v>
      </c>
      <c r="S862" s="3">
        <v>1</v>
      </c>
      <c r="T862" s="1" t="s">
        <v>96</v>
      </c>
      <c r="U862" s="3">
        <v>315</v>
      </c>
      <c r="V862" s="1" t="s">
        <v>79</v>
      </c>
      <c r="W862" s="5">
        <f>Table1[[#This Row],[Quantity]]*Table1[[#This Row],[Price]]*(1-Table1[[#This Row],[Discount %]]/100)</f>
        <v>19346.400000000001</v>
      </c>
      <c r="X862">
        <f>Table1[[#This Row],[DeliveryDate]]-Table1[[#This Row],[OrderDate]]</f>
        <v>5</v>
      </c>
      <c r="Y862" t="str">
        <f>TEXT(Table1[[#This Row],[OrderDate]],"MMMM")</f>
        <v>September</v>
      </c>
      <c r="Z862" s="5">
        <f>YEAR(Table1[[#This Row],[OrderDate]])</f>
        <v>2024</v>
      </c>
    </row>
    <row r="863" spans="1:26" x14ac:dyDescent="0.3">
      <c r="A863" s="1" t="s">
        <v>2686</v>
      </c>
      <c r="B863" t="s">
        <v>689</v>
      </c>
      <c r="C863" s="3">
        <v>41</v>
      </c>
      <c r="D863" s="1" t="s">
        <v>51</v>
      </c>
      <c r="E863" s="1" t="s">
        <v>131</v>
      </c>
      <c r="F863" s="1" t="s">
        <v>65</v>
      </c>
      <c r="G863" s="4">
        <v>45089</v>
      </c>
      <c r="H863" s="4">
        <v>45091</v>
      </c>
      <c r="I863" s="1" t="s">
        <v>108</v>
      </c>
      <c r="J863" s="1" t="s">
        <v>44</v>
      </c>
      <c r="K863" s="3">
        <v>2</v>
      </c>
      <c r="L863" s="2">
        <v>60238</v>
      </c>
      <c r="M863" s="3">
        <v>15</v>
      </c>
      <c r="N863" s="1" t="s">
        <v>56</v>
      </c>
      <c r="O863" s="1" t="s">
        <v>102</v>
      </c>
      <c r="P863" s="1" t="s">
        <v>33</v>
      </c>
      <c r="Q863" s="1" t="s">
        <v>1105</v>
      </c>
      <c r="R863" s="1" t="s">
        <v>2688</v>
      </c>
      <c r="S863" s="3">
        <v>3</v>
      </c>
      <c r="T863" s="1" t="s">
        <v>72</v>
      </c>
      <c r="U863" s="3">
        <v>405</v>
      </c>
      <c r="V863" s="1" t="s">
        <v>37</v>
      </c>
      <c r="W863" s="5">
        <f>Table1[[#This Row],[Quantity]]*Table1[[#This Row],[Price]]*(1-Table1[[#This Row],[Discount %]]/100)</f>
        <v>102404.59999999999</v>
      </c>
      <c r="X863">
        <f>Table1[[#This Row],[DeliveryDate]]-Table1[[#This Row],[OrderDate]]</f>
        <v>2</v>
      </c>
      <c r="Y863" t="str">
        <f>TEXT(Table1[[#This Row],[OrderDate]],"MMMM")</f>
        <v>June</v>
      </c>
      <c r="Z863" s="5">
        <f>YEAR(Table1[[#This Row],[OrderDate]])</f>
        <v>2023</v>
      </c>
    </row>
    <row r="864" spans="1:26" x14ac:dyDescent="0.3">
      <c r="A864" s="1" t="s">
        <v>2689</v>
      </c>
      <c r="B864" t="s">
        <v>954</v>
      </c>
      <c r="C864" s="3">
        <v>50</v>
      </c>
      <c r="D864" s="1" t="s">
        <v>24</v>
      </c>
      <c r="E864" s="1" t="s">
        <v>99</v>
      </c>
      <c r="F864" s="1" t="s">
        <v>26</v>
      </c>
      <c r="G864" s="4">
        <v>45557</v>
      </c>
      <c r="H864" s="4">
        <v>45559</v>
      </c>
      <c r="I864" s="1" t="s">
        <v>77</v>
      </c>
      <c r="J864" s="1" t="s">
        <v>30</v>
      </c>
      <c r="K864" s="3">
        <v>4</v>
      </c>
      <c r="L864" s="2">
        <v>54974</v>
      </c>
      <c r="M864" s="3">
        <v>10</v>
      </c>
      <c r="N864" s="1" t="s">
        <v>166</v>
      </c>
      <c r="O864" s="1" t="s">
        <v>32</v>
      </c>
      <c r="P864" s="1" t="s">
        <v>58</v>
      </c>
      <c r="Q864" s="1" t="s">
        <v>536</v>
      </c>
      <c r="R864" s="1" t="s">
        <v>2691</v>
      </c>
      <c r="S864" s="3">
        <v>4</v>
      </c>
      <c r="T864" s="1" t="s">
        <v>61</v>
      </c>
      <c r="U864" s="3">
        <v>263</v>
      </c>
      <c r="V864" s="1" t="s">
        <v>62</v>
      </c>
      <c r="W864" s="5">
        <f>Table1[[#This Row],[Quantity]]*Table1[[#This Row],[Price]]*(1-Table1[[#This Row],[Discount %]]/100)</f>
        <v>197906.4</v>
      </c>
      <c r="X864">
        <f>Table1[[#This Row],[DeliveryDate]]-Table1[[#This Row],[OrderDate]]</f>
        <v>2</v>
      </c>
      <c r="Y864" t="str">
        <f>TEXT(Table1[[#This Row],[OrderDate]],"MMMM")</f>
        <v>September</v>
      </c>
      <c r="Z864" s="5">
        <f>YEAR(Table1[[#This Row],[OrderDate]])</f>
        <v>2024</v>
      </c>
    </row>
    <row r="865" spans="1:26" x14ac:dyDescent="0.3">
      <c r="A865" s="1" t="s">
        <v>2692</v>
      </c>
      <c r="B865" t="s">
        <v>272</v>
      </c>
      <c r="C865" s="3">
        <v>27</v>
      </c>
      <c r="D865" s="1" t="s">
        <v>51</v>
      </c>
      <c r="E865" s="1" t="s">
        <v>25</v>
      </c>
      <c r="F865" s="1" t="s">
        <v>82</v>
      </c>
      <c r="G865" s="4">
        <v>45148</v>
      </c>
      <c r="H865" s="4">
        <v>45155</v>
      </c>
      <c r="I865" s="1" t="s">
        <v>93</v>
      </c>
      <c r="J865" s="1" t="s">
        <v>30</v>
      </c>
      <c r="K865" s="3">
        <v>1</v>
      </c>
      <c r="L865" s="2">
        <v>28618</v>
      </c>
      <c r="M865" s="3">
        <v>10</v>
      </c>
      <c r="N865" s="1" t="s">
        <v>31</v>
      </c>
      <c r="O865" s="1" t="s">
        <v>57</v>
      </c>
      <c r="P865" s="1" t="s">
        <v>174</v>
      </c>
      <c r="Q865" s="1" t="s">
        <v>275</v>
      </c>
      <c r="R865" s="1" t="s">
        <v>2693</v>
      </c>
      <c r="S865" s="3">
        <v>4</v>
      </c>
      <c r="T865" s="1" t="s">
        <v>72</v>
      </c>
      <c r="U865" s="3">
        <v>209</v>
      </c>
      <c r="V865" s="1" t="s">
        <v>62</v>
      </c>
      <c r="W865" s="5">
        <f>Table1[[#This Row],[Quantity]]*Table1[[#This Row],[Price]]*(1-Table1[[#This Row],[Discount %]]/100)</f>
        <v>25756.2</v>
      </c>
      <c r="X865">
        <f>Table1[[#This Row],[DeliveryDate]]-Table1[[#This Row],[OrderDate]]</f>
        <v>7</v>
      </c>
      <c r="Y865" t="str">
        <f>TEXT(Table1[[#This Row],[OrderDate]],"MMMM")</f>
        <v>August</v>
      </c>
      <c r="Z865" s="5">
        <f>YEAR(Table1[[#This Row],[OrderDate]])</f>
        <v>2023</v>
      </c>
    </row>
    <row r="866" spans="1:26" x14ac:dyDescent="0.3">
      <c r="A866" s="1" t="s">
        <v>2694</v>
      </c>
      <c r="B866" t="s">
        <v>767</v>
      </c>
      <c r="C866" s="3">
        <v>57</v>
      </c>
      <c r="D866" s="1" t="s">
        <v>51</v>
      </c>
      <c r="E866" s="1" t="s">
        <v>25</v>
      </c>
      <c r="F866" s="1" t="s">
        <v>82</v>
      </c>
      <c r="G866" s="4">
        <v>45458</v>
      </c>
      <c r="H866" s="4">
        <v>45464</v>
      </c>
      <c r="I866" s="1" t="s">
        <v>93</v>
      </c>
      <c r="J866" s="1" t="s">
        <v>30</v>
      </c>
      <c r="K866" s="3">
        <v>2</v>
      </c>
      <c r="L866" s="2">
        <v>12564</v>
      </c>
      <c r="M866" s="3">
        <v>10</v>
      </c>
      <c r="N866" s="1" t="s">
        <v>45</v>
      </c>
      <c r="O866" s="1" t="s">
        <v>102</v>
      </c>
      <c r="P866" s="1" t="s">
        <v>174</v>
      </c>
      <c r="Q866" s="1" t="s">
        <v>769</v>
      </c>
      <c r="R866" s="1" t="s">
        <v>3415</v>
      </c>
      <c r="S866" s="3">
        <v>3</v>
      </c>
      <c r="T866" s="1" t="s">
        <v>96</v>
      </c>
      <c r="U866" s="3">
        <v>88</v>
      </c>
      <c r="V866" s="1" t="s">
        <v>37</v>
      </c>
      <c r="W866" s="5">
        <f>Table1[[#This Row],[Quantity]]*Table1[[#This Row],[Price]]*(1-Table1[[#This Row],[Discount %]]/100)</f>
        <v>22615.200000000001</v>
      </c>
      <c r="X866">
        <f>Table1[[#This Row],[DeliveryDate]]-Table1[[#This Row],[OrderDate]]</f>
        <v>6</v>
      </c>
      <c r="Y866" t="str">
        <f>TEXT(Table1[[#This Row],[OrderDate]],"MMMM")</f>
        <v>June</v>
      </c>
      <c r="Z866" s="5">
        <f>YEAR(Table1[[#This Row],[OrderDate]])</f>
        <v>2024</v>
      </c>
    </row>
    <row r="867" spans="1:26" x14ac:dyDescent="0.3">
      <c r="A867" s="1" t="s">
        <v>2696</v>
      </c>
      <c r="B867" t="s">
        <v>119</v>
      </c>
      <c r="C867" s="3">
        <v>20</v>
      </c>
      <c r="D867" s="1" t="s">
        <v>51</v>
      </c>
      <c r="E867" s="1" t="s">
        <v>25</v>
      </c>
      <c r="F867" s="1" t="s">
        <v>82</v>
      </c>
      <c r="G867" s="4">
        <v>45272</v>
      </c>
      <c r="H867" s="4">
        <v>45281</v>
      </c>
      <c r="I867" s="1" t="s">
        <v>77</v>
      </c>
      <c r="J867" s="1" t="s">
        <v>30</v>
      </c>
      <c r="K867" s="3">
        <v>3</v>
      </c>
      <c r="L867" s="2">
        <v>35631</v>
      </c>
      <c r="M867" s="3">
        <v>5</v>
      </c>
      <c r="N867" s="1" t="s">
        <v>31</v>
      </c>
      <c r="O867" s="1" t="s">
        <v>68</v>
      </c>
      <c r="P867" s="1" t="s">
        <v>174</v>
      </c>
      <c r="Q867" s="1" t="s">
        <v>122</v>
      </c>
      <c r="R867" s="1" t="s">
        <v>2697</v>
      </c>
      <c r="S867" s="3">
        <v>4</v>
      </c>
      <c r="T867" s="1" t="s">
        <v>61</v>
      </c>
      <c r="U867" s="3">
        <v>395</v>
      </c>
      <c r="V867" s="1" t="s">
        <v>62</v>
      </c>
      <c r="W867" s="5">
        <f>Table1[[#This Row],[Quantity]]*Table1[[#This Row],[Price]]*(1-Table1[[#This Row],[Discount %]]/100)</f>
        <v>101548.34999999999</v>
      </c>
      <c r="X867">
        <f>Table1[[#This Row],[DeliveryDate]]-Table1[[#This Row],[OrderDate]]</f>
        <v>9</v>
      </c>
      <c r="Y867" t="str">
        <f>TEXT(Table1[[#This Row],[OrderDate]],"MMMM")</f>
        <v>December</v>
      </c>
      <c r="Z867" s="5">
        <f>YEAR(Table1[[#This Row],[OrderDate]])</f>
        <v>2023</v>
      </c>
    </row>
    <row r="868" spans="1:26" x14ac:dyDescent="0.3">
      <c r="A868" s="1" t="s">
        <v>2698</v>
      </c>
      <c r="B868" t="s">
        <v>684</v>
      </c>
      <c r="C868" s="3">
        <v>38</v>
      </c>
      <c r="D868" s="1" t="s">
        <v>51</v>
      </c>
      <c r="E868" s="1" t="s">
        <v>142</v>
      </c>
      <c r="F868" s="1" t="s">
        <v>82</v>
      </c>
      <c r="G868" s="4">
        <v>45459</v>
      </c>
      <c r="H868" s="4">
        <v>45466</v>
      </c>
      <c r="I868" s="1" t="s">
        <v>108</v>
      </c>
      <c r="J868" s="1" t="s">
        <v>44</v>
      </c>
      <c r="K868" s="3">
        <v>3</v>
      </c>
      <c r="L868" s="2">
        <v>42109.716287215415</v>
      </c>
      <c r="M868" s="3">
        <v>10</v>
      </c>
      <c r="N868" s="1" t="s">
        <v>31</v>
      </c>
      <c r="O868" s="1" t="s">
        <v>133</v>
      </c>
      <c r="P868" s="1" t="s">
        <v>33</v>
      </c>
      <c r="Q868" s="1" t="s">
        <v>785</v>
      </c>
      <c r="R868" s="1" t="s">
        <v>2699</v>
      </c>
      <c r="S868" s="3">
        <v>1</v>
      </c>
      <c r="T868" s="1" t="s">
        <v>72</v>
      </c>
      <c r="U868" s="3">
        <v>464</v>
      </c>
      <c r="V868" s="1" t="s">
        <v>37</v>
      </c>
      <c r="W868" s="5">
        <f>Table1[[#This Row],[Quantity]]*Table1[[#This Row],[Price]]*(1-Table1[[#This Row],[Discount %]]/100)</f>
        <v>113696.23397548162</v>
      </c>
      <c r="X868">
        <f>Table1[[#This Row],[DeliveryDate]]-Table1[[#This Row],[OrderDate]]</f>
        <v>7</v>
      </c>
      <c r="Y868" t="str">
        <f>TEXT(Table1[[#This Row],[OrderDate]],"MMMM")</f>
        <v>June</v>
      </c>
      <c r="Z868" s="5">
        <f>YEAR(Table1[[#This Row],[OrderDate]])</f>
        <v>2024</v>
      </c>
    </row>
    <row r="869" spans="1:26" x14ac:dyDescent="0.3">
      <c r="A869" s="1" t="s">
        <v>2700</v>
      </c>
      <c r="B869" t="s">
        <v>278</v>
      </c>
      <c r="C869" s="3">
        <v>21</v>
      </c>
      <c r="D869" s="1" t="s">
        <v>24</v>
      </c>
      <c r="E869" s="1" t="s">
        <v>142</v>
      </c>
      <c r="F869" s="1" t="s">
        <v>53</v>
      </c>
      <c r="G869" s="4">
        <v>45308</v>
      </c>
      <c r="H869" s="4">
        <v>45313</v>
      </c>
      <c r="I869" s="1" t="s">
        <v>108</v>
      </c>
      <c r="J869" s="1" t="s">
        <v>44</v>
      </c>
      <c r="K869" s="3">
        <v>5</v>
      </c>
      <c r="L869" s="2">
        <v>41370</v>
      </c>
      <c r="M869" s="3">
        <v>10</v>
      </c>
      <c r="N869" s="1" t="s">
        <v>45</v>
      </c>
      <c r="O869" s="1" t="s">
        <v>57</v>
      </c>
      <c r="P869" s="1" t="s">
        <v>33</v>
      </c>
      <c r="Q869" s="1" t="s">
        <v>282</v>
      </c>
      <c r="R869" s="1" t="s">
        <v>2701</v>
      </c>
      <c r="S869" s="3">
        <v>2</v>
      </c>
      <c r="T869" s="1" t="s">
        <v>36</v>
      </c>
      <c r="U869" s="3">
        <v>260</v>
      </c>
      <c r="V869" s="1" t="s">
        <v>37</v>
      </c>
      <c r="W869" s="5">
        <f>Table1[[#This Row],[Quantity]]*Table1[[#This Row],[Price]]*(1-Table1[[#This Row],[Discount %]]/100)</f>
        <v>186165</v>
      </c>
      <c r="X869">
        <f>Table1[[#This Row],[DeliveryDate]]-Table1[[#This Row],[OrderDate]]</f>
        <v>5</v>
      </c>
      <c r="Y869" t="str">
        <f>TEXT(Table1[[#This Row],[OrderDate]],"MMMM")</f>
        <v>January</v>
      </c>
      <c r="Z869" s="5">
        <f>YEAR(Table1[[#This Row],[OrderDate]])</f>
        <v>2024</v>
      </c>
    </row>
    <row r="870" spans="1:26" x14ac:dyDescent="0.3">
      <c r="A870" s="1" t="s">
        <v>2702</v>
      </c>
      <c r="B870" t="s">
        <v>249</v>
      </c>
      <c r="C870" s="3">
        <v>19</v>
      </c>
      <c r="D870" s="1" t="s">
        <v>24</v>
      </c>
      <c r="E870" s="1" t="s">
        <v>131</v>
      </c>
      <c r="F870" s="1" t="s">
        <v>53</v>
      </c>
      <c r="G870" s="4">
        <v>45600</v>
      </c>
      <c r="H870" s="4">
        <v>45609</v>
      </c>
      <c r="I870" s="1" t="s">
        <v>29</v>
      </c>
      <c r="J870" s="1" t="s">
        <v>44</v>
      </c>
      <c r="K870" s="3">
        <v>1</v>
      </c>
      <c r="L870" s="2">
        <v>73070</v>
      </c>
      <c r="M870" s="3">
        <v>15</v>
      </c>
      <c r="N870" s="1" t="s">
        <v>31</v>
      </c>
      <c r="O870" s="1" t="s">
        <v>32</v>
      </c>
      <c r="P870" s="1" t="s">
        <v>58</v>
      </c>
      <c r="Q870" s="1" t="s">
        <v>3415</v>
      </c>
      <c r="R870" s="1" t="s">
        <v>2703</v>
      </c>
      <c r="S870" s="3">
        <v>5</v>
      </c>
      <c r="T870" s="1" t="s">
        <v>61</v>
      </c>
      <c r="U870" s="3">
        <v>321</v>
      </c>
      <c r="V870" s="1" t="s">
        <v>62</v>
      </c>
      <c r="W870" s="5">
        <f>Table1[[#This Row],[Quantity]]*Table1[[#This Row],[Price]]*(1-Table1[[#This Row],[Discount %]]/100)</f>
        <v>62109.5</v>
      </c>
      <c r="X870">
        <f>Table1[[#This Row],[DeliveryDate]]-Table1[[#This Row],[OrderDate]]</f>
        <v>9</v>
      </c>
      <c r="Y870" t="str">
        <f>TEXT(Table1[[#This Row],[OrderDate]],"MMMM")</f>
        <v>November</v>
      </c>
      <c r="Z870" s="5">
        <f>YEAR(Table1[[#This Row],[OrderDate]])</f>
        <v>2024</v>
      </c>
    </row>
    <row r="871" spans="1:26" x14ac:dyDescent="0.3">
      <c r="A871" s="1" t="s">
        <v>2704</v>
      </c>
      <c r="B871" t="s">
        <v>309</v>
      </c>
      <c r="C871" s="3">
        <v>46</v>
      </c>
      <c r="D871" s="1" t="s">
        <v>51</v>
      </c>
      <c r="E871" s="1" t="s">
        <v>40</v>
      </c>
      <c r="F871" s="1" t="s">
        <v>65</v>
      </c>
      <c r="G871" s="4">
        <v>45287</v>
      </c>
      <c r="H871" s="4">
        <v>45293</v>
      </c>
      <c r="I871" s="1" t="s">
        <v>85</v>
      </c>
      <c r="J871" s="1" t="s">
        <v>44</v>
      </c>
      <c r="K871" s="3">
        <v>2</v>
      </c>
      <c r="L871" s="2">
        <v>43268</v>
      </c>
      <c r="M871" s="3">
        <v>0</v>
      </c>
      <c r="N871" s="1" t="s">
        <v>31</v>
      </c>
      <c r="O871" s="1" t="s">
        <v>102</v>
      </c>
      <c r="P871" s="1" t="s">
        <v>58</v>
      </c>
      <c r="Q871" s="1" t="s">
        <v>312</v>
      </c>
      <c r="R871" s="1" t="s">
        <v>2705</v>
      </c>
      <c r="S871" s="3">
        <v>2</v>
      </c>
      <c r="T871" s="1" t="s">
        <v>36</v>
      </c>
      <c r="U871" s="3">
        <v>96</v>
      </c>
      <c r="V871" s="1" t="s">
        <v>79</v>
      </c>
      <c r="W871" s="5">
        <f>Table1[[#This Row],[Quantity]]*Table1[[#This Row],[Price]]*(1-Table1[[#This Row],[Discount %]]/100)</f>
        <v>86536</v>
      </c>
      <c r="X871">
        <f>Table1[[#This Row],[DeliveryDate]]-Table1[[#This Row],[OrderDate]]</f>
        <v>6</v>
      </c>
      <c r="Y871" t="str">
        <f>TEXT(Table1[[#This Row],[OrderDate]],"MMMM")</f>
        <v>December</v>
      </c>
      <c r="Z871" s="5">
        <f>YEAR(Table1[[#This Row],[OrderDate]])</f>
        <v>2023</v>
      </c>
    </row>
    <row r="872" spans="1:26" x14ac:dyDescent="0.3">
      <c r="A872" s="1" t="s">
        <v>2706</v>
      </c>
      <c r="B872" t="s">
        <v>767</v>
      </c>
      <c r="C872" s="3">
        <v>34</v>
      </c>
      <c r="D872" s="1" t="s">
        <v>51</v>
      </c>
      <c r="E872" s="1" t="s">
        <v>99</v>
      </c>
      <c r="F872" s="1" t="s">
        <v>91</v>
      </c>
      <c r="G872" s="4">
        <v>45309</v>
      </c>
      <c r="H872" s="4">
        <v>45319</v>
      </c>
      <c r="I872" s="1" t="s">
        <v>93</v>
      </c>
      <c r="J872" s="1" t="s">
        <v>44</v>
      </c>
      <c r="K872" s="3">
        <v>2.9447852760736195</v>
      </c>
      <c r="L872" s="2">
        <v>33796</v>
      </c>
      <c r="M872" s="3">
        <v>15</v>
      </c>
      <c r="N872" s="1" t="s">
        <v>166</v>
      </c>
      <c r="O872" s="1" t="s">
        <v>281</v>
      </c>
      <c r="P872" s="1" t="s">
        <v>58</v>
      </c>
      <c r="Q872" s="1" t="s">
        <v>769</v>
      </c>
      <c r="R872" s="1" t="s">
        <v>2708</v>
      </c>
      <c r="S872" s="3">
        <v>1</v>
      </c>
      <c r="T872" s="1" t="s">
        <v>96</v>
      </c>
      <c r="U872" s="3">
        <v>147</v>
      </c>
      <c r="V872" s="1" t="s">
        <v>37</v>
      </c>
      <c r="W872" s="5">
        <f>Table1[[#This Row],[Quantity]]*Table1[[#This Row],[Price]]*(1-Table1[[#This Row],[Discount %]]/100)</f>
        <v>84593.668711656443</v>
      </c>
      <c r="X872">
        <f>Table1[[#This Row],[DeliveryDate]]-Table1[[#This Row],[OrderDate]]</f>
        <v>10</v>
      </c>
      <c r="Y872" t="str">
        <f>TEXT(Table1[[#This Row],[OrderDate]],"MMMM")</f>
        <v>January</v>
      </c>
      <c r="Z872" s="5">
        <f>YEAR(Table1[[#This Row],[OrderDate]])</f>
        <v>2024</v>
      </c>
    </row>
    <row r="873" spans="1:26" x14ac:dyDescent="0.3">
      <c r="A873" s="1" t="s">
        <v>2709</v>
      </c>
      <c r="B873" t="s">
        <v>555</v>
      </c>
      <c r="C873" s="3">
        <v>25</v>
      </c>
      <c r="D873" s="1" t="s">
        <v>24</v>
      </c>
      <c r="E873" s="1" t="s">
        <v>142</v>
      </c>
      <c r="F873" s="1" t="s">
        <v>53</v>
      </c>
      <c r="G873" s="4">
        <v>45614</v>
      </c>
      <c r="H873" s="4">
        <v>45618</v>
      </c>
      <c r="I873" s="1" t="s">
        <v>29</v>
      </c>
      <c r="J873" s="1" t="s">
        <v>44</v>
      </c>
      <c r="K873" s="3">
        <v>1</v>
      </c>
      <c r="L873" s="2">
        <v>71001</v>
      </c>
      <c r="M873" s="3">
        <v>15</v>
      </c>
      <c r="N873" s="1" t="s">
        <v>45</v>
      </c>
      <c r="O873" s="1" t="s">
        <v>86</v>
      </c>
      <c r="P873" s="1" t="s">
        <v>69</v>
      </c>
      <c r="Q873" s="1" t="s">
        <v>558</v>
      </c>
      <c r="R873" s="1" t="s">
        <v>2710</v>
      </c>
      <c r="S873" s="3">
        <v>5</v>
      </c>
      <c r="T873" s="1" t="s">
        <v>96</v>
      </c>
      <c r="U873" s="3">
        <v>288</v>
      </c>
      <c r="V873" s="1" t="s">
        <v>37</v>
      </c>
      <c r="W873" s="5">
        <f>Table1[[#This Row],[Quantity]]*Table1[[#This Row],[Price]]*(1-Table1[[#This Row],[Discount %]]/100)</f>
        <v>60350.85</v>
      </c>
      <c r="X873">
        <f>Table1[[#This Row],[DeliveryDate]]-Table1[[#This Row],[OrderDate]]</f>
        <v>4</v>
      </c>
      <c r="Y873" t="str">
        <f>TEXT(Table1[[#This Row],[OrderDate]],"MMMM")</f>
        <v>November</v>
      </c>
      <c r="Z873" s="5">
        <f>YEAR(Table1[[#This Row],[OrderDate]])</f>
        <v>2024</v>
      </c>
    </row>
    <row r="874" spans="1:26" x14ac:dyDescent="0.3">
      <c r="A874" s="1" t="s">
        <v>2711</v>
      </c>
      <c r="B874" t="s">
        <v>261</v>
      </c>
      <c r="C874" s="3">
        <v>26</v>
      </c>
      <c r="D874" s="1" t="s">
        <v>24</v>
      </c>
      <c r="E874" s="1" t="s">
        <v>142</v>
      </c>
      <c r="F874" s="1" t="s">
        <v>82</v>
      </c>
      <c r="G874" s="4">
        <v>45065</v>
      </c>
      <c r="H874" s="4">
        <v>45074</v>
      </c>
      <c r="I874" s="1" t="s">
        <v>93</v>
      </c>
      <c r="J874" s="1" t="s">
        <v>30</v>
      </c>
      <c r="K874" s="3">
        <v>2</v>
      </c>
      <c r="L874" s="2">
        <v>13441</v>
      </c>
      <c r="M874" s="3">
        <v>5</v>
      </c>
      <c r="N874" s="1" t="s">
        <v>56</v>
      </c>
      <c r="O874" s="1" t="s">
        <v>68</v>
      </c>
      <c r="P874" s="1" t="s">
        <v>69</v>
      </c>
      <c r="Q874" s="1" t="s">
        <v>264</v>
      </c>
      <c r="R874" s="1" t="s">
        <v>2712</v>
      </c>
      <c r="S874" s="3">
        <v>4</v>
      </c>
      <c r="T874" s="1" t="s">
        <v>96</v>
      </c>
      <c r="U874" s="3">
        <v>298</v>
      </c>
      <c r="V874" s="1" t="s">
        <v>37</v>
      </c>
      <c r="W874" s="5">
        <f>Table1[[#This Row],[Quantity]]*Table1[[#This Row],[Price]]*(1-Table1[[#This Row],[Discount %]]/100)</f>
        <v>25537.899999999998</v>
      </c>
      <c r="X874">
        <f>Table1[[#This Row],[DeliveryDate]]-Table1[[#This Row],[OrderDate]]</f>
        <v>9</v>
      </c>
      <c r="Y874" t="str">
        <f>TEXT(Table1[[#This Row],[OrderDate]],"MMMM")</f>
        <v>May</v>
      </c>
      <c r="Z874" s="5">
        <f>YEAR(Table1[[#This Row],[OrderDate]])</f>
        <v>2023</v>
      </c>
    </row>
    <row r="875" spans="1:26" x14ac:dyDescent="0.3">
      <c r="A875" s="1" t="s">
        <v>2713</v>
      </c>
      <c r="B875" t="s">
        <v>338</v>
      </c>
      <c r="C875" s="3">
        <v>44</v>
      </c>
      <c r="D875" s="1" t="s">
        <v>24</v>
      </c>
      <c r="E875" s="1" t="s">
        <v>229</v>
      </c>
      <c r="F875" s="1" t="s">
        <v>53</v>
      </c>
      <c r="G875" s="4">
        <v>45411</v>
      </c>
      <c r="H875" s="4">
        <v>45412</v>
      </c>
      <c r="I875" s="1" t="s">
        <v>29</v>
      </c>
      <c r="J875" s="1" t="s">
        <v>30</v>
      </c>
      <c r="K875" s="3">
        <v>2</v>
      </c>
      <c r="L875" s="2">
        <v>34977</v>
      </c>
      <c r="M875" s="3">
        <v>0</v>
      </c>
      <c r="N875" s="1" t="s">
        <v>166</v>
      </c>
      <c r="O875" s="1" t="s">
        <v>32</v>
      </c>
      <c r="P875" s="1" t="s">
        <v>58</v>
      </c>
      <c r="Q875" s="1" t="s">
        <v>341</v>
      </c>
      <c r="R875" s="1" t="s">
        <v>2715</v>
      </c>
      <c r="S875" s="3">
        <v>5</v>
      </c>
      <c r="T875" s="1" t="s">
        <v>36</v>
      </c>
      <c r="U875" s="3">
        <v>317</v>
      </c>
      <c r="V875" s="1" t="s">
        <v>79</v>
      </c>
      <c r="W875" s="5">
        <f>Table1[[#This Row],[Quantity]]*Table1[[#This Row],[Price]]*(1-Table1[[#This Row],[Discount %]]/100)</f>
        <v>69954</v>
      </c>
      <c r="X875">
        <f>Table1[[#This Row],[DeliveryDate]]-Table1[[#This Row],[OrderDate]]</f>
        <v>1</v>
      </c>
      <c r="Y875" t="str">
        <f>TEXT(Table1[[#This Row],[OrderDate]],"MMMM")</f>
        <v>April</v>
      </c>
      <c r="Z875" s="5">
        <f>YEAR(Table1[[#This Row],[OrderDate]])</f>
        <v>2024</v>
      </c>
    </row>
    <row r="876" spans="1:26" x14ac:dyDescent="0.3">
      <c r="A876" s="1" t="s">
        <v>2716</v>
      </c>
      <c r="B876" t="s">
        <v>1686</v>
      </c>
      <c r="C876" s="3">
        <v>48</v>
      </c>
      <c r="D876" s="1" t="s">
        <v>51</v>
      </c>
      <c r="E876" s="1" t="s">
        <v>40</v>
      </c>
      <c r="F876" s="1" t="s">
        <v>26</v>
      </c>
      <c r="G876" s="4">
        <v>45519</v>
      </c>
      <c r="H876" s="4">
        <v>45520</v>
      </c>
      <c r="I876" s="1" t="s">
        <v>29</v>
      </c>
      <c r="J876" s="1" t="s">
        <v>30</v>
      </c>
      <c r="K876" s="3">
        <v>5</v>
      </c>
      <c r="L876" s="2">
        <v>14644</v>
      </c>
      <c r="M876" s="3">
        <v>0</v>
      </c>
      <c r="N876" s="1" t="s">
        <v>31</v>
      </c>
      <c r="O876" s="1" t="s">
        <v>57</v>
      </c>
      <c r="P876" s="1" t="s">
        <v>174</v>
      </c>
      <c r="Q876" s="1" t="s">
        <v>1687</v>
      </c>
      <c r="R876" s="1" t="s">
        <v>2718</v>
      </c>
      <c r="S876" s="3">
        <v>3</v>
      </c>
      <c r="T876" s="1" t="s">
        <v>36</v>
      </c>
      <c r="U876" s="3">
        <v>228</v>
      </c>
      <c r="V876" s="1" t="s">
        <v>62</v>
      </c>
      <c r="W876" s="5">
        <f>Table1[[#This Row],[Quantity]]*Table1[[#This Row],[Price]]*(1-Table1[[#This Row],[Discount %]]/100)</f>
        <v>73220</v>
      </c>
      <c r="X876">
        <f>Table1[[#This Row],[DeliveryDate]]-Table1[[#This Row],[OrderDate]]</f>
        <v>1</v>
      </c>
      <c r="Y876" t="str">
        <f>TEXT(Table1[[#This Row],[OrderDate]],"MMMM")</f>
        <v>August</v>
      </c>
      <c r="Z876" s="5">
        <f>YEAR(Table1[[#This Row],[OrderDate]])</f>
        <v>2024</v>
      </c>
    </row>
    <row r="877" spans="1:26" x14ac:dyDescent="0.3">
      <c r="A877" s="1" t="s">
        <v>2719</v>
      </c>
      <c r="B877" t="s">
        <v>623</v>
      </c>
      <c r="C877" s="3">
        <v>39</v>
      </c>
      <c r="D877" s="1" t="s">
        <v>24</v>
      </c>
      <c r="E877" s="1" t="s">
        <v>40</v>
      </c>
      <c r="F877" s="1" t="s">
        <v>91</v>
      </c>
      <c r="G877" s="4">
        <v>45357</v>
      </c>
      <c r="H877" s="4">
        <v>45361</v>
      </c>
      <c r="I877" s="1" t="s">
        <v>77</v>
      </c>
      <c r="J877" s="1" t="s">
        <v>30</v>
      </c>
      <c r="K877" s="3">
        <v>5</v>
      </c>
      <c r="L877" s="2">
        <v>38058</v>
      </c>
      <c r="M877" s="3">
        <v>0</v>
      </c>
      <c r="N877" s="1" t="s">
        <v>56</v>
      </c>
      <c r="O877" s="1" t="s">
        <v>133</v>
      </c>
      <c r="P877" s="1" t="s">
        <v>33</v>
      </c>
      <c r="Q877" s="1" t="s">
        <v>3415</v>
      </c>
      <c r="R877" s="1" t="s">
        <v>2721</v>
      </c>
      <c r="S877" s="3">
        <v>4</v>
      </c>
      <c r="T877" s="1" t="s">
        <v>61</v>
      </c>
      <c r="U877" s="3">
        <v>213</v>
      </c>
      <c r="V877" s="1" t="s">
        <v>37</v>
      </c>
      <c r="W877" s="5">
        <f>Table1[[#This Row],[Quantity]]*Table1[[#This Row],[Price]]*(1-Table1[[#This Row],[Discount %]]/100)</f>
        <v>190290</v>
      </c>
      <c r="X877">
        <f>Table1[[#This Row],[DeliveryDate]]-Table1[[#This Row],[OrderDate]]</f>
        <v>4</v>
      </c>
      <c r="Y877" t="str">
        <f>TEXT(Table1[[#This Row],[OrderDate]],"MMMM")</f>
        <v>March</v>
      </c>
      <c r="Z877" s="5">
        <f>YEAR(Table1[[#This Row],[OrderDate]])</f>
        <v>2024</v>
      </c>
    </row>
    <row r="878" spans="1:26" x14ac:dyDescent="0.3">
      <c r="A878" s="1" t="s">
        <v>2722</v>
      </c>
      <c r="B878" t="s">
        <v>674</v>
      </c>
      <c r="C878" s="3">
        <v>57</v>
      </c>
      <c r="D878" s="1" t="s">
        <v>24</v>
      </c>
      <c r="E878" s="1" t="s">
        <v>99</v>
      </c>
      <c r="F878" s="1" t="s">
        <v>65</v>
      </c>
      <c r="G878" s="4">
        <v>45346</v>
      </c>
      <c r="H878" s="4">
        <v>45356</v>
      </c>
      <c r="I878" s="1" t="s">
        <v>29</v>
      </c>
      <c r="J878" s="1" t="s">
        <v>30</v>
      </c>
      <c r="K878" s="3">
        <v>5</v>
      </c>
      <c r="L878" s="2">
        <v>36343</v>
      </c>
      <c r="M878" s="3">
        <v>15</v>
      </c>
      <c r="N878" s="1" t="s">
        <v>56</v>
      </c>
      <c r="O878" s="1" t="s">
        <v>46</v>
      </c>
      <c r="P878" s="1" t="s">
        <v>174</v>
      </c>
      <c r="Q878" s="1" t="s">
        <v>677</v>
      </c>
      <c r="R878" s="1" t="s">
        <v>2723</v>
      </c>
      <c r="S878" s="3">
        <v>3</v>
      </c>
      <c r="T878" s="1" t="s">
        <v>36</v>
      </c>
      <c r="U878" s="3">
        <v>453</v>
      </c>
      <c r="V878" s="1" t="s">
        <v>37</v>
      </c>
      <c r="W878" s="5">
        <f>Table1[[#This Row],[Quantity]]*Table1[[#This Row],[Price]]*(1-Table1[[#This Row],[Discount %]]/100)</f>
        <v>154457.75</v>
      </c>
      <c r="X878">
        <f>Table1[[#This Row],[DeliveryDate]]-Table1[[#This Row],[OrderDate]]</f>
        <v>10</v>
      </c>
      <c r="Y878" t="str">
        <f>TEXT(Table1[[#This Row],[OrderDate]],"MMMM")</f>
        <v>February</v>
      </c>
      <c r="Z878" s="5">
        <f>YEAR(Table1[[#This Row],[OrderDate]])</f>
        <v>2024</v>
      </c>
    </row>
    <row r="879" spans="1:26" x14ac:dyDescent="0.3">
      <c r="A879" s="1" t="s">
        <v>2724</v>
      </c>
      <c r="B879" t="s">
        <v>327</v>
      </c>
      <c r="C879" s="3">
        <v>19</v>
      </c>
      <c r="D879" s="1" t="s">
        <v>51</v>
      </c>
      <c r="E879" s="1" t="s">
        <v>26</v>
      </c>
      <c r="F879" s="1" t="s">
        <v>65</v>
      </c>
      <c r="G879" s="4">
        <v>45166</v>
      </c>
      <c r="H879" s="4">
        <v>45169</v>
      </c>
      <c r="I879" s="1" t="s">
        <v>93</v>
      </c>
      <c r="J879" s="1" t="s">
        <v>44</v>
      </c>
      <c r="K879" s="3">
        <v>4</v>
      </c>
      <c r="L879" s="2">
        <v>59000</v>
      </c>
      <c r="M879" s="3">
        <v>10</v>
      </c>
      <c r="N879" s="1" t="s">
        <v>56</v>
      </c>
      <c r="O879" s="1" t="s">
        <v>46</v>
      </c>
      <c r="P879" s="1" t="s">
        <v>69</v>
      </c>
      <c r="Q879" s="1" t="s">
        <v>330</v>
      </c>
      <c r="R879" s="1" t="s">
        <v>2725</v>
      </c>
      <c r="S879" s="3">
        <v>1</v>
      </c>
      <c r="T879" s="1" t="s">
        <v>61</v>
      </c>
      <c r="U879" s="3">
        <v>60</v>
      </c>
      <c r="V879" s="1" t="s">
        <v>79</v>
      </c>
      <c r="W879" s="5">
        <f>Table1[[#This Row],[Quantity]]*Table1[[#This Row],[Price]]*(1-Table1[[#This Row],[Discount %]]/100)</f>
        <v>212400</v>
      </c>
      <c r="X879">
        <f>Table1[[#This Row],[DeliveryDate]]-Table1[[#This Row],[OrderDate]]</f>
        <v>3</v>
      </c>
      <c r="Y879" t="str">
        <f>TEXT(Table1[[#This Row],[OrderDate]],"MMMM")</f>
        <v>August</v>
      </c>
      <c r="Z879" s="5">
        <f>YEAR(Table1[[#This Row],[OrderDate]])</f>
        <v>2023</v>
      </c>
    </row>
    <row r="880" spans="1:26" x14ac:dyDescent="0.3">
      <c r="A880" s="1" t="s">
        <v>2726</v>
      </c>
      <c r="B880" t="s">
        <v>819</v>
      </c>
      <c r="C880" s="3">
        <v>42</v>
      </c>
      <c r="D880" s="1" t="s">
        <v>24</v>
      </c>
      <c r="E880" s="1" t="s">
        <v>26</v>
      </c>
      <c r="F880" s="1" t="s">
        <v>82</v>
      </c>
      <c r="G880" s="4">
        <v>45230</v>
      </c>
      <c r="H880" s="4">
        <v>45232</v>
      </c>
      <c r="I880" s="1" t="s">
        <v>108</v>
      </c>
      <c r="J880" s="1" t="s">
        <v>30</v>
      </c>
      <c r="K880" s="3">
        <v>3</v>
      </c>
      <c r="L880" s="2">
        <v>69110</v>
      </c>
      <c r="M880" s="3">
        <v>5</v>
      </c>
      <c r="N880" s="1" t="s">
        <v>56</v>
      </c>
      <c r="O880" s="1" t="s">
        <v>86</v>
      </c>
      <c r="P880" s="1" t="s">
        <v>174</v>
      </c>
      <c r="Q880" s="1" t="s">
        <v>821</v>
      </c>
      <c r="R880" s="1" t="s">
        <v>2727</v>
      </c>
      <c r="S880" s="3">
        <v>3</v>
      </c>
      <c r="T880" s="1" t="s">
        <v>36</v>
      </c>
      <c r="U880" s="3">
        <v>445</v>
      </c>
      <c r="V880" s="1" t="s">
        <v>79</v>
      </c>
      <c r="W880" s="5">
        <f>Table1[[#This Row],[Quantity]]*Table1[[#This Row],[Price]]*(1-Table1[[#This Row],[Discount %]]/100)</f>
        <v>196963.5</v>
      </c>
      <c r="X880">
        <f>Table1[[#This Row],[DeliveryDate]]-Table1[[#This Row],[OrderDate]]</f>
        <v>2</v>
      </c>
      <c r="Y880" t="str">
        <f>TEXT(Table1[[#This Row],[OrderDate]],"MMMM")</f>
        <v>October</v>
      </c>
      <c r="Z880" s="5">
        <f>YEAR(Table1[[#This Row],[OrderDate]])</f>
        <v>2023</v>
      </c>
    </row>
    <row r="881" spans="1:26" x14ac:dyDescent="0.3">
      <c r="A881" s="1" t="s">
        <v>2728</v>
      </c>
      <c r="B881" t="s">
        <v>125</v>
      </c>
      <c r="C881" s="3">
        <v>54</v>
      </c>
      <c r="D881" s="1" t="s">
        <v>24</v>
      </c>
      <c r="E881" s="1" t="s">
        <v>25</v>
      </c>
      <c r="F881" s="1" t="s">
        <v>82</v>
      </c>
      <c r="G881" s="4">
        <v>45302</v>
      </c>
      <c r="H881" s="4">
        <v>45309</v>
      </c>
      <c r="I881" s="1" t="s">
        <v>85</v>
      </c>
      <c r="J881" s="1" t="s">
        <v>44</v>
      </c>
      <c r="K881" s="3">
        <v>2.9447852760736195</v>
      </c>
      <c r="L881" s="2">
        <v>45252</v>
      </c>
      <c r="M881" s="3">
        <v>10</v>
      </c>
      <c r="N881" s="1" t="s">
        <v>31</v>
      </c>
      <c r="O881" s="1" t="s">
        <v>281</v>
      </c>
      <c r="P881" s="1" t="s">
        <v>69</v>
      </c>
      <c r="Q881" s="1" t="s">
        <v>756</v>
      </c>
      <c r="R881" s="1" t="s">
        <v>2730</v>
      </c>
      <c r="S881" s="3">
        <v>2</v>
      </c>
      <c r="T881" s="1" t="s">
        <v>96</v>
      </c>
      <c r="U881" s="3">
        <v>202</v>
      </c>
      <c r="V881" s="1" t="s">
        <v>79</v>
      </c>
      <c r="W881" s="5">
        <f>Table1[[#This Row],[Quantity]]*Table1[[#This Row],[Price]]*(1-Table1[[#This Row],[Discount %]]/100)</f>
        <v>119931.68098159508</v>
      </c>
      <c r="X881">
        <f>Table1[[#This Row],[DeliveryDate]]-Table1[[#This Row],[OrderDate]]</f>
        <v>7</v>
      </c>
      <c r="Y881" t="str">
        <f>TEXT(Table1[[#This Row],[OrderDate]],"MMMM")</f>
        <v>January</v>
      </c>
      <c r="Z881" s="5">
        <f>YEAR(Table1[[#This Row],[OrderDate]])</f>
        <v>2024</v>
      </c>
    </row>
    <row r="882" spans="1:26" x14ac:dyDescent="0.3">
      <c r="A882" s="1" t="s">
        <v>2731</v>
      </c>
      <c r="B882" t="s">
        <v>1690</v>
      </c>
      <c r="C882" s="3">
        <v>57</v>
      </c>
      <c r="D882" s="1" t="s">
        <v>51</v>
      </c>
      <c r="E882" s="1" t="s">
        <v>25</v>
      </c>
      <c r="F882" s="1" t="s">
        <v>91</v>
      </c>
      <c r="G882" s="4">
        <v>44938</v>
      </c>
      <c r="H882" s="4">
        <v>44947</v>
      </c>
      <c r="I882" s="1" t="s">
        <v>108</v>
      </c>
      <c r="J882" s="1" t="s">
        <v>44</v>
      </c>
      <c r="K882" s="3">
        <v>2</v>
      </c>
      <c r="L882" s="2">
        <v>69590</v>
      </c>
      <c r="M882" s="3">
        <v>0</v>
      </c>
      <c r="N882" s="1" t="s">
        <v>56</v>
      </c>
      <c r="O882" s="1" t="s">
        <v>133</v>
      </c>
      <c r="P882" s="1" t="s">
        <v>69</v>
      </c>
      <c r="Q882" s="1" t="s">
        <v>87</v>
      </c>
      <c r="R882" s="1" t="s">
        <v>3415</v>
      </c>
      <c r="S882" s="3">
        <v>4</v>
      </c>
      <c r="T882" s="1" t="s">
        <v>36</v>
      </c>
      <c r="U882" s="3">
        <v>402</v>
      </c>
      <c r="V882" s="1" t="s">
        <v>62</v>
      </c>
      <c r="W882" s="5">
        <f>Table1[[#This Row],[Quantity]]*Table1[[#This Row],[Price]]*(1-Table1[[#This Row],[Discount %]]/100)</f>
        <v>139180</v>
      </c>
      <c r="X882">
        <f>Table1[[#This Row],[DeliveryDate]]-Table1[[#This Row],[OrderDate]]</f>
        <v>9</v>
      </c>
      <c r="Y882" t="str">
        <f>TEXT(Table1[[#This Row],[OrderDate]],"MMMM")</f>
        <v>January</v>
      </c>
      <c r="Z882" s="5">
        <f>YEAR(Table1[[#This Row],[OrderDate]])</f>
        <v>2023</v>
      </c>
    </row>
    <row r="883" spans="1:26" x14ac:dyDescent="0.3">
      <c r="A883" s="1" t="s">
        <v>2732</v>
      </c>
      <c r="B883" t="s">
        <v>278</v>
      </c>
      <c r="C883" s="3">
        <v>37</v>
      </c>
      <c r="D883" s="1" t="s">
        <v>24</v>
      </c>
      <c r="E883" s="1" t="s">
        <v>40</v>
      </c>
      <c r="F883" s="1" t="s">
        <v>26</v>
      </c>
      <c r="G883" s="4">
        <v>45550</v>
      </c>
      <c r="H883" s="4">
        <v>45552</v>
      </c>
      <c r="I883" s="1" t="s">
        <v>77</v>
      </c>
      <c r="J883" s="1" t="s">
        <v>30</v>
      </c>
      <c r="K883" s="3">
        <v>1</v>
      </c>
      <c r="L883" s="2">
        <v>52665</v>
      </c>
      <c r="M883" s="3">
        <v>0</v>
      </c>
      <c r="N883" s="1" t="s">
        <v>56</v>
      </c>
      <c r="O883" s="1" t="s">
        <v>57</v>
      </c>
      <c r="P883" s="1" t="s">
        <v>174</v>
      </c>
      <c r="Q883" s="1" t="s">
        <v>282</v>
      </c>
      <c r="R883" s="1" t="s">
        <v>2733</v>
      </c>
      <c r="S883" s="3">
        <v>3</v>
      </c>
      <c r="T883" s="1" t="s">
        <v>96</v>
      </c>
      <c r="U883" s="3">
        <v>473</v>
      </c>
      <c r="V883" s="1" t="s">
        <v>62</v>
      </c>
      <c r="W883" s="5">
        <f>Table1[[#This Row],[Quantity]]*Table1[[#This Row],[Price]]*(1-Table1[[#This Row],[Discount %]]/100)</f>
        <v>52665</v>
      </c>
      <c r="X883">
        <f>Table1[[#This Row],[DeliveryDate]]-Table1[[#This Row],[OrderDate]]</f>
        <v>2</v>
      </c>
      <c r="Y883" t="str">
        <f>TEXT(Table1[[#This Row],[OrderDate]],"MMMM")</f>
        <v>September</v>
      </c>
      <c r="Z883" s="5">
        <f>YEAR(Table1[[#This Row],[OrderDate]])</f>
        <v>2024</v>
      </c>
    </row>
    <row r="884" spans="1:26" x14ac:dyDescent="0.3">
      <c r="A884" s="1" t="s">
        <v>2734</v>
      </c>
      <c r="B884" t="s">
        <v>729</v>
      </c>
      <c r="C884" s="3">
        <v>48</v>
      </c>
      <c r="D884" s="1" t="s">
        <v>24</v>
      </c>
      <c r="E884" s="1" t="s">
        <v>229</v>
      </c>
      <c r="F884" s="1" t="s">
        <v>65</v>
      </c>
      <c r="G884" s="4">
        <v>45110</v>
      </c>
      <c r="H884" s="4">
        <v>45114</v>
      </c>
      <c r="I884" s="1" t="s">
        <v>29</v>
      </c>
      <c r="J884" s="1" t="s">
        <v>44</v>
      </c>
      <c r="K884" s="3">
        <v>3</v>
      </c>
      <c r="L884" s="2">
        <v>33739</v>
      </c>
      <c r="M884" s="3">
        <v>15</v>
      </c>
      <c r="N884" s="1" t="s">
        <v>56</v>
      </c>
      <c r="O884" s="1" t="s">
        <v>102</v>
      </c>
      <c r="P884" s="1" t="s">
        <v>33</v>
      </c>
      <c r="Q884" s="1" t="s">
        <v>732</v>
      </c>
      <c r="R884" s="1" t="s">
        <v>2735</v>
      </c>
      <c r="S884" s="3">
        <v>5</v>
      </c>
      <c r="T884" s="1" t="s">
        <v>36</v>
      </c>
      <c r="U884" s="3">
        <v>463</v>
      </c>
      <c r="V884" s="1" t="s">
        <v>62</v>
      </c>
      <c r="W884" s="5">
        <f>Table1[[#This Row],[Quantity]]*Table1[[#This Row],[Price]]*(1-Table1[[#This Row],[Discount %]]/100)</f>
        <v>86034.45</v>
      </c>
      <c r="X884">
        <f>Table1[[#This Row],[DeliveryDate]]-Table1[[#This Row],[OrderDate]]</f>
        <v>4</v>
      </c>
      <c r="Y884" t="str">
        <f>TEXT(Table1[[#This Row],[OrderDate]],"MMMM")</f>
        <v>July</v>
      </c>
      <c r="Z884" s="5">
        <f>YEAR(Table1[[#This Row],[OrderDate]])</f>
        <v>2023</v>
      </c>
    </row>
    <row r="885" spans="1:26" x14ac:dyDescent="0.3">
      <c r="A885" s="1" t="s">
        <v>2736</v>
      </c>
      <c r="B885" t="s">
        <v>476</v>
      </c>
      <c r="C885" s="3">
        <v>33</v>
      </c>
      <c r="D885" s="1" t="s">
        <v>51</v>
      </c>
      <c r="E885" s="1" t="s">
        <v>25</v>
      </c>
      <c r="F885" s="1" t="s">
        <v>53</v>
      </c>
      <c r="G885" s="4">
        <v>45072</v>
      </c>
      <c r="H885" s="4">
        <v>45080</v>
      </c>
      <c r="I885" s="1" t="s">
        <v>108</v>
      </c>
      <c r="J885" s="1" t="s">
        <v>44</v>
      </c>
      <c r="K885" s="3">
        <v>1</v>
      </c>
      <c r="L885" s="2">
        <v>65301</v>
      </c>
      <c r="M885" s="3">
        <v>15</v>
      </c>
      <c r="N885" s="1" t="s">
        <v>45</v>
      </c>
      <c r="O885" s="1" t="s">
        <v>173</v>
      </c>
      <c r="P885" s="1" t="s">
        <v>58</v>
      </c>
      <c r="Q885" s="1" t="s">
        <v>478</v>
      </c>
      <c r="R885" s="1" t="s">
        <v>3415</v>
      </c>
      <c r="S885" s="3">
        <v>5</v>
      </c>
      <c r="T885" s="1" t="s">
        <v>72</v>
      </c>
      <c r="U885" s="3">
        <v>112</v>
      </c>
      <c r="V885" s="1" t="s">
        <v>37</v>
      </c>
      <c r="W885" s="5">
        <f>Table1[[#This Row],[Quantity]]*Table1[[#This Row],[Price]]*(1-Table1[[#This Row],[Discount %]]/100)</f>
        <v>55505.85</v>
      </c>
      <c r="X885">
        <f>Table1[[#This Row],[DeliveryDate]]-Table1[[#This Row],[OrderDate]]</f>
        <v>8</v>
      </c>
      <c r="Y885" t="str">
        <f>TEXT(Table1[[#This Row],[OrderDate]],"MMMM")</f>
        <v>May</v>
      </c>
      <c r="Z885" s="5">
        <f>YEAR(Table1[[#This Row],[OrderDate]])</f>
        <v>2023</v>
      </c>
    </row>
    <row r="886" spans="1:26" x14ac:dyDescent="0.3">
      <c r="A886" s="1" t="s">
        <v>2737</v>
      </c>
      <c r="B886" t="s">
        <v>1309</v>
      </c>
      <c r="C886" s="3">
        <v>40</v>
      </c>
      <c r="D886" s="1" t="s">
        <v>24</v>
      </c>
      <c r="E886" s="1" t="s">
        <v>26</v>
      </c>
      <c r="F886" s="1" t="s">
        <v>65</v>
      </c>
      <c r="G886" s="4">
        <v>45165</v>
      </c>
      <c r="H886" s="4">
        <v>45169</v>
      </c>
      <c r="I886" s="1" t="s">
        <v>93</v>
      </c>
      <c r="J886" s="1" t="s">
        <v>44</v>
      </c>
      <c r="K886" s="3">
        <v>3</v>
      </c>
      <c r="L886" s="2">
        <v>67260</v>
      </c>
      <c r="M886" s="3">
        <v>5</v>
      </c>
      <c r="N886" s="1" t="s">
        <v>45</v>
      </c>
      <c r="O886" s="1" t="s">
        <v>86</v>
      </c>
      <c r="P886" s="1" t="s">
        <v>69</v>
      </c>
      <c r="Q886" s="1" t="s">
        <v>1311</v>
      </c>
      <c r="R886" s="1" t="s">
        <v>2738</v>
      </c>
      <c r="S886" s="3">
        <v>4</v>
      </c>
      <c r="T886" s="1" t="s">
        <v>96</v>
      </c>
      <c r="U886" s="3">
        <v>71</v>
      </c>
      <c r="V886" s="1" t="s">
        <v>62</v>
      </c>
      <c r="W886" s="5">
        <f>Table1[[#This Row],[Quantity]]*Table1[[#This Row],[Price]]*(1-Table1[[#This Row],[Discount %]]/100)</f>
        <v>191691</v>
      </c>
      <c r="X886">
        <f>Table1[[#This Row],[DeliveryDate]]-Table1[[#This Row],[OrderDate]]</f>
        <v>4</v>
      </c>
      <c r="Y886" t="str">
        <f>TEXT(Table1[[#This Row],[OrderDate]],"MMMM")</f>
        <v>August</v>
      </c>
      <c r="Z886" s="5">
        <f>YEAR(Table1[[#This Row],[OrderDate]])</f>
        <v>2023</v>
      </c>
    </row>
    <row r="887" spans="1:26" x14ac:dyDescent="0.3">
      <c r="A887" s="1" t="s">
        <v>2739</v>
      </c>
      <c r="B887" t="s">
        <v>509</v>
      </c>
      <c r="C887" s="3">
        <v>40</v>
      </c>
      <c r="D887" s="1" t="s">
        <v>51</v>
      </c>
      <c r="E887" s="1" t="s">
        <v>131</v>
      </c>
      <c r="F887" s="1" t="s">
        <v>65</v>
      </c>
      <c r="G887" s="4">
        <v>45050</v>
      </c>
      <c r="H887" s="4">
        <v>45058</v>
      </c>
      <c r="I887" s="1" t="s">
        <v>93</v>
      </c>
      <c r="J887" s="1" t="s">
        <v>44</v>
      </c>
      <c r="K887" s="3">
        <v>5</v>
      </c>
      <c r="L887" s="2">
        <v>28086</v>
      </c>
      <c r="M887" s="3">
        <v>0</v>
      </c>
      <c r="N887" s="1" t="s">
        <v>45</v>
      </c>
      <c r="O887" s="1" t="s">
        <v>109</v>
      </c>
      <c r="P887" s="1" t="s">
        <v>33</v>
      </c>
      <c r="Q887" s="1" t="s">
        <v>512</v>
      </c>
      <c r="R887" s="1" t="s">
        <v>3415</v>
      </c>
      <c r="S887" s="3">
        <v>2</v>
      </c>
      <c r="T887" s="1" t="s">
        <v>36</v>
      </c>
      <c r="U887" s="3">
        <v>216</v>
      </c>
      <c r="V887" s="1" t="s">
        <v>79</v>
      </c>
      <c r="W887" s="5">
        <f>Table1[[#This Row],[Quantity]]*Table1[[#This Row],[Price]]*(1-Table1[[#This Row],[Discount %]]/100)</f>
        <v>140430</v>
      </c>
      <c r="X887">
        <f>Table1[[#This Row],[DeliveryDate]]-Table1[[#This Row],[OrderDate]]</f>
        <v>8</v>
      </c>
      <c r="Y887" t="str">
        <f>TEXT(Table1[[#This Row],[OrderDate]],"MMMM")</f>
        <v>May</v>
      </c>
      <c r="Z887" s="5">
        <f>YEAR(Table1[[#This Row],[OrderDate]])</f>
        <v>2023</v>
      </c>
    </row>
    <row r="888" spans="1:26" x14ac:dyDescent="0.3">
      <c r="A888" s="1" t="s">
        <v>2740</v>
      </c>
      <c r="B888" t="s">
        <v>90</v>
      </c>
      <c r="C888" s="3">
        <v>52</v>
      </c>
      <c r="D888" s="1" t="s">
        <v>51</v>
      </c>
      <c r="E888" s="1" t="s">
        <v>99</v>
      </c>
      <c r="F888" s="1" t="s">
        <v>91</v>
      </c>
      <c r="G888" s="4">
        <v>45559</v>
      </c>
      <c r="H888" s="4">
        <v>45560</v>
      </c>
      <c r="I888" s="1" t="s">
        <v>29</v>
      </c>
      <c r="J888" s="1" t="s">
        <v>44</v>
      </c>
      <c r="K888" s="3">
        <v>1</v>
      </c>
      <c r="L888" s="2">
        <v>55737</v>
      </c>
      <c r="M888" s="3">
        <v>0</v>
      </c>
      <c r="N888" s="1" t="s">
        <v>56</v>
      </c>
      <c r="O888" s="1" t="s">
        <v>281</v>
      </c>
      <c r="P888" s="1" t="s">
        <v>58</v>
      </c>
      <c r="Q888" s="1" t="s">
        <v>3415</v>
      </c>
      <c r="R888" s="1" t="s">
        <v>2741</v>
      </c>
      <c r="S888" s="3">
        <v>4</v>
      </c>
      <c r="T888" s="1" t="s">
        <v>36</v>
      </c>
      <c r="U888" s="3">
        <v>205</v>
      </c>
      <c r="V888" s="1" t="s">
        <v>79</v>
      </c>
      <c r="W888" s="5">
        <f>Table1[[#This Row],[Quantity]]*Table1[[#This Row],[Price]]*(1-Table1[[#This Row],[Discount %]]/100)</f>
        <v>55737</v>
      </c>
      <c r="X888">
        <f>Table1[[#This Row],[DeliveryDate]]-Table1[[#This Row],[OrderDate]]</f>
        <v>1</v>
      </c>
      <c r="Y888" t="str">
        <f>TEXT(Table1[[#This Row],[OrderDate]],"MMMM")</f>
        <v>September</v>
      </c>
      <c r="Z888" s="5">
        <f>YEAR(Table1[[#This Row],[OrderDate]])</f>
        <v>2024</v>
      </c>
    </row>
    <row r="889" spans="1:26" x14ac:dyDescent="0.3">
      <c r="A889" s="1" t="s">
        <v>2742</v>
      </c>
      <c r="B889" t="s">
        <v>156</v>
      </c>
      <c r="C889" s="3">
        <v>20</v>
      </c>
      <c r="D889" s="1" t="s">
        <v>51</v>
      </c>
      <c r="E889" s="1" t="s">
        <v>229</v>
      </c>
      <c r="F889" s="1" t="s">
        <v>91</v>
      </c>
      <c r="G889" s="4">
        <v>45467</v>
      </c>
      <c r="H889" s="4">
        <v>45471</v>
      </c>
      <c r="I889" s="1" t="s">
        <v>108</v>
      </c>
      <c r="J889" s="1" t="s">
        <v>30</v>
      </c>
      <c r="K889" s="3">
        <v>4</v>
      </c>
      <c r="L889" s="2">
        <v>56896</v>
      </c>
      <c r="M889" s="3">
        <v>0</v>
      </c>
      <c r="N889" s="1" t="s">
        <v>166</v>
      </c>
      <c r="O889" s="1" t="s">
        <v>32</v>
      </c>
      <c r="P889" s="1" t="s">
        <v>69</v>
      </c>
      <c r="Q889" s="1" t="s">
        <v>159</v>
      </c>
      <c r="R889" s="1" t="s">
        <v>2744</v>
      </c>
      <c r="S889" s="3">
        <v>1</v>
      </c>
      <c r="T889" s="1" t="s">
        <v>61</v>
      </c>
      <c r="U889" s="3">
        <v>55</v>
      </c>
      <c r="V889" s="1" t="s">
        <v>62</v>
      </c>
      <c r="W889" s="5">
        <f>Table1[[#This Row],[Quantity]]*Table1[[#This Row],[Price]]*(1-Table1[[#This Row],[Discount %]]/100)</f>
        <v>227584</v>
      </c>
      <c r="X889">
        <f>Table1[[#This Row],[DeliveryDate]]-Table1[[#This Row],[OrderDate]]</f>
        <v>4</v>
      </c>
      <c r="Y889" t="str">
        <f>TEXT(Table1[[#This Row],[OrderDate]],"MMMM")</f>
        <v>June</v>
      </c>
      <c r="Z889" s="5">
        <f>YEAR(Table1[[#This Row],[OrderDate]])</f>
        <v>2024</v>
      </c>
    </row>
    <row r="890" spans="1:26" x14ac:dyDescent="0.3">
      <c r="A890" s="1" t="s">
        <v>2745</v>
      </c>
      <c r="B890" t="s">
        <v>1309</v>
      </c>
      <c r="C890" s="3">
        <v>48</v>
      </c>
      <c r="D890" s="1" t="s">
        <v>51</v>
      </c>
      <c r="E890" s="1" t="s">
        <v>229</v>
      </c>
      <c r="F890" s="1" t="s">
        <v>53</v>
      </c>
      <c r="G890" s="4">
        <v>45034</v>
      </c>
      <c r="H890" s="4">
        <v>45044</v>
      </c>
      <c r="I890" s="1" t="s">
        <v>77</v>
      </c>
      <c r="J890" s="1" t="s">
        <v>44</v>
      </c>
      <c r="K890" s="3">
        <v>1</v>
      </c>
      <c r="L890" s="2">
        <v>58686</v>
      </c>
      <c r="M890" s="3">
        <v>5</v>
      </c>
      <c r="N890" s="1" t="s">
        <v>45</v>
      </c>
      <c r="O890" s="1" t="s">
        <v>281</v>
      </c>
      <c r="P890" s="1" t="s">
        <v>58</v>
      </c>
      <c r="Q890" s="1" t="s">
        <v>3415</v>
      </c>
      <c r="R890" s="1" t="s">
        <v>2746</v>
      </c>
      <c r="S890" s="3">
        <v>2</v>
      </c>
      <c r="T890" s="1" t="s">
        <v>36</v>
      </c>
      <c r="U890" s="3">
        <v>330</v>
      </c>
      <c r="V890" s="1" t="s">
        <v>62</v>
      </c>
      <c r="W890" s="5">
        <f>Table1[[#This Row],[Quantity]]*Table1[[#This Row],[Price]]*(1-Table1[[#This Row],[Discount %]]/100)</f>
        <v>55751.7</v>
      </c>
      <c r="X890">
        <f>Table1[[#This Row],[DeliveryDate]]-Table1[[#This Row],[OrderDate]]</f>
        <v>10</v>
      </c>
      <c r="Y890" t="str">
        <f>TEXT(Table1[[#This Row],[OrderDate]],"MMMM")</f>
        <v>April</v>
      </c>
      <c r="Z890" s="5">
        <f>YEAR(Table1[[#This Row],[OrderDate]])</f>
        <v>2023</v>
      </c>
    </row>
    <row r="891" spans="1:26" x14ac:dyDescent="0.3">
      <c r="A891" s="1" t="s">
        <v>2747</v>
      </c>
      <c r="B891" t="s">
        <v>1340</v>
      </c>
      <c r="C891" s="3">
        <v>46</v>
      </c>
      <c r="D891" s="1" t="s">
        <v>24</v>
      </c>
      <c r="E891" s="1" t="s">
        <v>40</v>
      </c>
      <c r="F891" s="1" t="s">
        <v>26</v>
      </c>
      <c r="G891" s="4">
        <v>45232</v>
      </c>
      <c r="H891" s="4">
        <v>45233</v>
      </c>
      <c r="I891" s="1" t="s">
        <v>77</v>
      </c>
      <c r="J891" s="1" t="s">
        <v>44</v>
      </c>
      <c r="K891" s="3">
        <v>1</v>
      </c>
      <c r="L891" s="2">
        <v>42109.716287215415</v>
      </c>
      <c r="M891" s="3">
        <v>10</v>
      </c>
      <c r="N891" s="1" t="s">
        <v>45</v>
      </c>
      <c r="O891" s="1" t="s">
        <v>46</v>
      </c>
      <c r="P891" s="1" t="s">
        <v>174</v>
      </c>
      <c r="Q891" s="1" t="s">
        <v>1342</v>
      </c>
      <c r="R891" s="1" t="s">
        <v>2749</v>
      </c>
      <c r="S891" s="3">
        <v>3</v>
      </c>
      <c r="T891" s="1" t="s">
        <v>36</v>
      </c>
      <c r="U891" s="3">
        <v>199</v>
      </c>
      <c r="V891" s="1" t="s">
        <v>79</v>
      </c>
      <c r="W891" s="5">
        <f>Table1[[#This Row],[Quantity]]*Table1[[#This Row],[Price]]*(1-Table1[[#This Row],[Discount %]]/100)</f>
        <v>37898.744658493873</v>
      </c>
      <c r="X891">
        <f>Table1[[#This Row],[DeliveryDate]]-Table1[[#This Row],[OrderDate]]</f>
        <v>1</v>
      </c>
      <c r="Y891" t="str">
        <f>TEXT(Table1[[#This Row],[OrderDate]],"MMMM")</f>
        <v>November</v>
      </c>
      <c r="Z891" s="5">
        <f>YEAR(Table1[[#This Row],[OrderDate]])</f>
        <v>2023</v>
      </c>
    </row>
    <row r="892" spans="1:26" x14ac:dyDescent="0.3">
      <c r="A892" s="1" t="s">
        <v>2750</v>
      </c>
      <c r="B892" t="s">
        <v>645</v>
      </c>
      <c r="C892" s="3">
        <v>34</v>
      </c>
      <c r="D892" s="1" t="s">
        <v>24</v>
      </c>
      <c r="E892" s="1" t="s">
        <v>25</v>
      </c>
      <c r="F892" s="1" t="s">
        <v>65</v>
      </c>
      <c r="G892" s="4">
        <v>45135</v>
      </c>
      <c r="H892" s="4">
        <v>45145</v>
      </c>
      <c r="I892" s="1" t="s">
        <v>93</v>
      </c>
      <c r="J892" s="1" t="s">
        <v>44</v>
      </c>
      <c r="K892" s="3">
        <v>1</v>
      </c>
      <c r="L892" s="2">
        <v>77611</v>
      </c>
      <c r="M892" s="3">
        <v>10</v>
      </c>
      <c r="N892" s="1" t="s">
        <v>45</v>
      </c>
      <c r="O892" s="1" t="s">
        <v>109</v>
      </c>
      <c r="P892" s="1" t="s">
        <v>33</v>
      </c>
      <c r="Q892" s="1" t="s">
        <v>647</v>
      </c>
      <c r="R892" s="1" t="s">
        <v>2751</v>
      </c>
      <c r="S892" s="3">
        <v>5</v>
      </c>
      <c r="T892" s="1" t="s">
        <v>61</v>
      </c>
      <c r="U892" s="3">
        <v>345</v>
      </c>
      <c r="V892" s="1" t="s">
        <v>37</v>
      </c>
      <c r="W892" s="5">
        <f>Table1[[#This Row],[Quantity]]*Table1[[#This Row],[Price]]*(1-Table1[[#This Row],[Discount %]]/100)</f>
        <v>69849.900000000009</v>
      </c>
      <c r="X892">
        <f>Table1[[#This Row],[DeliveryDate]]-Table1[[#This Row],[OrderDate]]</f>
        <v>10</v>
      </c>
      <c r="Y892" t="str">
        <f>TEXT(Table1[[#This Row],[OrderDate]],"MMMM")</f>
        <v>July</v>
      </c>
      <c r="Z892" s="5">
        <f>YEAR(Table1[[#This Row],[OrderDate]])</f>
        <v>2023</v>
      </c>
    </row>
    <row r="893" spans="1:26" x14ac:dyDescent="0.3">
      <c r="A893" s="1" t="s">
        <v>2752</v>
      </c>
      <c r="B893" t="s">
        <v>1443</v>
      </c>
      <c r="C893" s="3">
        <v>28</v>
      </c>
      <c r="D893" s="1" t="s">
        <v>24</v>
      </c>
      <c r="E893" s="1" t="s">
        <v>229</v>
      </c>
      <c r="F893" s="1" t="s">
        <v>82</v>
      </c>
      <c r="G893" s="4">
        <v>45285</v>
      </c>
      <c r="H893" s="4">
        <v>45293</v>
      </c>
      <c r="I893" s="1" t="s">
        <v>93</v>
      </c>
      <c r="J893" s="1" t="s">
        <v>30</v>
      </c>
      <c r="K893" s="3">
        <v>1</v>
      </c>
      <c r="L893" s="2">
        <v>62670</v>
      </c>
      <c r="M893" s="3">
        <v>5</v>
      </c>
      <c r="N893" s="1" t="s">
        <v>166</v>
      </c>
      <c r="O893" s="1" t="s">
        <v>109</v>
      </c>
      <c r="P893" s="1" t="s">
        <v>69</v>
      </c>
      <c r="Q893" s="1" t="s">
        <v>1444</v>
      </c>
      <c r="R893" s="1" t="s">
        <v>2753</v>
      </c>
      <c r="S893" s="3">
        <v>1</v>
      </c>
      <c r="T893" s="1" t="s">
        <v>96</v>
      </c>
      <c r="U893" s="3">
        <v>460</v>
      </c>
      <c r="V893" s="1" t="s">
        <v>37</v>
      </c>
      <c r="W893" s="5">
        <f>Table1[[#This Row],[Quantity]]*Table1[[#This Row],[Price]]*(1-Table1[[#This Row],[Discount %]]/100)</f>
        <v>59536.5</v>
      </c>
      <c r="X893">
        <f>Table1[[#This Row],[DeliveryDate]]-Table1[[#This Row],[OrderDate]]</f>
        <v>8</v>
      </c>
      <c r="Y893" t="str">
        <f>TEXT(Table1[[#This Row],[OrderDate]],"MMMM")</f>
        <v>December</v>
      </c>
      <c r="Z893" s="5">
        <f>YEAR(Table1[[#This Row],[OrderDate]])</f>
        <v>2023</v>
      </c>
    </row>
    <row r="894" spans="1:26" x14ac:dyDescent="0.3">
      <c r="A894" s="1" t="s">
        <v>2754</v>
      </c>
      <c r="B894" t="s">
        <v>397</v>
      </c>
      <c r="C894" s="3">
        <v>26</v>
      </c>
      <c r="D894" s="1" t="s">
        <v>51</v>
      </c>
      <c r="E894" s="1" t="s">
        <v>26</v>
      </c>
      <c r="F894" s="1" t="s">
        <v>82</v>
      </c>
      <c r="G894" s="4">
        <v>45339</v>
      </c>
      <c r="H894" s="4">
        <v>45346</v>
      </c>
      <c r="I894" s="1" t="s">
        <v>93</v>
      </c>
      <c r="J894" s="1" t="s">
        <v>30</v>
      </c>
      <c r="K894" s="3">
        <v>2.9447852760736195</v>
      </c>
      <c r="L894" s="2">
        <v>58794</v>
      </c>
      <c r="M894" s="3">
        <v>10</v>
      </c>
      <c r="N894" s="1" t="s">
        <v>31</v>
      </c>
      <c r="O894" s="1" t="s">
        <v>86</v>
      </c>
      <c r="P894" s="1" t="s">
        <v>58</v>
      </c>
      <c r="Q894" s="1" t="s">
        <v>400</v>
      </c>
      <c r="R894" s="1" t="s">
        <v>2755</v>
      </c>
      <c r="S894" s="3">
        <v>2</v>
      </c>
      <c r="T894" s="1" t="s">
        <v>96</v>
      </c>
      <c r="U894" s="3">
        <v>387</v>
      </c>
      <c r="V894" s="1" t="s">
        <v>62</v>
      </c>
      <c r="W894" s="5">
        <f>Table1[[#This Row],[Quantity]]*Table1[[#This Row],[Price]]*(1-Table1[[#This Row],[Discount %]]/100)</f>
        <v>155822.13496932515</v>
      </c>
      <c r="X894">
        <f>Table1[[#This Row],[DeliveryDate]]-Table1[[#This Row],[OrderDate]]</f>
        <v>7</v>
      </c>
      <c r="Y894" t="str">
        <f>TEXT(Table1[[#This Row],[OrderDate]],"MMMM")</f>
        <v>February</v>
      </c>
      <c r="Z894" s="5">
        <f>YEAR(Table1[[#This Row],[OrderDate]])</f>
        <v>2024</v>
      </c>
    </row>
    <row r="895" spans="1:26" x14ac:dyDescent="0.3">
      <c r="A895" s="1" t="s">
        <v>2756</v>
      </c>
      <c r="B895" t="s">
        <v>611</v>
      </c>
      <c r="C895" s="3">
        <v>21</v>
      </c>
      <c r="D895" s="1" t="s">
        <v>24</v>
      </c>
      <c r="E895" s="1" t="s">
        <v>131</v>
      </c>
      <c r="F895" s="1" t="s">
        <v>65</v>
      </c>
      <c r="G895" s="4">
        <v>45481</v>
      </c>
      <c r="H895" s="4">
        <v>45483</v>
      </c>
      <c r="I895" s="1" t="s">
        <v>93</v>
      </c>
      <c r="J895" s="1" t="s">
        <v>44</v>
      </c>
      <c r="K895" s="3">
        <v>1</v>
      </c>
      <c r="L895" s="2">
        <v>16129</v>
      </c>
      <c r="M895" s="3">
        <v>5</v>
      </c>
      <c r="N895" s="1" t="s">
        <v>166</v>
      </c>
      <c r="O895" s="1" t="s">
        <v>102</v>
      </c>
      <c r="P895" s="1" t="s">
        <v>58</v>
      </c>
      <c r="Q895" s="1" t="s">
        <v>3415</v>
      </c>
      <c r="R895" s="1" t="s">
        <v>2757</v>
      </c>
      <c r="S895" s="3">
        <v>3</v>
      </c>
      <c r="T895" s="1" t="s">
        <v>61</v>
      </c>
      <c r="U895" s="3">
        <v>251</v>
      </c>
      <c r="V895" s="1" t="s">
        <v>37</v>
      </c>
      <c r="W895" s="5">
        <f>Table1[[#This Row],[Quantity]]*Table1[[#This Row],[Price]]*(1-Table1[[#This Row],[Discount %]]/100)</f>
        <v>15322.55</v>
      </c>
      <c r="X895">
        <f>Table1[[#This Row],[DeliveryDate]]-Table1[[#This Row],[OrderDate]]</f>
        <v>2</v>
      </c>
      <c r="Y895" t="str">
        <f>TEXT(Table1[[#This Row],[OrderDate]],"MMMM")</f>
        <v>July</v>
      </c>
      <c r="Z895" s="5">
        <f>YEAR(Table1[[#This Row],[OrderDate]])</f>
        <v>2024</v>
      </c>
    </row>
    <row r="896" spans="1:26" x14ac:dyDescent="0.3">
      <c r="A896" s="1" t="s">
        <v>2758</v>
      </c>
      <c r="B896" t="s">
        <v>1690</v>
      </c>
      <c r="C896" s="3">
        <v>31</v>
      </c>
      <c r="D896" s="1" t="s">
        <v>51</v>
      </c>
      <c r="E896" s="1" t="s">
        <v>142</v>
      </c>
      <c r="F896" s="1" t="s">
        <v>53</v>
      </c>
      <c r="G896" s="4">
        <v>45175</v>
      </c>
      <c r="H896" s="4">
        <v>45181</v>
      </c>
      <c r="I896" s="1" t="s">
        <v>93</v>
      </c>
      <c r="J896" s="1" t="s">
        <v>44</v>
      </c>
      <c r="K896" s="3">
        <v>4</v>
      </c>
      <c r="L896" s="2">
        <v>61040</v>
      </c>
      <c r="M896" s="3">
        <v>15</v>
      </c>
      <c r="N896" s="1" t="s">
        <v>166</v>
      </c>
      <c r="O896" s="1" t="s">
        <v>46</v>
      </c>
      <c r="P896" s="1" t="s">
        <v>69</v>
      </c>
      <c r="Q896" s="1" t="s">
        <v>87</v>
      </c>
      <c r="R896" s="1" t="s">
        <v>2759</v>
      </c>
      <c r="S896" s="3">
        <v>2</v>
      </c>
      <c r="T896" s="1" t="s">
        <v>96</v>
      </c>
      <c r="U896" s="3">
        <v>279</v>
      </c>
      <c r="V896" s="1" t="s">
        <v>62</v>
      </c>
      <c r="W896" s="5">
        <f>Table1[[#This Row],[Quantity]]*Table1[[#This Row],[Price]]*(1-Table1[[#This Row],[Discount %]]/100)</f>
        <v>207536</v>
      </c>
      <c r="X896">
        <f>Table1[[#This Row],[DeliveryDate]]-Table1[[#This Row],[OrderDate]]</f>
        <v>6</v>
      </c>
      <c r="Y896" t="str">
        <f>TEXT(Table1[[#This Row],[OrderDate]],"MMMM")</f>
        <v>September</v>
      </c>
      <c r="Z896" s="5">
        <f>YEAR(Table1[[#This Row],[OrderDate]])</f>
        <v>2023</v>
      </c>
    </row>
    <row r="897" spans="1:26" x14ac:dyDescent="0.3">
      <c r="A897" s="1" t="s">
        <v>2760</v>
      </c>
      <c r="B897" t="s">
        <v>674</v>
      </c>
      <c r="C897" s="3">
        <v>60</v>
      </c>
      <c r="D897" s="1" t="s">
        <v>24</v>
      </c>
      <c r="E897" s="1" t="s">
        <v>40</v>
      </c>
      <c r="F897" s="1" t="s">
        <v>91</v>
      </c>
      <c r="G897" s="4">
        <v>45552</v>
      </c>
      <c r="H897" s="4">
        <v>45554</v>
      </c>
      <c r="I897" s="1" t="s">
        <v>108</v>
      </c>
      <c r="J897" s="1" t="s">
        <v>30</v>
      </c>
      <c r="K897" s="3">
        <v>3</v>
      </c>
      <c r="L897" s="2">
        <v>9029</v>
      </c>
      <c r="M897" s="3">
        <v>15</v>
      </c>
      <c r="N897" s="1" t="s">
        <v>31</v>
      </c>
      <c r="O897" s="1" t="s">
        <v>281</v>
      </c>
      <c r="P897" s="1" t="s">
        <v>69</v>
      </c>
      <c r="Q897" s="1" t="s">
        <v>677</v>
      </c>
      <c r="R897" s="1" t="s">
        <v>2761</v>
      </c>
      <c r="S897" s="3">
        <v>2</v>
      </c>
      <c r="T897" s="1" t="s">
        <v>72</v>
      </c>
      <c r="U897" s="3">
        <v>221</v>
      </c>
      <c r="V897" s="1" t="s">
        <v>79</v>
      </c>
      <c r="W897" s="5">
        <f>Table1[[#This Row],[Quantity]]*Table1[[#This Row],[Price]]*(1-Table1[[#This Row],[Discount %]]/100)</f>
        <v>23023.95</v>
      </c>
      <c r="X897">
        <f>Table1[[#This Row],[DeliveryDate]]-Table1[[#This Row],[OrderDate]]</f>
        <v>2</v>
      </c>
      <c r="Y897" t="str">
        <f>TEXT(Table1[[#This Row],[OrderDate]],"MMMM")</f>
        <v>September</v>
      </c>
      <c r="Z897" s="5">
        <f>YEAR(Table1[[#This Row],[OrderDate]])</f>
        <v>2024</v>
      </c>
    </row>
    <row r="898" spans="1:26" x14ac:dyDescent="0.3">
      <c r="A898" s="1" t="s">
        <v>2762</v>
      </c>
      <c r="B898" t="s">
        <v>382</v>
      </c>
      <c r="C898" s="3">
        <v>49</v>
      </c>
      <c r="D898" s="1" t="s">
        <v>51</v>
      </c>
      <c r="E898" s="1" t="s">
        <v>25</v>
      </c>
      <c r="F898" s="1" t="s">
        <v>91</v>
      </c>
      <c r="G898" s="4">
        <v>45402</v>
      </c>
      <c r="H898" s="4">
        <v>45407</v>
      </c>
      <c r="I898" s="1" t="s">
        <v>93</v>
      </c>
      <c r="J898" s="1" t="s">
        <v>30</v>
      </c>
      <c r="K898" s="3">
        <v>3</v>
      </c>
      <c r="L898" s="2">
        <v>43393</v>
      </c>
      <c r="M898" s="3">
        <v>10</v>
      </c>
      <c r="N898" s="1" t="s">
        <v>56</v>
      </c>
      <c r="O898" s="1" t="s">
        <v>68</v>
      </c>
      <c r="P898" s="1" t="s">
        <v>58</v>
      </c>
      <c r="Q898" s="1" t="s">
        <v>385</v>
      </c>
      <c r="R898" s="1" t="s">
        <v>2763</v>
      </c>
      <c r="S898" s="3">
        <v>2</v>
      </c>
      <c r="T898" s="1" t="s">
        <v>72</v>
      </c>
      <c r="U898" s="3">
        <v>418</v>
      </c>
      <c r="V898" s="1" t="s">
        <v>79</v>
      </c>
      <c r="W898" s="5">
        <f>Table1[[#This Row],[Quantity]]*Table1[[#This Row],[Price]]*(1-Table1[[#This Row],[Discount %]]/100)</f>
        <v>117161.1</v>
      </c>
      <c r="X898">
        <f>Table1[[#This Row],[DeliveryDate]]-Table1[[#This Row],[OrderDate]]</f>
        <v>5</v>
      </c>
      <c r="Y898" t="str">
        <f>TEXT(Table1[[#This Row],[OrderDate]],"MMMM")</f>
        <v>April</v>
      </c>
      <c r="Z898" s="5">
        <f>YEAR(Table1[[#This Row],[OrderDate]])</f>
        <v>2024</v>
      </c>
    </row>
    <row r="899" spans="1:26" x14ac:dyDescent="0.3">
      <c r="A899" s="1" t="s">
        <v>2764</v>
      </c>
      <c r="B899" t="s">
        <v>321</v>
      </c>
      <c r="C899" s="3">
        <v>25</v>
      </c>
      <c r="D899" s="1" t="s">
        <v>51</v>
      </c>
      <c r="E899" s="1" t="s">
        <v>229</v>
      </c>
      <c r="F899" s="1" t="s">
        <v>26</v>
      </c>
      <c r="G899" s="4">
        <v>45359</v>
      </c>
      <c r="H899" s="4">
        <v>45369</v>
      </c>
      <c r="I899" s="1" t="s">
        <v>29</v>
      </c>
      <c r="J899" s="1" t="s">
        <v>44</v>
      </c>
      <c r="K899" s="3">
        <v>1</v>
      </c>
      <c r="L899" s="2">
        <v>13329</v>
      </c>
      <c r="M899" s="3">
        <v>15</v>
      </c>
      <c r="N899" s="1" t="s">
        <v>31</v>
      </c>
      <c r="O899" s="1" t="s">
        <v>173</v>
      </c>
      <c r="P899" s="1" t="s">
        <v>69</v>
      </c>
      <c r="Q899" s="1" t="s">
        <v>324</v>
      </c>
      <c r="R899" s="1" t="s">
        <v>2765</v>
      </c>
      <c r="S899" s="3">
        <v>1</v>
      </c>
      <c r="T899" s="1" t="s">
        <v>36</v>
      </c>
      <c r="U899" s="3">
        <v>162</v>
      </c>
      <c r="V899" s="1" t="s">
        <v>79</v>
      </c>
      <c r="W899" s="5">
        <f>Table1[[#This Row],[Quantity]]*Table1[[#This Row],[Price]]*(1-Table1[[#This Row],[Discount %]]/100)</f>
        <v>11329.65</v>
      </c>
      <c r="X899">
        <f>Table1[[#This Row],[DeliveryDate]]-Table1[[#This Row],[OrderDate]]</f>
        <v>10</v>
      </c>
      <c r="Y899" t="str">
        <f>TEXT(Table1[[#This Row],[OrderDate]],"MMMM")</f>
        <v>March</v>
      </c>
      <c r="Z899" s="5">
        <f>YEAR(Table1[[#This Row],[OrderDate]])</f>
        <v>2024</v>
      </c>
    </row>
    <row r="900" spans="1:26" x14ac:dyDescent="0.3">
      <c r="A900" s="1" t="s">
        <v>2766</v>
      </c>
      <c r="B900" t="s">
        <v>498</v>
      </c>
      <c r="C900" s="3">
        <v>41</v>
      </c>
      <c r="D900" s="1" t="s">
        <v>51</v>
      </c>
      <c r="E900" s="1" t="s">
        <v>131</v>
      </c>
      <c r="F900" s="1" t="s">
        <v>65</v>
      </c>
      <c r="G900" s="4">
        <v>45445</v>
      </c>
      <c r="H900" s="4">
        <v>45451</v>
      </c>
      <c r="I900" s="1" t="s">
        <v>29</v>
      </c>
      <c r="J900" s="1" t="s">
        <v>44</v>
      </c>
      <c r="K900" s="3">
        <v>2</v>
      </c>
      <c r="L900" s="2">
        <v>42109.716287215415</v>
      </c>
      <c r="M900" s="3">
        <v>15</v>
      </c>
      <c r="N900" s="1" t="s">
        <v>56</v>
      </c>
      <c r="O900" s="1" t="s">
        <v>86</v>
      </c>
      <c r="P900" s="1" t="s">
        <v>58</v>
      </c>
      <c r="Q900" s="1" t="s">
        <v>500</v>
      </c>
      <c r="R900" s="1" t="s">
        <v>2767</v>
      </c>
      <c r="S900" s="3">
        <v>2</v>
      </c>
      <c r="T900" s="1" t="s">
        <v>96</v>
      </c>
      <c r="U900" s="3">
        <v>317</v>
      </c>
      <c r="V900" s="1" t="s">
        <v>79</v>
      </c>
      <c r="W900" s="5">
        <f>Table1[[#This Row],[Quantity]]*Table1[[#This Row],[Price]]*(1-Table1[[#This Row],[Discount %]]/100)</f>
        <v>71586.517688266205</v>
      </c>
      <c r="X900">
        <f>Table1[[#This Row],[DeliveryDate]]-Table1[[#This Row],[OrderDate]]</f>
        <v>6</v>
      </c>
      <c r="Y900" t="str">
        <f>TEXT(Table1[[#This Row],[OrderDate]],"MMMM")</f>
        <v>June</v>
      </c>
      <c r="Z900" s="5">
        <f>YEAR(Table1[[#This Row],[OrderDate]])</f>
        <v>2024</v>
      </c>
    </row>
    <row r="901" spans="1:26" x14ac:dyDescent="0.3">
      <c r="A901" s="1" t="s">
        <v>2768</v>
      </c>
      <c r="B901" t="s">
        <v>1309</v>
      </c>
      <c r="C901" s="3">
        <v>24</v>
      </c>
      <c r="D901" s="1" t="s">
        <v>24</v>
      </c>
      <c r="E901" s="1" t="s">
        <v>99</v>
      </c>
      <c r="F901" s="1" t="s">
        <v>82</v>
      </c>
      <c r="G901" s="4">
        <v>45349</v>
      </c>
      <c r="H901" s="4">
        <v>45350</v>
      </c>
      <c r="I901" s="1" t="s">
        <v>29</v>
      </c>
      <c r="J901" s="1" t="s">
        <v>30</v>
      </c>
      <c r="K901" s="3">
        <v>2</v>
      </c>
      <c r="L901" s="2">
        <v>49064</v>
      </c>
      <c r="M901" s="3">
        <v>5</v>
      </c>
      <c r="N901" s="1" t="s">
        <v>45</v>
      </c>
      <c r="O901" s="1" t="s">
        <v>57</v>
      </c>
      <c r="P901" s="1" t="s">
        <v>58</v>
      </c>
      <c r="Q901" s="1" t="s">
        <v>1311</v>
      </c>
      <c r="R901" s="1" t="s">
        <v>2769</v>
      </c>
      <c r="S901" s="3">
        <v>5</v>
      </c>
      <c r="T901" s="1" t="s">
        <v>36</v>
      </c>
      <c r="U901" s="3">
        <v>377</v>
      </c>
      <c r="V901" s="1" t="s">
        <v>62</v>
      </c>
      <c r="W901" s="5">
        <f>Table1[[#This Row],[Quantity]]*Table1[[#This Row],[Price]]*(1-Table1[[#This Row],[Discount %]]/100)</f>
        <v>93221.599999999991</v>
      </c>
      <c r="X901">
        <f>Table1[[#This Row],[DeliveryDate]]-Table1[[#This Row],[OrderDate]]</f>
        <v>1</v>
      </c>
      <c r="Y901" t="str">
        <f>TEXT(Table1[[#This Row],[OrderDate]],"MMMM")</f>
        <v>February</v>
      </c>
      <c r="Z901" s="5">
        <f>YEAR(Table1[[#This Row],[OrderDate]])</f>
        <v>2024</v>
      </c>
    </row>
    <row r="902" spans="1:26" x14ac:dyDescent="0.3">
      <c r="A902" s="1" t="s">
        <v>2770</v>
      </c>
      <c r="B902" t="s">
        <v>2016</v>
      </c>
      <c r="C902" s="3">
        <v>40</v>
      </c>
      <c r="D902" s="1" t="s">
        <v>51</v>
      </c>
      <c r="E902" s="1" t="s">
        <v>229</v>
      </c>
      <c r="F902" s="1" t="s">
        <v>91</v>
      </c>
      <c r="G902" s="4">
        <v>45432</v>
      </c>
      <c r="H902" s="4">
        <v>45437</v>
      </c>
      <c r="I902" s="1" t="s">
        <v>93</v>
      </c>
      <c r="J902" s="1" t="s">
        <v>30</v>
      </c>
      <c r="K902" s="3">
        <v>4</v>
      </c>
      <c r="L902" s="2">
        <v>47320</v>
      </c>
      <c r="M902" s="3">
        <v>5</v>
      </c>
      <c r="N902" s="1" t="s">
        <v>45</v>
      </c>
      <c r="O902" s="1" t="s">
        <v>109</v>
      </c>
      <c r="P902" s="1" t="s">
        <v>58</v>
      </c>
      <c r="Q902" s="1" t="s">
        <v>1792</v>
      </c>
      <c r="R902" s="1" t="s">
        <v>2771</v>
      </c>
      <c r="S902" s="3">
        <v>5</v>
      </c>
      <c r="T902" s="1" t="s">
        <v>72</v>
      </c>
      <c r="U902" s="3">
        <v>354</v>
      </c>
      <c r="V902" s="1" t="s">
        <v>37</v>
      </c>
      <c r="W902" s="5">
        <f>Table1[[#This Row],[Quantity]]*Table1[[#This Row],[Price]]*(1-Table1[[#This Row],[Discount %]]/100)</f>
        <v>179816</v>
      </c>
      <c r="X902">
        <f>Table1[[#This Row],[DeliveryDate]]-Table1[[#This Row],[OrderDate]]</f>
        <v>5</v>
      </c>
      <c r="Y902" t="str">
        <f>TEXT(Table1[[#This Row],[OrderDate]],"MMMM")</f>
        <v>May</v>
      </c>
      <c r="Z902" s="5">
        <f>YEAR(Table1[[#This Row],[OrderDate]])</f>
        <v>2024</v>
      </c>
    </row>
    <row r="903" spans="1:26" x14ac:dyDescent="0.3">
      <c r="A903" s="1" t="s">
        <v>2772</v>
      </c>
      <c r="B903" t="s">
        <v>570</v>
      </c>
      <c r="C903" s="3">
        <v>25</v>
      </c>
      <c r="D903" s="1" t="s">
        <v>51</v>
      </c>
      <c r="E903" s="1" t="s">
        <v>229</v>
      </c>
      <c r="F903" s="1" t="s">
        <v>65</v>
      </c>
      <c r="G903" s="4">
        <v>45473</v>
      </c>
      <c r="H903" s="4">
        <v>45482</v>
      </c>
      <c r="I903" s="1" t="s">
        <v>93</v>
      </c>
      <c r="J903" s="1" t="s">
        <v>44</v>
      </c>
      <c r="K903" s="3">
        <v>5</v>
      </c>
      <c r="L903" s="2">
        <v>43620</v>
      </c>
      <c r="M903" s="3">
        <v>10</v>
      </c>
      <c r="N903" s="1" t="s">
        <v>45</v>
      </c>
      <c r="O903" s="1" t="s">
        <v>173</v>
      </c>
      <c r="P903" s="1" t="s">
        <v>174</v>
      </c>
      <c r="Q903" s="1" t="s">
        <v>573</v>
      </c>
      <c r="R903" s="1" t="s">
        <v>2773</v>
      </c>
      <c r="S903" s="3">
        <v>4</v>
      </c>
      <c r="T903" s="1" t="s">
        <v>61</v>
      </c>
      <c r="U903" s="3">
        <v>384</v>
      </c>
      <c r="V903" s="1" t="s">
        <v>37</v>
      </c>
      <c r="W903" s="5">
        <f>Table1[[#This Row],[Quantity]]*Table1[[#This Row],[Price]]*(1-Table1[[#This Row],[Discount %]]/100)</f>
        <v>196290</v>
      </c>
      <c r="X903">
        <f>Table1[[#This Row],[DeliveryDate]]-Table1[[#This Row],[OrderDate]]</f>
        <v>9</v>
      </c>
      <c r="Y903" t="str">
        <f>TEXT(Table1[[#This Row],[OrderDate]],"MMMM")</f>
        <v>June</v>
      </c>
      <c r="Z903" s="5">
        <f>YEAR(Table1[[#This Row],[OrderDate]])</f>
        <v>2024</v>
      </c>
    </row>
    <row r="904" spans="1:26" x14ac:dyDescent="0.3">
      <c r="A904" s="1" t="s">
        <v>2774</v>
      </c>
      <c r="B904" t="s">
        <v>702</v>
      </c>
      <c r="C904" s="3">
        <v>46</v>
      </c>
      <c r="D904" s="1" t="s">
        <v>24</v>
      </c>
      <c r="E904" s="1" t="s">
        <v>52</v>
      </c>
      <c r="F904" s="1" t="s">
        <v>91</v>
      </c>
      <c r="G904" s="4">
        <v>45485</v>
      </c>
      <c r="H904" s="4">
        <v>45488</v>
      </c>
      <c r="I904" s="1" t="s">
        <v>85</v>
      </c>
      <c r="J904" s="1" t="s">
        <v>30</v>
      </c>
      <c r="K904" s="3">
        <v>2.9447852760736195</v>
      </c>
      <c r="L904" s="2">
        <v>29449</v>
      </c>
      <c r="M904" s="3">
        <v>0</v>
      </c>
      <c r="N904" s="1" t="s">
        <v>166</v>
      </c>
      <c r="O904" s="1" t="s">
        <v>102</v>
      </c>
      <c r="P904" s="1" t="s">
        <v>174</v>
      </c>
      <c r="Q904" s="1" t="s">
        <v>916</v>
      </c>
      <c r="R904" s="1" t="s">
        <v>2775</v>
      </c>
      <c r="S904" s="3">
        <v>3</v>
      </c>
      <c r="T904" s="1" t="s">
        <v>61</v>
      </c>
      <c r="U904" s="3">
        <v>255</v>
      </c>
      <c r="V904" s="1" t="s">
        <v>62</v>
      </c>
      <c r="W904" s="5">
        <f>Table1[[#This Row],[Quantity]]*Table1[[#This Row],[Price]]*(1-Table1[[#This Row],[Discount %]]/100)</f>
        <v>86720.981595092017</v>
      </c>
      <c r="X904">
        <f>Table1[[#This Row],[DeliveryDate]]-Table1[[#This Row],[OrderDate]]</f>
        <v>3</v>
      </c>
      <c r="Y904" t="str">
        <f>TEXT(Table1[[#This Row],[OrderDate]],"MMMM")</f>
        <v>July</v>
      </c>
      <c r="Z904" s="5">
        <f>YEAR(Table1[[#This Row],[OrderDate]])</f>
        <v>2024</v>
      </c>
    </row>
    <row r="905" spans="1:26" x14ac:dyDescent="0.3">
      <c r="A905" s="1" t="s">
        <v>2776</v>
      </c>
      <c r="B905" t="s">
        <v>498</v>
      </c>
      <c r="C905" s="3">
        <v>25</v>
      </c>
      <c r="D905" s="1" t="s">
        <v>51</v>
      </c>
      <c r="E905" s="1" t="s">
        <v>131</v>
      </c>
      <c r="F905" s="1" t="s">
        <v>91</v>
      </c>
      <c r="G905" s="4">
        <v>45352</v>
      </c>
      <c r="H905" s="4">
        <v>45357</v>
      </c>
      <c r="I905" s="1" t="s">
        <v>108</v>
      </c>
      <c r="J905" s="1" t="s">
        <v>30</v>
      </c>
      <c r="K905" s="3">
        <v>1</v>
      </c>
      <c r="L905" s="2">
        <v>11068</v>
      </c>
      <c r="M905" s="3">
        <v>5</v>
      </c>
      <c r="N905" s="1" t="s">
        <v>31</v>
      </c>
      <c r="O905" s="1" t="s">
        <v>102</v>
      </c>
      <c r="P905" s="1" t="s">
        <v>69</v>
      </c>
      <c r="Q905" s="1" t="s">
        <v>3415</v>
      </c>
      <c r="R905" s="1" t="s">
        <v>3415</v>
      </c>
      <c r="S905" s="3">
        <v>4</v>
      </c>
      <c r="T905" s="1" t="s">
        <v>36</v>
      </c>
      <c r="U905" s="3">
        <v>231</v>
      </c>
      <c r="V905" s="1" t="s">
        <v>62</v>
      </c>
      <c r="W905" s="5">
        <f>Table1[[#This Row],[Quantity]]*Table1[[#This Row],[Price]]*(1-Table1[[#This Row],[Discount %]]/100)</f>
        <v>10514.6</v>
      </c>
      <c r="X905">
        <f>Table1[[#This Row],[DeliveryDate]]-Table1[[#This Row],[OrderDate]]</f>
        <v>5</v>
      </c>
      <c r="Y905" t="str">
        <f>TEXT(Table1[[#This Row],[OrderDate]],"MMMM")</f>
        <v>March</v>
      </c>
      <c r="Z905" s="5">
        <f>YEAR(Table1[[#This Row],[OrderDate]])</f>
        <v>2024</v>
      </c>
    </row>
    <row r="906" spans="1:26" x14ac:dyDescent="0.3">
      <c r="A906" s="1" t="s">
        <v>2778</v>
      </c>
      <c r="B906" t="s">
        <v>209</v>
      </c>
      <c r="C906" s="3">
        <v>30</v>
      </c>
      <c r="D906" s="1" t="s">
        <v>24</v>
      </c>
      <c r="E906" s="1" t="s">
        <v>131</v>
      </c>
      <c r="F906" s="1" t="s">
        <v>82</v>
      </c>
      <c r="G906" s="4">
        <v>45150</v>
      </c>
      <c r="H906" s="4">
        <v>45152</v>
      </c>
      <c r="I906" s="1" t="s">
        <v>108</v>
      </c>
      <c r="J906" s="1" t="s">
        <v>30</v>
      </c>
      <c r="K906" s="3">
        <v>2</v>
      </c>
      <c r="L906" s="2">
        <v>66957</v>
      </c>
      <c r="M906" s="3">
        <v>10</v>
      </c>
      <c r="N906" s="1" t="s">
        <v>166</v>
      </c>
      <c r="O906" s="1" t="s">
        <v>102</v>
      </c>
      <c r="P906" s="1" t="s">
        <v>58</v>
      </c>
      <c r="Q906" s="1" t="s">
        <v>1001</v>
      </c>
      <c r="R906" s="1" t="s">
        <v>2779</v>
      </c>
      <c r="S906" s="3">
        <v>5</v>
      </c>
      <c r="T906" s="1" t="s">
        <v>61</v>
      </c>
      <c r="U906" s="3">
        <v>367</v>
      </c>
      <c r="V906" s="1" t="s">
        <v>79</v>
      </c>
      <c r="W906" s="5">
        <f>Table1[[#This Row],[Quantity]]*Table1[[#This Row],[Price]]*(1-Table1[[#This Row],[Discount %]]/100)</f>
        <v>120522.6</v>
      </c>
      <c r="X906">
        <f>Table1[[#This Row],[DeliveryDate]]-Table1[[#This Row],[OrderDate]]</f>
        <v>2</v>
      </c>
      <c r="Y906" t="str">
        <f>TEXT(Table1[[#This Row],[OrderDate]],"MMMM")</f>
        <v>August</v>
      </c>
      <c r="Z906" s="5">
        <f>YEAR(Table1[[#This Row],[OrderDate]])</f>
        <v>2023</v>
      </c>
    </row>
    <row r="907" spans="1:26" x14ac:dyDescent="0.3">
      <c r="A907" s="1" t="s">
        <v>2780</v>
      </c>
      <c r="B907" t="s">
        <v>344</v>
      </c>
      <c r="C907" s="3">
        <v>60</v>
      </c>
      <c r="D907" s="1" t="s">
        <v>51</v>
      </c>
      <c r="E907" s="1" t="s">
        <v>131</v>
      </c>
      <c r="F907" s="1" t="s">
        <v>91</v>
      </c>
      <c r="G907" s="4">
        <v>45622</v>
      </c>
      <c r="H907" s="4">
        <v>45623</v>
      </c>
      <c r="I907" s="1" t="s">
        <v>108</v>
      </c>
      <c r="J907" s="1" t="s">
        <v>44</v>
      </c>
      <c r="K907" s="3">
        <v>1</v>
      </c>
      <c r="L907" s="2">
        <v>23424</v>
      </c>
      <c r="M907" s="3">
        <v>10</v>
      </c>
      <c r="N907" s="1" t="s">
        <v>31</v>
      </c>
      <c r="O907" s="1" t="s">
        <v>57</v>
      </c>
      <c r="P907" s="1" t="s">
        <v>33</v>
      </c>
      <c r="Q907" s="1" t="s">
        <v>3415</v>
      </c>
      <c r="R907" s="1" t="s">
        <v>2781</v>
      </c>
      <c r="S907" s="3">
        <v>4</v>
      </c>
      <c r="T907" s="1" t="s">
        <v>96</v>
      </c>
      <c r="U907" s="3">
        <v>152</v>
      </c>
      <c r="V907" s="1" t="s">
        <v>62</v>
      </c>
      <c r="W907" s="5">
        <f>Table1[[#This Row],[Quantity]]*Table1[[#This Row],[Price]]*(1-Table1[[#This Row],[Discount %]]/100)</f>
        <v>21081.600000000002</v>
      </c>
      <c r="X907">
        <f>Table1[[#This Row],[DeliveryDate]]-Table1[[#This Row],[OrderDate]]</f>
        <v>1</v>
      </c>
      <c r="Y907" t="str">
        <f>TEXT(Table1[[#This Row],[OrderDate]],"MMMM")</f>
        <v>November</v>
      </c>
      <c r="Z907" s="5">
        <f>YEAR(Table1[[#This Row],[OrderDate]])</f>
        <v>2024</v>
      </c>
    </row>
    <row r="908" spans="1:26" x14ac:dyDescent="0.3">
      <c r="A908" s="1" t="s">
        <v>2782</v>
      </c>
      <c r="B908" t="s">
        <v>547</v>
      </c>
      <c r="C908" s="3">
        <v>53</v>
      </c>
      <c r="D908" s="1" t="s">
        <v>51</v>
      </c>
      <c r="E908" s="1" t="s">
        <v>99</v>
      </c>
      <c r="F908" s="1" t="s">
        <v>65</v>
      </c>
      <c r="G908" s="4">
        <v>45193</v>
      </c>
      <c r="H908" s="4">
        <v>45199</v>
      </c>
      <c r="I908" s="1" t="s">
        <v>77</v>
      </c>
      <c r="J908" s="1" t="s">
        <v>30</v>
      </c>
      <c r="K908" s="3">
        <v>5</v>
      </c>
      <c r="L908" s="2">
        <v>73915</v>
      </c>
      <c r="M908" s="3">
        <v>5</v>
      </c>
      <c r="N908" s="1" t="s">
        <v>56</v>
      </c>
      <c r="O908" s="1" t="s">
        <v>32</v>
      </c>
      <c r="P908" s="1" t="s">
        <v>174</v>
      </c>
      <c r="Q908" s="1" t="s">
        <v>549</v>
      </c>
      <c r="R908" s="1" t="s">
        <v>2783</v>
      </c>
      <c r="S908" s="3">
        <v>1</v>
      </c>
      <c r="T908" s="1" t="s">
        <v>36</v>
      </c>
      <c r="U908" s="3">
        <v>443</v>
      </c>
      <c r="V908" s="1" t="s">
        <v>79</v>
      </c>
      <c r="W908" s="5">
        <f>Table1[[#This Row],[Quantity]]*Table1[[#This Row],[Price]]*(1-Table1[[#This Row],[Discount %]]/100)</f>
        <v>351096.25</v>
      </c>
      <c r="X908">
        <f>Table1[[#This Row],[DeliveryDate]]-Table1[[#This Row],[OrderDate]]</f>
        <v>6</v>
      </c>
      <c r="Y908" t="str">
        <f>TEXT(Table1[[#This Row],[OrderDate]],"MMMM")</f>
        <v>September</v>
      </c>
      <c r="Z908" s="5">
        <f>YEAR(Table1[[#This Row],[OrderDate]])</f>
        <v>2023</v>
      </c>
    </row>
    <row r="909" spans="1:26" x14ac:dyDescent="0.3">
      <c r="A909" s="1" t="s">
        <v>2784</v>
      </c>
      <c r="B909" t="s">
        <v>344</v>
      </c>
      <c r="C909" s="3">
        <v>28</v>
      </c>
      <c r="D909" s="1" t="s">
        <v>24</v>
      </c>
      <c r="E909" s="1" t="s">
        <v>25</v>
      </c>
      <c r="F909" s="1" t="s">
        <v>82</v>
      </c>
      <c r="G909" s="4">
        <v>45622</v>
      </c>
      <c r="H909" s="4">
        <v>45624</v>
      </c>
      <c r="I909" s="1" t="s">
        <v>108</v>
      </c>
      <c r="J909" s="1" t="s">
        <v>44</v>
      </c>
      <c r="K909" s="3">
        <v>3</v>
      </c>
      <c r="L909" s="2">
        <v>42109.716287215415</v>
      </c>
      <c r="M909" s="3">
        <v>10</v>
      </c>
      <c r="N909" s="1" t="s">
        <v>166</v>
      </c>
      <c r="O909" s="1" t="s">
        <v>86</v>
      </c>
      <c r="P909" s="1" t="s">
        <v>69</v>
      </c>
      <c r="Q909" s="1" t="s">
        <v>347</v>
      </c>
      <c r="R909" s="1" t="s">
        <v>2786</v>
      </c>
      <c r="S909" s="3">
        <v>3</v>
      </c>
      <c r="T909" s="1" t="s">
        <v>36</v>
      </c>
      <c r="U909" s="3">
        <v>95</v>
      </c>
      <c r="V909" s="1" t="s">
        <v>62</v>
      </c>
      <c r="W909" s="5">
        <f>Table1[[#This Row],[Quantity]]*Table1[[#This Row],[Price]]*(1-Table1[[#This Row],[Discount %]]/100)</f>
        <v>113696.23397548162</v>
      </c>
      <c r="X909">
        <f>Table1[[#This Row],[DeliveryDate]]-Table1[[#This Row],[OrderDate]]</f>
        <v>2</v>
      </c>
      <c r="Y909" t="str">
        <f>TEXT(Table1[[#This Row],[OrderDate]],"MMMM")</f>
        <v>November</v>
      </c>
      <c r="Z909" s="5">
        <f>YEAR(Table1[[#This Row],[OrderDate]])</f>
        <v>2024</v>
      </c>
    </row>
    <row r="910" spans="1:26" x14ac:dyDescent="0.3">
      <c r="A910" s="1" t="s">
        <v>2787</v>
      </c>
      <c r="B910" t="s">
        <v>933</v>
      </c>
      <c r="C910" s="3">
        <v>21</v>
      </c>
      <c r="D910" s="1" t="s">
        <v>51</v>
      </c>
      <c r="E910" s="1" t="s">
        <v>52</v>
      </c>
      <c r="F910" s="1" t="s">
        <v>26</v>
      </c>
      <c r="G910" s="4">
        <v>45231</v>
      </c>
      <c r="H910" s="4">
        <v>45237</v>
      </c>
      <c r="I910" s="1" t="s">
        <v>77</v>
      </c>
      <c r="J910" s="1" t="s">
        <v>30</v>
      </c>
      <c r="K910" s="3">
        <v>5</v>
      </c>
      <c r="L910" s="2">
        <v>18680</v>
      </c>
      <c r="M910" s="3">
        <v>0</v>
      </c>
      <c r="N910" s="1" t="s">
        <v>45</v>
      </c>
      <c r="O910" s="1" t="s">
        <v>133</v>
      </c>
      <c r="P910" s="1" t="s">
        <v>174</v>
      </c>
      <c r="Q910" s="1" t="s">
        <v>935</v>
      </c>
      <c r="R910" s="1" t="s">
        <v>2788</v>
      </c>
      <c r="S910" s="3">
        <v>3</v>
      </c>
      <c r="T910" s="1" t="s">
        <v>61</v>
      </c>
      <c r="U910" s="3">
        <v>319</v>
      </c>
      <c r="V910" s="1" t="s">
        <v>37</v>
      </c>
      <c r="W910" s="5">
        <f>Table1[[#This Row],[Quantity]]*Table1[[#This Row],[Price]]*(1-Table1[[#This Row],[Discount %]]/100)</f>
        <v>93400</v>
      </c>
      <c r="X910">
        <f>Table1[[#This Row],[DeliveryDate]]-Table1[[#This Row],[OrderDate]]</f>
        <v>6</v>
      </c>
      <c r="Y910" t="str">
        <f>TEXT(Table1[[#This Row],[OrderDate]],"MMMM")</f>
        <v>November</v>
      </c>
      <c r="Z910" s="5">
        <f>YEAR(Table1[[#This Row],[OrderDate]])</f>
        <v>2023</v>
      </c>
    </row>
    <row r="911" spans="1:26" x14ac:dyDescent="0.3">
      <c r="A911" s="1" t="s">
        <v>2789</v>
      </c>
      <c r="B911" t="s">
        <v>803</v>
      </c>
      <c r="C911" s="3">
        <v>39</v>
      </c>
      <c r="D911" s="1" t="s">
        <v>51</v>
      </c>
      <c r="E911" s="1" t="s">
        <v>229</v>
      </c>
      <c r="F911" s="1" t="s">
        <v>26</v>
      </c>
      <c r="G911" s="4">
        <v>45399</v>
      </c>
      <c r="H911" s="4">
        <v>45403</v>
      </c>
      <c r="I911" s="1" t="s">
        <v>29</v>
      </c>
      <c r="J911" s="1" t="s">
        <v>30</v>
      </c>
      <c r="K911" s="3">
        <v>2</v>
      </c>
      <c r="L911" s="2">
        <v>45059</v>
      </c>
      <c r="M911" s="3">
        <v>0</v>
      </c>
      <c r="N911" s="1" t="s">
        <v>56</v>
      </c>
      <c r="O911" s="1" t="s">
        <v>133</v>
      </c>
      <c r="P911" s="1" t="s">
        <v>58</v>
      </c>
      <c r="Q911" s="1" t="s">
        <v>805</v>
      </c>
      <c r="R911" s="1" t="s">
        <v>2791</v>
      </c>
      <c r="S911" s="3">
        <v>3</v>
      </c>
      <c r="T911" s="1" t="s">
        <v>72</v>
      </c>
      <c r="U911" s="3">
        <v>333</v>
      </c>
      <c r="V911" s="1" t="s">
        <v>62</v>
      </c>
      <c r="W911" s="5">
        <f>Table1[[#This Row],[Quantity]]*Table1[[#This Row],[Price]]*(1-Table1[[#This Row],[Discount %]]/100)</f>
        <v>90118</v>
      </c>
      <c r="X911">
        <f>Table1[[#This Row],[DeliveryDate]]-Table1[[#This Row],[OrderDate]]</f>
        <v>4</v>
      </c>
      <c r="Y911" t="str">
        <f>TEXT(Table1[[#This Row],[OrderDate]],"MMMM")</f>
        <v>April</v>
      </c>
      <c r="Z911" s="5">
        <f>YEAR(Table1[[#This Row],[OrderDate]])</f>
        <v>2024</v>
      </c>
    </row>
    <row r="912" spans="1:26" x14ac:dyDescent="0.3">
      <c r="A912" s="1" t="s">
        <v>2792</v>
      </c>
      <c r="B912" t="s">
        <v>498</v>
      </c>
      <c r="C912" s="3">
        <v>38</v>
      </c>
      <c r="D912" s="1" t="s">
        <v>51</v>
      </c>
      <c r="E912" s="1" t="s">
        <v>26</v>
      </c>
      <c r="F912" s="1" t="s">
        <v>65</v>
      </c>
      <c r="G912" s="4">
        <v>45170</v>
      </c>
      <c r="H912" s="4">
        <v>45173</v>
      </c>
      <c r="I912" s="1" t="s">
        <v>93</v>
      </c>
      <c r="J912" s="1" t="s">
        <v>30</v>
      </c>
      <c r="K912" s="3">
        <v>5</v>
      </c>
      <c r="L912" s="2">
        <v>77981</v>
      </c>
      <c r="M912" s="3">
        <v>15</v>
      </c>
      <c r="N912" s="1" t="s">
        <v>31</v>
      </c>
      <c r="O912" s="1" t="s">
        <v>133</v>
      </c>
      <c r="P912" s="1" t="s">
        <v>69</v>
      </c>
      <c r="Q912" s="1" t="s">
        <v>500</v>
      </c>
      <c r="R912" s="1" t="s">
        <v>2793</v>
      </c>
      <c r="S912" s="3">
        <v>2</v>
      </c>
      <c r="T912" s="1" t="s">
        <v>96</v>
      </c>
      <c r="U912" s="3">
        <v>498</v>
      </c>
      <c r="V912" s="1" t="s">
        <v>37</v>
      </c>
      <c r="W912" s="5">
        <f>Table1[[#This Row],[Quantity]]*Table1[[#This Row],[Price]]*(1-Table1[[#This Row],[Discount %]]/100)</f>
        <v>331419.25</v>
      </c>
      <c r="X912">
        <f>Table1[[#This Row],[DeliveryDate]]-Table1[[#This Row],[OrderDate]]</f>
        <v>3</v>
      </c>
      <c r="Y912" t="str">
        <f>TEXT(Table1[[#This Row],[OrderDate]],"MMMM")</f>
        <v>September</v>
      </c>
      <c r="Z912" s="5">
        <f>YEAR(Table1[[#This Row],[OrderDate]])</f>
        <v>2023</v>
      </c>
    </row>
    <row r="913" spans="1:26" x14ac:dyDescent="0.3">
      <c r="A913" s="1" t="s">
        <v>2794</v>
      </c>
      <c r="B913" t="s">
        <v>650</v>
      </c>
      <c r="C913" s="3">
        <v>19</v>
      </c>
      <c r="D913" s="1" t="s">
        <v>51</v>
      </c>
      <c r="E913" s="1" t="s">
        <v>26</v>
      </c>
      <c r="F913" s="1" t="s">
        <v>65</v>
      </c>
      <c r="G913" s="4">
        <v>45551</v>
      </c>
      <c r="H913" s="4">
        <v>45557</v>
      </c>
      <c r="I913" s="1" t="s">
        <v>77</v>
      </c>
      <c r="J913" s="1" t="s">
        <v>30</v>
      </c>
      <c r="K913" s="3">
        <v>2</v>
      </c>
      <c r="L913" s="2">
        <v>18217</v>
      </c>
      <c r="M913" s="3">
        <v>0</v>
      </c>
      <c r="N913" s="1" t="s">
        <v>45</v>
      </c>
      <c r="O913" s="1" t="s">
        <v>102</v>
      </c>
      <c r="P913" s="1" t="s">
        <v>174</v>
      </c>
      <c r="Q913" s="1" t="s">
        <v>653</v>
      </c>
      <c r="R913" s="1" t="s">
        <v>2795</v>
      </c>
      <c r="S913" s="3">
        <v>3</v>
      </c>
      <c r="T913" s="1" t="s">
        <v>36</v>
      </c>
      <c r="U913" s="3">
        <v>438</v>
      </c>
      <c r="V913" s="1" t="s">
        <v>79</v>
      </c>
      <c r="W913" s="5">
        <f>Table1[[#This Row],[Quantity]]*Table1[[#This Row],[Price]]*(1-Table1[[#This Row],[Discount %]]/100)</f>
        <v>36434</v>
      </c>
      <c r="X913">
        <f>Table1[[#This Row],[DeliveryDate]]-Table1[[#This Row],[OrderDate]]</f>
        <v>6</v>
      </c>
      <c r="Y913" t="str">
        <f>TEXT(Table1[[#This Row],[OrderDate]],"MMMM")</f>
        <v>September</v>
      </c>
      <c r="Z913" s="5">
        <f>YEAR(Table1[[#This Row],[OrderDate]])</f>
        <v>2024</v>
      </c>
    </row>
    <row r="914" spans="1:26" x14ac:dyDescent="0.3">
      <c r="A914" s="1" t="s">
        <v>2796</v>
      </c>
      <c r="B914" t="s">
        <v>457</v>
      </c>
      <c r="C914" s="3">
        <v>48</v>
      </c>
      <c r="D914" s="1" t="s">
        <v>51</v>
      </c>
      <c r="E914" s="1" t="s">
        <v>142</v>
      </c>
      <c r="F914" s="1" t="s">
        <v>53</v>
      </c>
      <c r="G914" s="4">
        <v>45192</v>
      </c>
      <c r="H914" s="4">
        <v>45202</v>
      </c>
      <c r="I914" s="1" t="s">
        <v>93</v>
      </c>
      <c r="J914" s="1" t="s">
        <v>44</v>
      </c>
      <c r="K914" s="3">
        <v>4</v>
      </c>
      <c r="L914" s="2">
        <v>66623</v>
      </c>
      <c r="M914" s="3">
        <v>5</v>
      </c>
      <c r="N914" s="1" t="s">
        <v>31</v>
      </c>
      <c r="O914" s="1" t="s">
        <v>133</v>
      </c>
      <c r="P914" s="1" t="s">
        <v>174</v>
      </c>
      <c r="Q914" s="1" t="s">
        <v>595</v>
      </c>
      <c r="R914" s="1" t="s">
        <v>2797</v>
      </c>
      <c r="S914" s="3">
        <v>1</v>
      </c>
      <c r="T914" s="1" t="s">
        <v>96</v>
      </c>
      <c r="U914" s="3">
        <v>317</v>
      </c>
      <c r="V914" s="1" t="s">
        <v>37</v>
      </c>
      <c r="W914" s="5">
        <f>Table1[[#This Row],[Quantity]]*Table1[[#This Row],[Price]]*(1-Table1[[#This Row],[Discount %]]/100)</f>
        <v>253167.4</v>
      </c>
      <c r="X914">
        <f>Table1[[#This Row],[DeliveryDate]]-Table1[[#This Row],[OrderDate]]</f>
        <v>10</v>
      </c>
      <c r="Y914" t="str">
        <f>TEXT(Table1[[#This Row],[OrderDate]],"MMMM")</f>
        <v>September</v>
      </c>
      <c r="Z914" s="5">
        <f>YEAR(Table1[[#This Row],[OrderDate]])</f>
        <v>2023</v>
      </c>
    </row>
    <row r="915" spans="1:26" x14ac:dyDescent="0.3">
      <c r="A915" s="1" t="s">
        <v>2798</v>
      </c>
      <c r="B915" t="s">
        <v>249</v>
      </c>
      <c r="C915" s="3">
        <v>37</v>
      </c>
      <c r="D915" s="1" t="s">
        <v>24</v>
      </c>
      <c r="E915" s="1" t="s">
        <v>52</v>
      </c>
      <c r="F915" s="1" t="s">
        <v>26</v>
      </c>
      <c r="G915" s="4">
        <v>45379</v>
      </c>
      <c r="H915" s="4">
        <v>45385</v>
      </c>
      <c r="I915" s="1" t="s">
        <v>77</v>
      </c>
      <c r="J915" s="1" t="s">
        <v>30</v>
      </c>
      <c r="K915" s="3">
        <v>2.9447852760736195</v>
      </c>
      <c r="L915" s="2">
        <v>28557</v>
      </c>
      <c r="M915" s="3">
        <v>15</v>
      </c>
      <c r="N915" s="1" t="s">
        <v>45</v>
      </c>
      <c r="O915" s="1" t="s">
        <v>68</v>
      </c>
      <c r="P915" s="1" t="s">
        <v>174</v>
      </c>
      <c r="Q915" s="1" t="s">
        <v>252</v>
      </c>
      <c r="R915" s="1" t="s">
        <v>2799</v>
      </c>
      <c r="S915" s="3">
        <v>1</v>
      </c>
      <c r="T915" s="1" t="s">
        <v>61</v>
      </c>
      <c r="U915" s="3">
        <v>314</v>
      </c>
      <c r="V915" s="1" t="s">
        <v>79</v>
      </c>
      <c r="W915" s="5">
        <f>Table1[[#This Row],[Quantity]]*Table1[[#This Row],[Price]]*(1-Table1[[#This Row],[Discount %]]/100)</f>
        <v>71480.098159509202</v>
      </c>
      <c r="X915">
        <f>Table1[[#This Row],[DeliveryDate]]-Table1[[#This Row],[OrderDate]]</f>
        <v>6</v>
      </c>
      <c r="Y915" t="str">
        <f>TEXT(Table1[[#This Row],[OrderDate]],"MMMM")</f>
        <v>March</v>
      </c>
      <c r="Z915" s="5">
        <f>YEAR(Table1[[#This Row],[OrderDate]])</f>
        <v>2024</v>
      </c>
    </row>
    <row r="916" spans="1:26" x14ac:dyDescent="0.3">
      <c r="A916" s="1" t="s">
        <v>2800</v>
      </c>
      <c r="B916" t="s">
        <v>1686</v>
      </c>
      <c r="C916" s="3">
        <v>32</v>
      </c>
      <c r="D916" s="1" t="s">
        <v>24</v>
      </c>
      <c r="E916" s="1" t="s">
        <v>26</v>
      </c>
      <c r="F916" s="1" t="s">
        <v>82</v>
      </c>
      <c r="G916" s="4">
        <v>45395</v>
      </c>
      <c r="H916" s="4">
        <v>45402</v>
      </c>
      <c r="I916" s="1" t="s">
        <v>93</v>
      </c>
      <c r="J916" s="1" t="s">
        <v>30</v>
      </c>
      <c r="K916" s="3">
        <v>3</v>
      </c>
      <c r="L916" s="2">
        <v>39778</v>
      </c>
      <c r="M916" s="3">
        <v>10</v>
      </c>
      <c r="N916" s="1" t="s">
        <v>166</v>
      </c>
      <c r="O916" s="1" t="s">
        <v>32</v>
      </c>
      <c r="P916" s="1" t="s">
        <v>33</v>
      </c>
      <c r="Q916" s="1" t="s">
        <v>1687</v>
      </c>
      <c r="R916" s="1" t="s">
        <v>2801</v>
      </c>
      <c r="S916" s="3">
        <v>3</v>
      </c>
      <c r="T916" s="1" t="s">
        <v>72</v>
      </c>
      <c r="U916" s="3">
        <v>375</v>
      </c>
      <c r="V916" s="1" t="s">
        <v>79</v>
      </c>
      <c r="W916" s="5">
        <f>Table1[[#This Row],[Quantity]]*Table1[[#This Row],[Price]]*(1-Table1[[#This Row],[Discount %]]/100)</f>
        <v>107400.6</v>
      </c>
      <c r="X916">
        <f>Table1[[#This Row],[DeliveryDate]]-Table1[[#This Row],[OrderDate]]</f>
        <v>7</v>
      </c>
      <c r="Y916" t="str">
        <f>TEXT(Table1[[#This Row],[OrderDate]],"MMMM")</f>
        <v>April</v>
      </c>
      <c r="Z916" s="5">
        <f>YEAR(Table1[[#This Row],[OrderDate]])</f>
        <v>2024</v>
      </c>
    </row>
    <row r="917" spans="1:26" x14ac:dyDescent="0.3">
      <c r="A917" s="1" t="s">
        <v>2802</v>
      </c>
      <c r="B917" t="s">
        <v>90</v>
      </c>
      <c r="C917" s="3">
        <v>53</v>
      </c>
      <c r="D917" s="1" t="s">
        <v>51</v>
      </c>
      <c r="E917" s="1" t="s">
        <v>52</v>
      </c>
      <c r="F917" s="1" t="s">
        <v>26</v>
      </c>
      <c r="G917" s="4">
        <v>45328</v>
      </c>
      <c r="H917" s="4">
        <v>45336</v>
      </c>
      <c r="I917" s="1" t="s">
        <v>29</v>
      </c>
      <c r="J917" s="1" t="s">
        <v>30</v>
      </c>
      <c r="K917" s="3">
        <v>2</v>
      </c>
      <c r="L917" s="2">
        <v>42109.716287215415</v>
      </c>
      <c r="M917" s="3">
        <v>10</v>
      </c>
      <c r="N917" s="1" t="s">
        <v>31</v>
      </c>
      <c r="O917" s="1" t="s">
        <v>32</v>
      </c>
      <c r="P917" s="1" t="s">
        <v>174</v>
      </c>
      <c r="Q917" s="1" t="s">
        <v>94</v>
      </c>
      <c r="R917" s="1" t="s">
        <v>2803</v>
      </c>
      <c r="S917" s="3">
        <v>2</v>
      </c>
      <c r="T917" s="1" t="s">
        <v>61</v>
      </c>
      <c r="U917" s="3">
        <v>247</v>
      </c>
      <c r="V917" s="1" t="s">
        <v>62</v>
      </c>
      <c r="W917" s="5">
        <f>Table1[[#This Row],[Quantity]]*Table1[[#This Row],[Price]]*(1-Table1[[#This Row],[Discount %]]/100)</f>
        <v>75797.489316987747</v>
      </c>
      <c r="X917">
        <f>Table1[[#This Row],[DeliveryDate]]-Table1[[#This Row],[OrderDate]]</f>
        <v>8</v>
      </c>
      <c r="Y917" t="str">
        <f>TEXT(Table1[[#This Row],[OrderDate]],"MMMM")</f>
        <v>February</v>
      </c>
      <c r="Z917" s="5">
        <f>YEAR(Table1[[#This Row],[OrderDate]])</f>
        <v>2024</v>
      </c>
    </row>
    <row r="918" spans="1:26" x14ac:dyDescent="0.3">
      <c r="A918" s="1" t="s">
        <v>2804</v>
      </c>
      <c r="B918" t="s">
        <v>74</v>
      </c>
      <c r="C918" s="3">
        <v>34</v>
      </c>
      <c r="D918" s="1" t="s">
        <v>24</v>
      </c>
      <c r="E918" s="1" t="s">
        <v>40</v>
      </c>
      <c r="F918" s="1" t="s">
        <v>91</v>
      </c>
      <c r="G918" s="4">
        <v>45384</v>
      </c>
      <c r="H918" s="4">
        <v>45386</v>
      </c>
      <c r="I918" s="1" t="s">
        <v>77</v>
      </c>
      <c r="J918" s="1" t="s">
        <v>30</v>
      </c>
      <c r="K918" s="3">
        <v>3</v>
      </c>
      <c r="L918" s="2">
        <v>28650</v>
      </c>
      <c r="M918" s="3">
        <v>0</v>
      </c>
      <c r="N918" s="1" t="s">
        <v>166</v>
      </c>
      <c r="O918" s="1" t="s">
        <v>173</v>
      </c>
      <c r="P918" s="1" t="s">
        <v>174</v>
      </c>
      <c r="Q918" s="1" t="s">
        <v>78</v>
      </c>
      <c r="R918" s="1" t="s">
        <v>2806</v>
      </c>
      <c r="S918" s="3">
        <v>1</v>
      </c>
      <c r="T918" s="1" t="s">
        <v>61</v>
      </c>
      <c r="U918" s="3">
        <v>405</v>
      </c>
      <c r="V918" s="1" t="s">
        <v>79</v>
      </c>
      <c r="W918" s="5">
        <f>Table1[[#This Row],[Quantity]]*Table1[[#This Row],[Price]]*(1-Table1[[#This Row],[Discount %]]/100)</f>
        <v>85950</v>
      </c>
      <c r="X918">
        <f>Table1[[#This Row],[DeliveryDate]]-Table1[[#This Row],[OrderDate]]</f>
        <v>2</v>
      </c>
      <c r="Y918" t="str">
        <f>TEXT(Table1[[#This Row],[OrderDate]],"MMMM")</f>
        <v>April</v>
      </c>
      <c r="Z918" s="5">
        <f>YEAR(Table1[[#This Row],[OrderDate]])</f>
        <v>2024</v>
      </c>
    </row>
    <row r="919" spans="1:26" x14ac:dyDescent="0.3">
      <c r="A919" s="1" t="s">
        <v>2807</v>
      </c>
      <c r="B919" t="s">
        <v>204</v>
      </c>
      <c r="C919" s="3">
        <v>56</v>
      </c>
      <c r="D919" s="1" t="s">
        <v>24</v>
      </c>
      <c r="E919" s="1" t="s">
        <v>131</v>
      </c>
      <c r="F919" s="1" t="s">
        <v>65</v>
      </c>
      <c r="G919" s="4">
        <v>45541</v>
      </c>
      <c r="H919" s="4">
        <v>45548</v>
      </c>
      <c r="I919" s="1" t="s">
        <v>43</v>
      </c>
      <c r="J919" s="1" t="s">
        <v>44</v>
      </c>
      <c r="K919" s="3">
        <v>5</v>
      </c>
      <c r="L919" s="2">
        <v>60197</v>
      </c>
      <c r="M919" s="3">
        <v>15</v>
      </c>
      <c r="N919" s="1" t="s">
        <v>45</v>
      </c>
      <c r="O919" s="1" t="s">
        <v>57</v>
      </c>
      <c r="P919" s="1" t="s">
        <v>58</v>
      </c>
      <c r="Q919" s="1" t="s">
        <v>207</v>
      </c>
      <c r="R919" s="1" t="s">
        <v>2808</v>
      </c>
      <c r="S919" s="3">
        <v>5</v>
      </c>
      <c r="T919" s="1" t="s">
        <v>96</v>
      </c>
      <c r="U919" s="3">
        <v>169</v>
      </c>
      <c r="V919" s="1" t="s">
        <v>37</v>
      </c>
      <c r="W919" s="5">
        <f>Table1[[#This Row],[Quantity]]*Table1[[#This Row],[Price]]*(1-Table1[[#This Row],[Discount %]]/100)</f>
        <v>255837.25</v>
      </c>
      <c r="X919">
        <f>Table1[[#This Row],[DeliveryDate]]-Table1[[#This Row],[OrderDate]]</f>
        <v>7</v>
      </c>
      <c r="Y919" t="str">
        <f>TEXT(Table1[[#This Row],[OrderDate]],"MMMM")</f>
        <v>September</v>
      </c>
      <c r="Z919" s="5">
        <f>YEAR(Table1[[#This Row],[OrderDate]])</f>
        <v>2024</v>
      </c>
    </row>
    <row r="920" spans="1:26" x14ac:dyDescent="0.3">
      <c r="A920" s="1" t="s">
        <v>2809</v>
      </c>
      <c r="B920" t="s">
        <v>249</v>
      </c>
      <c r="C920" s="3">
        <v>54</v>
      </c>
      <c r="D920" s="1" t="s">
        <v>51</v>
      </c>
      <c r="E920" s="1" t="s">
        <v>40</v>
      </c>
      <c r="F920" s="1" t="s">
        <v>65</v>
      </c>
      <c r="G920" s="4">
        <v>45187</v>
      </c>
      <c r="H920" s="4">
        <v>45191</v>
      </c>
      <c r="I920" s="1" t="s">
        <v>93</v>
      </c>
      <c r="J920" s="1" t="s">
        <v>30</v>
      </c>
      <c r="K920" s="3">
        <v>2</v>
      </c>
      <c r="L920" s="2">
        <v>10656</v>
      </c>
      <c r="M920" s="3">
        <v>15</v>
      </c>
      <c r="N920" s="1" t="s">
        <v>56</v>
      </c>
      <c r="O920" s="1" t="s">
        <v>57</v>
      </c>
      <c r="P920" s="1" t="s">
        <v>58</v>
      </c>
      <c r="Q920" s="1" t="s">
        <v>252</v>
      </c>
      <c r="R920" s="1" t="s">
        <v>2810</v>
      </c>
      <c r="S920" s="3">
        <v>2</v>
      </c>
      <c r="T920" s="1" t="s">
        <v>61</v>
      </c>
      <c r="U920" s="3">
        <v>179</v>
      </c>
      <c r="V920" s="1" t="s">
        <v>79</v>
      </c>
      <c r="W920" s="5">
        <f>Table1[[#This Row],[Quantity]]*Table1[[#This Row],[Price]]*(1-Table1[[#This Row],[Discount %]]/100)</f>
        <v>18115.2</v>
      </c>
      <c r="X920">
        <f>Table1[[#This Row],[DeliveryDate]]-Table1[[#This Row],[OrderDate]]</f>
        <v>4</v>
      </c>
      <c r="Y920" t="str">
        <f>TEXT(Table1[[#This Row],[OrderDate]],"MMMM")</f>
        <v>September</v>
      </c>
      <c r="Z920" s="5">
        <f>YEAR(Table1[[#This Row],[OrderDate]])</f>
        <v>2023</v>
      </c>
    </row>
    <row r="921" spans="1:26" x14ac:dyDescent="0.3">
      <c r="A921" s="1" t="s">
        <v>2811</v>
      </c>
      <c r="B921" t="s">
        <v>344</v>
      </c>
      <c r="C921" s="3">
        <v>21</v>
      </c>
      <c r="D921" s="1" t="s">
        <v>51</v>
      </c>
      <c r="E921" s="1" t="s">
        <v>229</v>
      </c>
      <c r="F921" s="1" t="s">
        <v>65</v>
      </c>
      <c r="G921" s="4">
        <v>45129</v>
      </c>
      <c r="H921" s="4">
        <v>45132</v>
      </c>
      <c r="I921" s="1" t="s">
        <v>85</v>
      </c>
      <c r="J921" s="1" t="s">
        <v>30</v>
      </c>
      <c r="K921" s="3">
        <v>1</v>
      </c>
      <c r="L921" s="2">
        <v>42109.716287215415</v>
      </c>
      <c r="M921" s="3">
        <v>10</v>
      </c>
      <c r="N921" s="1" t="s">
        <v>45</v>
      </c>
      <c r="O921" s="1" t="s">
        <v>46</v>
      </c>
      <c r="P921" s="1" t="s">
        <v>69</v>
      </c>
      <c r="Q921" s="1" t="s">
        <v>347</v>
      </c>
      <c r="R921" s="1" t="s">
        <v>2813</v>
      </c>
      <c r="S921" s="3">
        <v>4</v>
      </c>
      <c r="T921" s="1" t="s">
        <v>96</v>
      </c>
      <c r="U921" s="3">
        <v>166</v>
      </c>
      <c r="V921" s="1" t="s">
        <v>79</v>
      </c>
      <c r="W921" s="5">
        <f>Table1[[#This Row],[Quantity]]*Table1[[#This Row],[Price]]*(1-Table1[[#This Row],[Discount %]]/100)</f>
        <v>37898.744658493873</v>
      </c>
      <c r="X921">
        <f>Table1[[#This Row],[DeliveryDate]]-Table1[[#This Row],[OrderDate]]</f>
        <v>3</v>
      </c>
      <c r="Y921" t="str">
        <f>TEXT(Table1[[#This Row],[OrderDate]],"MMMM")</f>
        <v>July</v>
      </c>
      <c r="Z921" s="5">
        <f>YEAR(Table1[[#This Row],[OrderDate]])</f>
        <v>2023</v>
      </c>
    </row>
    <row r="922" spans="1:26" x14ac:dyDescent="0.3">
      <c r="A922" s="1" t="s">
        <v>2814</v>
      </c>
      <c r="B922" t="s">
        <v>1008</v>
      </c>
      <c r="C922" s="3">
        <v>35</v>
      </c>
      <c r="D922" s="1" t="s">
        <v>24</v>
      </c>
      <c r="E922" s="1" t="s">
        <v>131</v>
      </c>
      <c r="F922" s="1" t="s">
        <v>82</v>
      </c>
      <c r="G922" s="4">
        <v>45299</v>
      </c>
      <c r="H922" s="4">
        <v>45305</v>
      </c>
      <c r="I922" s="1" t="s">
        <v>29</v>
      </c>
      <c r="J922" s="1" t="s">
        <v>30</v>
      </c>
      <c r="K922" s="3">
        <v>3</v>
      </c>
      <c r="L922" s="2">
        <v>52447</v>
      </c>
      <c r="M922" s="3">
        <v>5</v>
      </c>
      <c r="N922" s="1" t="s">
        <v>56</v>
      </c>
      <c r="O922" s="1" t="s">
        <v>32</v>
      </c>
      <c r="P922" s="1" t="s">
        <v>174</v>
      </c>
      <c r="Q922" s="1" t="s">
        <v>1011</v>
      </c>
      <c r="R922" s="1" t="s">
        <v>2815</v>
      </c>
      <c r="S922" s="3">
        <v>1</v>
      </c>
      <c r="T922" s="1" t="s">
        <v>36</v>
      </c>
      <c r="U922" s="3">
        <v>394</v>
      </c>
      <c r="V922" s="1" t="s">
        <v>37</v>
      </c>
      <c r="W922" s="5">
        <f>Table1[[#This Row],[Quantity]]*Table1[[#This Row],[Price]]*(1-Table1[[#This Row],[Discount %]]/100)</f>
        <v>149473.94999999998</v>
      </c>
      <c r="X922">
        <f>Table1[[#This Row],[DeliveryDate]]-Table1[[#This Row],[OrderDate]]</f>
        <v>6</v>
      </c>
      <c r="Y922" t="str">
        <f>TEXT(Table1[[#This Row],[OrderDate]],"MMMM")</f>
        <v>January</v>
      </c>
      <c r="Z922" s="5">
        <f>YEAR(Table1[[#This Row],[OrderDate]])</f>
        <v>2024</v>
      </c>
    </row>
    <row r="923" spans="1:26" x14ac:dyDescent="0.3">
      <c r="A923" s="1" t="s">
        <v>2816</v>
      </c>
      <c r="B923" t="s">
        <v>476</v>
      </c>
      <c r="C923" s="3">
        <v>48</v>
      </c>
      <c r="D923" s="1" t="s">
        <v>24</v>
      </c>
      <c r="E923" s="1" t="s">
        <v>26</v>
      </c>
      <c r="F923" s="1" t="s">
        <v>91</v>
      </c>
      <c r="G923" s="4">
        <v>45140</v>
      </c>
      <c r="H923" s="4">
        <v>45149</v>
      </c>
      <c r="I923" s="1" t="s">
        <v>108</v>
      </c>
      <c r="J923" s="1" t="s">
        <v>30</v>
      </c>
      <c r="K923" s="3">
        <v>3</v>
      </c>
      <c r="L923" s="2">
        <v>72987</v>
      </c>
      <c r="M923" s="3">
        <v>0</v>
      </c>
      <c r="N923" s="1" t="s">
        <v>166</v>
      </c>
      <c r="O923" s="1" t="s">
        <v>68</v>
      </c>
      <c r="P923" s="1" t="s">
        <v>58</v>
      </c>
      <c r="Q923" s="1" t="s">
        <v>478</v>
      </c>
      <c r="R923" s="1" t="s">
        <v>2817</v>
      </c>
      <c r="S923" s="3">
        <v>1</v>
      </c>
      <c r="T923" s="1" t="s">
        <v>36</v>
      </c>
      <c r="U923" s="3">
        <v>449</v>
      </c>
      <c r="V923" s="1" t="s">
        <v>79</v>
      </c>
      <c r="W923" s="5">
        <f>Table1[[#This Row],[Quantity]]*Table1[[#This Row],[Price]]*(1-Table1[[#This Row],[Discount %]]/100)</f>
        <v>218961</v>
      </c>
      <c r="X923">
        <f>Table1[[#This Row],[DeliveryDate]]-Table1[[#This Row],[OrderDate]]</f>
        <v>9</v>
      </c>
      <c r="Y923" t="str">
        <f>TEXT(Table1[[#This Row],[OrderDate]],"MMMM")</f>
        <v>August</v>
      </c>
      <c r="Z923" s="5">
        <f>YEAR(Table1[[#This Row],[OrderDate]])</f>
        <v>2023</v>
      </c>
    </row>
    <row r="924" spans="1:26" x14ac:dyDescent="0.3">
      <c r="A924" s="1" t="s">
        <v>2818</v>
      </c>
      <c r="B924" t="s">
        <v>397</v>
      </c>
      <c r="C924" s="3">
        <v>46</v>
      </c>
      <c r="D924" s="1" t="s">
        <v>51</v>
      </c>
      <c r="E924" s="1" t="s">
        <v>40</v>
      </c>
      <c r="F924" s="1" t="s">
        <v>91</v>
      </c>
      <c r="G924" s="4">
        <v>44935</v>
      </c>
      <c r="H924" s="4">
        <v>44944</v>
      </c>
      <c r="I924" s="1" t="s">
        <v>77</v>
      </c>
      <c r="J924" s="1" t="s">
        <v>44</v>
      </c>
      <c r="K924" s="3">
        <v>5</v>
      </c>
      <c r="L924" s="2">
        <v>55304</v>
      </c>
      <c r="M924" s="3">
        <v>0</v>
      </c>
      <c r="N924" s="1" t="s">
        <v>45</v>
      </c>
      <c r="O924" s="1" t="s">
        <v>86</v>
      </c>
      <c r="P924" s="1" t="s">
        <v>69</v>
      </c>
      <c r="Q924" s="1" t="s">
        <v>400</v>
      </c>
      <c r="R924" s="1" t="s">
        <v>2819</v>
      </c>
      <c r="S924" s="3">
        <v>4</v>
      </c>
      <c r="T924" s="1" t="s">
        <v>72</v>
      </c>
      <c r="U924" s="3">
        <v>472</v>
      </c>
      <c r="V924" s="1" t="s">
        <v>79</v>
      </c>
      <c r="W924" s="5">
        <f>Table1[[#This Row],[Quantity]]*Table1[[#This Row],[Price]]*(1-Table1[[#This Row],[Discount %]]/100)</f>
        <v>276520</v>
      </c>
      <c r="X924">
        <f>Table1[[#This Row],[DeliveryDate]]-Table1[[#This Row],[OrderDate]]</f>
        <v>9</v>
      </c>
      <c r="Y924" t="str">
        <f>TEXT(Table1[[#This Row],[OrderDate]],"MMMM")</f>
        <v>January</v>
      </c>
      <c r="Z924" s="5">
        <f>YEAR(Table1[[#This Row],[OrderDate]])</f>
        <v>2023</v>
      </c>
    </row>
    <row r="925" spans="1:26" x14ac:dyDescent="0.3">
      <c r="A925" s="1" t="s">
        <v>2820</v>
      </c>
      <c r="B925" t="s">
        <v>315</v>
      </c>
      <c r="C925" s="3">
        <v>26</v>
      </c>
      <c r="D925" s="1" t="s">
        <v>24</v>
      </c>
      <c r="E925" s="1" t="s">
        <v>26</v>
      </c>
      <c r="F925" s="1" t="s">
        <v>65</v>
      </c>
      <c r="G925" s="4">
        <v>45562</v>
      </c>
      <c r="H925" s="4">
        <v>45566</v>
      </c>
      <c r="I925" s="1" t="s">
        <v>77</v>
      </c>
      <c r="J925" s="1" t="s">
        <v>30</v>
      </c>
      <c r="K925" s="3">
        <v>4</v>
      </c>
      <c r="L925" s="2">
        <v>21277</v>
      </c>
      <c r="M925" s="3">
        <v>5</v>
      </c>
      <c r="N925" s="1" t="s">
        <v>31</v>
      </c>
      <c r="O925" s="1" t="s">
        <v>46</v>
      </c>
      <c r="P925" s="1" t="s">
        <v>174</v>
      </c>
      <c r="Q925" s="1" t="s">
        <v>318</v>
      </c>
      <c r="R925" s="1" t="s">
        <v>2821</v>
      </c>
      <c r="S925" s="3">
        <v>3</v>
      </c>
      <c r="T925" s="1" t="s">
        <v>61</v>
      </c>
      <c r="U925" s="3">
        <v>285</v>
      </c>
      <c r="V925" s="1" t="s">
        <v>37</v>
      </c>
      <c r="W925" s="5">
        <f>Table1[[#This Row],[Quantity]]*Table1[[#This Row],[Price]]*(1-Table1[[#This Row],[Discount %]]/100)</f>
        <v>80852.599999999991</v>
      </c>
      <c r="X925">
        <f>Table1[[#This Row],[DeliveryDate]]-Table1[[#This Row],[OrderDate]]</f>
        <v>4</v>
      </c>
      <c r="Y925" t="str">
        <f>TEXT(Table1[[#This Row],[OrderDate]],"MMMM")</f>
        <v>September</v>
      </c>
      <c r="Z925" s="5">
        <f>YEAR(Table1[[#This Row],[OrderDate]])</f>
        <v>2024</v>
      </c>
    </row>
    <row r="926" spans="1:26" x14ac:dyDescent="0.3">
      <c r="A926" s="1" t="s">
        <v>2822</v>
      </c>
      <c r="B926" t="s">
        <v>382</v>
      </c>
      <c r="C926" s="3">
        <v>22</v>
      </c>
      <c r="D926" s="1" t="s">
        <v>24</v>
      </c>
      <c r="E926" s="1" t="s">
        <v>52</v>
      </c>
      <c r="F926" s="1" t="s">
        <v>26</v>
      </c>
      <c r="G926" s="4">
        <v>45240</v>
      </c>
      <c r="H926" s="4">
        <v>45250</v>
      </c>
      <c r="I926" s="1" t="s">
        <v>43</v>
      </c>
      <c r="J926" s="1" t="s">
        <v>30</v>
      </c>
      <c r="K926" s="3">
        <v>5</v>
      </c>
      <c r="L926" s="2">
        <v>54425</v>
      </c>
      <c r="M926" s="3">
        <v>5</v>
      </c>
      <c r="N926" s="1" t="s">
        <v>45</v>
      </c>
      <c r="O926" s="1" t="s">
        <v>57</v>
      </c>
      <c r="P926" s="1" t="s">
        <v>174</v>
      </c>
      <c r="Q926" s="1" t="s">
        <v>385</v>
      </c>
      <c r="R926" s="1" t="s">
        <v>2824</v>
      </c>
      <c r="S926" s="3">
        <v>1</v>
      </c>
      <c r="T926" s="1" t="s">
        <v>72</v>
      </c>
      <c r="U926" s="3">
        <v>475</v>
      </c>
      <c r="V926" s="1" t="s">
        <v>62</v>
      </c>
      <c r="W926" s="5">
        <f>Table1[[#This Row],[Quantity]]*Table1[[#This Row],[Price]]*(1-Table1[[#This Row],[Discount %]]/100)</f>
        <v>258518.75</v>
      </c>
      <c r="X926">
        <f>Table1[[#This Row],[DeliveryDate]]-Table1[[#This Row],[OrderDate]]</f>
        <v>10</v>
      </c>
      <c r="Y926" t="str">
        <f>TEXT(Table1[[#This Row],[OrderDate]],"MMMM")</f>
        <v>November</v>
      </c>
      <c r="Z926" s="5">
        <f>YEAR(Table1[[#This Row],[OrderDate]])</f>
        <v>2023</v>
      </c>
    </row>
    <row r="927" spans="1:26" x14ac:dyDescent="0.3">
      <c r="A927" s="1" t="s">
        <v>2825</v>
      </c>
      <c r="B927" t="s">
        <v>498</v>
      </c>
      <c r="C927" s="3">
        <v>52</v>
      </c>
      <c r="D927" s="1" t="s">
        <v>24</v>
      </c>
      <c r="E927" s="1" t="s">
        <v>26</v>
      </c>
      <c r="F927" s="1" t="s">
        <v>26</v>
      </c>
      <c r="G927" s="4">
        <v>45520</v>
      </c>
      <c r="H927" s="4">
        <v>45522</v>
      </c>
      <c r="I927" s="1" t="s">
        <v>43</v>
      </c>
      <c r="J927" s="1" t="s">
        <v>44</v>
      </c>
      <c r="K927" s="3">
        <v>3</v>
      </c>
      <c r="L927" s="2">
        <v>71916</v>
      </c>
      <c r="M927" s="3">
        <v>5</v>
      </c>
      <c r="N927" s="1" t="s">
        <v>31</v>
      </c>
      <c r="O927" s="1" t="s">
        <v>32</v>
      </c>
      <c r="P927" s="1" t="s">
        <v>174</v>
      </c>
      <c r="Q927" s="1" t="s">
        <v>500</v>
      </c>
      <c r="R927" s="1" t="s">
        <v>2826</v>
      </c>
      <c r="S927" s="3">
        <v>5</v>
      </c>
      <c r="T927" s="1" t="s">
        <v>96</v>
      </c>
      <c r="U927" s="3">
        <v>377</v>
      </c>
      <c r="V927" s="1" t="s">
        <v>37</v>
      </c>
      <c r="W927" s="5">
        <f>Table1[[#This Row],[Quantity]]*Table1[[#This Row],[Price]]*(1-Table1[[#This Row],[Discount %]]/100)</f>
        <v>204960.59999999998</v>
      </c>
      <c r="X927">
        <f>Table1[[#This Row],[DeliveryDate]]-Table1[[#This Row],[OrderDate]]</f>
        <v>2</v>
      </c>
      <c r="Y927" t="str">
        <f>TEXT(Table1[[#This Row],[OrderDate]],"MMMM")</f>
        <v>August</v>
      </c>
      <c r="Z927" s="5">
        <f>YEAR(Table1[[#This Row],[OrderDate]])</f>
        <v>2024</v>
      </c>
    </row>
    <row r="928" spans="1:26" x14ac:dyDescent="0.3">
      <c r="A928" s="1" t="s">
        <v>2827</v>
      </c>
      <c r="B928" t="s">
        <v>1309</v>
      </c>
      <c r="C928" s="3">
        <v>44</v>
      </c>
      <c r="D928" s="1" t="s">
        <v>51</v>
      </c>
      <c r="E928" s="1" t="s">
        <v>25</v>
      </c>
      <c r="F928" s="1" t="s">
        <v>53</v>
      </c>
      <c r="G928" s="4">
        <v>45491</v>
      </c>
      <c r="H928" s="4">
        <v>45499</v>
      </c>
      <c r="I928" s="1" t="s">
        <v>43</v>
      </c>
      <c r="J928" s="1" t="s">
        <v>30</v>
      </c>
      <c r="K928" s="3">
        <v>5</v>
      </c>
      <c r="L928" s="2">
        <v>39971</v>
      </c>
      <c r="M928" s="3">
        <v>15</v>
      </c>
      <c r="N928" s="1" t="s">
        <v>56</v>
      </c>
      <c r="O928" s="1" t="s">
        <v>32</v>
      </c>
      <c r="P928" s="1" t="s">
        <v>58</v>
      </c>
      <c r="Q928" s="1" t="s">
        <v>3415</v>
      </c>
      <c r="R928" s="1" t="s">
        <v>2828</v>
      </c>
      <c r="S928" s="3">
        <v>3</v>
      </c>
      <c r="T928" s="1" t="s">
        <v>36</v>
      </c>
      <c r="U928" s="3">
        <v>324</v>
      </c>
      <c r="V928" s="1" t="s">
        <v>62</v>
      </c>
      <c r="W928" s="5">
        <f>Table1[[#This Row],[Quantity]]*Table1[[#This Row],[Price]]*(1-Table1[[#This Row],[Discount %]]/100)</f>
        <v>169876.75</v>
      </c>
      <c r="X928">
        <f>Table1[[#This Row],[DeliveryDate]]-Table1[[#This Row],[OrderDate]]</f>
        <v>8</v>
      </c>
      <c r="Y928" t="str">
        <f>TEXT(Table1[[#This Row],[OrderDate]],"MMMM")</f>
        <v>July</v>
      </c>
      <c r="Z928" s="5">
        <f>YEAR(Table1[[#This Row],[OrderDate]])</f>
        <v>2024</v>
      </c>
    </row>
    <row r="929" spans="1:26" x14ac:dyDescent="0.3">
      <c r="A929" s="1" t="s">
        <v>2829</v>
      </c>
      <c r="B929" t="s">
        <v>105</v>
      </c>
      <c r="C929" s="3">
        <v>46</v>
      </c>
      <c r="D929" s="1" t="s">
        <v>51</v>
      </c>
      <c r="E929" s="1" t="s">
        <v>40</v>
      </c>
      <c r="F929" s="1" t="s">
        <v>65</v>
      </c>
      <c r="G929" s="4">
        <v>45361</v>
      </c>
      <c r="H929" s="4">
        <v>45362</v>
      </c>
      <c r="I929" s="1" t="s">
        <v>108</v>
      </c>
      <c r="J929" s="1" t="s">
        <v>44</v>
      </c>
      <c r="K929" s="3">
        <v>5</v>
      </c>
      <c r="L929" s="2">
        <v>74461</v>
      </c>
      <c r="M929" s="3">
        <v>0</v>
      </c>
      <c r="N929" s="1" t="s">
        <v>31</v>
      </c>
      <c r="O929" s="1" t="s">
        <v>86</v>
      </c>
      <c r="P929" s="1" t="s">
        <v>33</v>
      </c>
      <c r="Q929" s="1" t="s">
        <v>110</v>
      </c>
      <c r="R929" s="1" t="s">
        <v>2830</v>
      </c>
      <c r="S929" s="3">
        <v>1</v>
      </c>
      <c r="T929" s="1" t="s">
        <v>36</v>
      </c>
      <c r="U929" s="3">
        <v>449</v>
      </c>
      <c r="V929" s="1" t="s">
        <v>62</v>
      </c>
      <c r="W929" s="5">
        <f>Table1[[#This Row],[Quantity]]*Table1[[#This Row],[Price]]*(1-Table1[[#This Row],[Discount %]]/100)</f>
        <v>372305</v>
      </c>
      <c r="X929">
        <f>Table1[[#This Row],[DeliveryDate]]-Table1[[#This Row],[OrderDate]]</f>
        <v>1</v>
      </c>
      <c r="Y929" t="str">
        <f>TEXT(Table1[[#This Row],[OrderDate]],"MMMM")</f>
        <v>March</v>
      </c>
      <c r="Z929" s="5">
        <f>YEAR(Table1[[#This Row],[OrderDate]])</f>
        <v>2024</v>
      </c>
    </row>
    <row r="930" spans="1:26" x14ac:dyDescent="0.3">
      <c r="A930" s="1" t="s">
        <v>2831</v>
      </c>
      <c r="B930" t="s">
        <v>527</v>
      </c>
      <c r="C930" s="3">
        <v>49</v>
      </c>
      <c r="D930" s="1" t="s">
        <v>51</v>
      </c>
      <c r="E930" s="1" t="s">
        <v>131</v>
      </c>
      <c r="F930" s="1" t="s">
        <v>26</v>
      </c>
      <c r="G930" s="4">
        <v>45501</v>
      </c>
      <c r="H930" s="4">
        <v>45502</v>
      </c>
      <c r="I930" s="1" t="s">
        <v>43</v>
      </c>
      <c r="J930" s="1" t="s">
        <v>30</v>
      </c>
      <c r="K930" s="3">
        <v>3</v>
      </c>
      <c r="L930" s="2">
        <v>77472</v>
      </c>
      <c r="M930" s="3">
        <v>0</v>
      </c>
      <c r="N930" s="1" t="s">
        <v>31</v>
      </c>
      <c r="O930" s="1" t="s">
        <v>57</v>
      </c>
      <c r="P930" s="1" t="s">
        <v>174</v>
      </c>
      <c r="Q930" s="1" t="s">
        <v>530</v>
      </c>
      <c r="R930" s="1" t="s">
        <v>3415</v>
      </c>
      <c r="S930" s="3">
        <v>5</v>
      </c>
      <c r="T930" s="1" t="s">
        <v>36</v>
      </c>
      <c r="U930" s="3">
        <v>167</v>
      </c>
      <c r="V930" s="1" t="s">
        <v>79</v>
      </c>
      <c r="W930" s="5">
        <f>Table1[[#This Row],[Quantity]]*Table1[[#This Row],[Price]]*(1-Table1[[#This Row],[Discount %]]/100)</f>
        <v>232416</v>
      </c>
      <c r="X930">
        <f>Table1[[#This Row],[DeliveryDate]]-Table1[[#This Row],[OrderDate]]</f>
        <v>1</v>
      </c>
      <c r="Y930" t="str">
        <f>TEXT(Table1[[#This Row],[OrderDate]],"MMMM")</f>
        <v>July</v>
      </c>
      <c r="Z930" s="5">
        <f>YEAR(Table1[[#This Row],[OrderDate]])</f>
        <v>2024</v>
      </c>
    </row>
    <row r="931" spans="1:26" x14ac:dyDescent="0.3">
      <c r="A931" s="1" t="s">
        <v>2832</v>
      </c>
      <c r="B931" t="s">
        <v>555</v>
      </c>
      <c r="C931" s="3">
        <v>18</v>
      </c>
      <c r="D931" s="1" t="s">
        <v>51</v>
      </c>
      <c r="E931" s="1" t="s">
        <v>131</v>
      </c>
      <c r="F931" s="1" t="s">
        <v>53</v>
      </c>
      <c r="G931" s="4">
        <v>45351</v>
      </c>
      <c r="H931" s="4">
        <v>45355</v>
      </c>
      <c r="I931" s="1" t="s">
        <v>43</v>
      </c>
      <c r="J931" s="1" t="s">
        <v>44</v>
      </c>
      <c r="K931" s="3">
        <v>2</v>
      </c>
      <c r="L931" s="2">
        <v>44384</v>
      </c>
      <c r="M931" s="3">
        <v>10</v>
      </c>
      <c r="N931" s="1" t="s">
        <v>56</v>
      </c>
      <c r="O931" s="1" t="s">
        <v>68</v>
      </c>
      <c r="P931" s="1" t="s">
        <v>33</v>
      </c>
      <c r="Q931" s="1" t="s">
        <v>558</v>
      </c>
      <c r="R931" s="1" t="s">
        <v>2833</v>
      </c>
      <c r="S931" s="3">
        <v>4</v>
      </c>
      <c r="T931" s="1" t="s">
        <v>61</v>
      </c>
      <c r="U931" s="3">
        <v>173</v>
      </c>
      <c r="V931" s="1" t="s">
        <v>37</v>
      </c>
      <c r="W931" s="5">
        <f>Table1[[#This Row],[Quantity]]*Table1[[#This Row],[Price]]*(1-Table1[[#This Row],[Discount %]]/100)</f>
        <v>79891.199999999997</v>
      </c>
      <c r="X931">
        <f>Table1[[#This Row],[DeliveryDate]]-Table1[[#This Row],[OrderDate]]</f>
        <v>4</v>
      </c>
      <c r="Y931" t="str">
        <f>TEXT(Table1[[#This Row],[OrderDate]],"MMMM")</f>
        <v>February</v>
      </c>
      <c r="Z931" s="5">
        <f>YEAR(Table1[[#This Row],[OrderDate]])</f>
        <v>2024</v>
      </c>
    </row>
    <row r="932" spans="1:26" x14ac:dyDescent="0.3">
      <c r="A932" s="1" t="s">
        <v>2834</v>
      </c>
      <c r="B932" t="s">
        <v>235</v>
      </c>
      <c r="C932" s="3">
        <v>32</v>
      </c>
      <c r="D932" s="1" t="s">
        <v>24</v>
      </c>
      <c r="E932" s="1" t="s">
        <v>229</v>
      </c>
      <c r="F932" s="1" t="s">
        <v>53</v>
      </c>
      <c r="G932" s="4">
        <v>45366</v>
      </c>
      <c r="H932" s="4">
        <v>45374</v>
      </c>
      <c r="I932" s="1" t="s">
        <v>85</v>
      </c>
      <c r="J932" s="1" t="s">
        <v>44</v>
      </c>
      <c r="K932" s="3">
        <v>3</v>
      </c>
      <c r="L932" s="2">
        <v>35262</v>
      </c>
      <c r="M932" s="3">
        <v>10</v>
      </c>
      <c r="N932" s="1" t="s">
        <v>45</v>
      </c>
      <c r="O932" s="1" t="s">
        <v>46</v>
      </c>
      <c r="P932" s="1" t="s">
        <v>69</v>
      </c>
      <c r="Q932" s="1" t="s">
        <v>871</v>
      </c>
      <c r="R932" s="1" t="s">
        <v>2835</v>
      </c>
      <c r="S932" s="3">
        <v>1</v>
      </c>
      <c r="T932" s="1" t="s">
        <v>96</v>
      </c>
      <c r="U932" s="3">
        <v>159</v>
      </c>
      <c r="V932" s="1" t="s">
        <v>79</v>
      </c>
      <c r="W932" s="5">
        <f>Table1[[#This Row],[Quantity]]*Table1[[#This Row],[Price]]*(1-Table1[[#This Row],[Discount %]]/100)</f>
        <v>95207.400000000009</v>
      </c>
      <c r="X932">
        <f>Table1[[#This Row],[DeliveryDate]]-Table1[[#This Row],[OrderDate]]</f>
        <v>8</v>
      </c>
      <c r="Y932" t="str">
        <f>TEXT(Table1[[#This Row],[OrderDate]],"MMMM")</f>
        <v>March</v>
      </c>
      <c r="Z932" s="5">
        <f>YEAR(Table1[[#This Row],[OrderDate]])</f>
        <v>2024</v>
      </c>
    </row>
    <row r="933" spans="1:26" x14ac:dyDescent="0.3">
      <c r="A933" s="1" t="s">
        <v>2836</v>
      </c>
      <c r="B933" t="s">
        <v>113</v>
      </c>
      <c r="C933" s="3">
        <v>45</v>
      </c>
      <c r="D933" s="1" t="s">
        <v>24</v>
      </c>
      <c r="E933" s="1" t="s">
        <v>131</v>
      </c>
      <c r="F933" s="1" t="s">
        <v>65</v>
      </c>
      <c r="G933" s="4">
        <v>45529</v>
      </c>
      <c r="H933" s="4">
        <v>45538</v>
      </c>
      <c r="I933" s="1" t="s">
        <v>108</v>
      </c>
      <c r="J933" s="1" t="s">
        <v>44</v>
      </c>
      <c r="K933" s="3">
        <v>3</v>
      </c>
      <c r="L933" s="2">
        <v>42109.716287215415</v>
      </c>
      <c r="M933" s="3">
        <v>5</v>
      </c>
      <c r="N933" s="1" t="s">
        <v>56</v>
      </c>
      <c r="O933" s="1" t="s">
        <v>102</v>
      </c>
      <c r="P933" s="1" t="s">
        <v>69</v>
      </c>
      <c r="Q933" s="1" t="s">
        <v>116</v>
      </c>
      <c r="R933" s="1" t="s">
        <v>2837</v>
      </c>
      <c r="S933" s="3">
        <v>4</v>
      </c>
      <c r="T933" s="1" t="s">
        <v>96</v>
      </c>
      <c r="U933" s="3">
        <v>344</v>
      </c>
      <c r="V933" s="1" t="s">
        <v>37</v>
      </c>
      <c r="W933" s="5">
        <f>Table1[[#This Row],[Quantity]]*Table1[[#This Row],[Price]]*(1-Table1[[#This Row],[Discount %]]/100)</f>
        <v>120012.69141856393</v>
      </c>
      <c r="X933">
        <f>Table1[[#This Row],[DeliveryDate]]-Table1[[#This Row],[OrderDate]]</f>
        <v>9</v>
      </c>
      <c r="Y933" t="str">
        <f>TEXT(Table1[[#This Row],[OrderDate]],"MMMM")</f>
        <v>August</v>
      </c>
      <c r="Z933" s="5">
        <f>YEAR(Table1[[#This Row],[OrderDate]])</f>
        <v>2024</v>
      </c>
    </row>
    <row r="934" spans="1:26" x14ac:dyDescent="0.3">
      <c r="A934" s="1" t="s">
        <v>2838</v>
      </c>
      <c r="B934" t="s">
        <v>321</v>
      </c>
      <c r="C934" s="3">
        <v>59</v>
      </c>
      <c r="D934" s="1" t="s">
        <v>51</v>
      </c>
      <c r="E934" s="1" t="s">
        <v>52</v>
      </c>
      <c r="F934" s="1" t="s">
        <v>82</v>
      </c>
      <c r="G934" s="4">
        <v>45219</v>
      </c>
      <c r="H934" s="4">
        <v>45223</v>
      </c>
      <c r="I934" s="1" t="s">
        <v>77</v>
      </c>
      <c r="J934" s="1" t="s">
        <v>44</v>
      </c>
      <c r="K934" s="3">
        <v>5</v>
      </c>
      <c r="L934" s="2">
        <v>24368</v>
      </c>
      <c r="M934" s="3">
        <v>10</v>
      </c>
      <c r="N934" s="1" t="s">
        <v>56</v>
      </c>
      <c r="O934" s="1" t="s">
        <v>46</v>
      </c>
      <c r="P934" s="1" t="s">
        <v>174</v>
      </c>
      <c r="Q934" s="1" t="s">
        <v>3415</v>
      </c>
      <c r="R934" s="1" t="s">
        <v>2840</v>
      </c>
      <c r="S934" s="3">
        <v>2</v>
      </c>
      <c r="T934" s="1" t="s">
        <v>61</v>
      </c>
      <c r="U934" s="3">
        <v>158</v>
      </c>
      <c r="V934" s="1" t="s">
        <v>37</v>
      </c>
      <c r="W934" s="5">
        <f>Table1[[#This Row],[Quantity]]*Table1[[#This Row],[Price]]*(1-Table1[[#This Row],[Discount %]]/100)</f>
        <v>109656</v>
      </c>
      <c r="X934">
        <f>Table1[[#This Row],[DeliveryDate]]-Table1[[#This Row],[OrderDate]]</f>
        <v>4</v>
      </c>
      <c r="Y934" t="str">
        <f>TEXT(Table1[[#This Row],[OrderDate]],"MMMM")</f>
        <v>October</v>
      </c>
      <c r="Z934" s="5">
        <f>YEAR(Table1[[#This Row],[OrderDate]])</f>
        <v>2023</v>
      </c>
    </row>
    <row r="935" spans="1:26" x14ac:dyDescent="0.3">
      <c r="A935" s="1" t="s">
        <v>2841</v>
      </c>
      <c r="B935" t="s">
        <v>803</v>
      </c>
      <c r="C935" s="3">
        <v>45</v>
      </c>
      <c r="D935" s="1" t="s">
        <v>24</v>
      </c>
      <c r="E935" s="1" t="s">
        <v>40</v>
      </c>
      <c r="F935" s="1" t="s">
        <v>26</v>
      </c>
      <c r="G935" s="4">
        <v>45096</v>
      </c>
      <c r="H935" s="4">
        <v>45100</v>
      </c>
      <c r="I935" s="1" t="s">
        <v>29</v>
      </c>
      <c r="J935" s="1" t="s">
        <v>30</v>
      </c>
      <c r="K935" s="3">
        <v>3</v>
      </c>
      <c r="L935" s="2">
        <v>28938</v>
      </c>
      <c r="M935" s="3">
        <v>15</v>
      </c>
      <c r="N935" s="1" t="s">
        <v>45</v>
      </c>
      <c r="O935" s="1" t="s">
        <v>102</v>
      </c>
      <c r="P935" s="1" t="s">
        <v>174</v>
      </c>
      <c r="Q935" s="1" t="s">
        <v>805</v>
      </c>
      <c r="R935" s="1" t="s">
        <v>2843</v>
      </c>
      <c r="S935" s="3">
        <v>1</v>
      </c>
      <c r="T935" s="1" t="s">
        <v>72</v>
      </c>
      <c r="U935" s="3">
        <v>125</v>
      </c>
      <c r="V935" s="1" t="s">
        <v>79</v>
      </c>
      <c r="W935" s="5">
        <f>Table1[[#This Row],[Quantity]]*Table1[[#This Row],[Price]]*(1-Table1[[#This Row],[Discount %]]/100)</f>
        <v>73791.899999999994</v>
      </c>
      <c r="X935">
        <f>Table1[[#This Row],[DeliveryDate]]-Table1[[#This Row],[OrderDate]]</f>
        <v>4</v>
      </c>
      <c r="Y935" t="str">
        <f>TEXT(Table1[[#This Row],[OrderDate]],"MMMM")</f>
        <v>June</v>
      </c>
      <c r="Z935" s="5">
        <f>YEAR(Table1[[#This Row],[OrderDate]])</f>
        <v>2023</v>
      </c>
    </row>
    <row r="936" spans="1:26" x14ac:dyDescent="0.3">
      <c r="A936" s="1" t="s">
        <v>2844</v>
      </c>
      <c r="B936" t="s">
        <v>547</v>
      </c>
      <c r="C936" s="3">
        <v>21</v>
      </c>
      <c r="D936" s="1" t="s">
        <v>24</v>
      </c>
      <c r="E936" s="1" t="s">
        <v>131</v>
      </c>
      <c r="F936" s="1" t="s">
        <v>53</v>
      </c>
      <c r="G936" s="4">
        <v>45475</v>
      </c>
      <c r="H936" s="4">
        <v>45482</v>
      </c>
      <c r="I936" s="1" t="s">
        <v>43</v>
      </c>
      <c r="J936" s="1" t="s">
        <v>44</v>
      </c>
      <c r="K936" s="3">
        <v>3</v>
      </c>
      <c r="L936" s="2">
        <v>52811</v>
      </c>
      <c r="M936" s="3">
        <v>0</v>
      </c>
      <c r="N936" s="1" t="s">
        <v>45</v>
      </c>
      <c r="O936" s="1" t="s">
        <v>102</v>
      </c>
      <c r="P936" s="1" t="s">
        <v>69</v>
      </c>
      <c r="Q936" s="1" t="s">
        <v>3415</v>
      </c>
      <c r="R936" s="1" t="s">
        <v>2846</v>
      </c>
      <c r="S936" s="3">
        <v>3</v>
      </c>
      <c r="T936" s="1" t="s">
        <v>61</v>
      </c>
      <c r="U936" s="3">
        <v>261</v>
      </c>
      <c r="V936" s="1" t="s">
        <v>37</v>
      </c>
      <c r="W936" s="5">
        <f>Table1[[#This Row],[Quantity]]*Table1[[#This Row],[Price]]*(1-Table1[[#This Row],[Discount %]]/100)</f>
        <v>158433</v>
      </c>
      <c r="X936">
        <f>Table1[[#This Row],[DeliveryDate]]-Table1[[#This Row],[OrderDate]]</f>
        <v>7</v>
      </c>
      <c r="Y936" t="str">
        <f>TEXT(Table1[[#This Row],[OrderDate]],"MMMM")</f>
        <v>July</v>
      </c>
      <c r="Z936" s="5">
        <f>YEAR(Table1[[#This Row],[OrderDate]])</f>
        <v>2024</v>
      </c>
    </row>
    <row r="937" spans="1:26" x14ac:dyDescent="0.3">
      <c r="A937" s="1" t="s">
        <v>2847</v>
      </c>
      <c r="B937" t="s">
        <v>119</v>
      </c>
      <c r="C937" s="3">
        <v>52</v>
      </c>
      <c r="D937" s="1" t="s">
        <v>51</v>
      </c>
      <c r="E937" s="1" t="s">
        <v>26</v>
      </c>
      <c r="F937" s="1" t="s">
        <v>91</v>
      </c>
      <c r="G937" s="4">
        <v>45320</v>
      </c>
      <c r="H937" s="4">
        <v>45324</v>
      </c>
      <c r="I937" s="1" t="s">
        <v>85</v>
      </c>
      <c r="J937" s="1" t="s">
        <v>30</v>
      </c>
      <c r="K937" s="3">
        <v>1</v>
      </c>
      <c r="L937" s="2">
        <v>78656</v>
      </c>
      <c r="M937" s="3">
        <v>0</v>
      </c>
      <c r="N937" s="1" t="s">
        <v>45</v>
      </c>
      <c r="O937" s="1" t="s">
        <v>68</v>
      </c>
      <c r="P937" s="1" t="s">
        <v>174</v>
      </c>
      <c r="Q937" s="1" t="s">
        <v>122</v>
      </c>
      <c r="R937" s="1" t="s">
        <v>2848</v>
      </c>
      <c r="S937" s="3">
        <v>4</v>
      </c>
      <c r="T937" s="1" t="s">
        <v>96</v>
      </c>
      <c r="U937" s="3">
        <v>476</v>
      </c>
      <c r="V937" s="1" t="s">
        <v>37</v>
      </c>
      <c r="W937" s="5">
        <f>Table1[[#This Row],[Quantity]]*Table1[[#This Row],[Price]]*(1-Table1[[#This Row],[Discount %]]/100)</f>
        <v>78656</v>
      </c>
      <c r="X937">
        <f>Table1[[#This Row],[DeliveryDate]]-Table1[[#This Row],[OrderDate]]</f>
        <v>4</v>
      </c>
      <c r="Y937" t="str">
        <f>TEXT(Table1[[#This Row],[OrderDate]],"MMMM")</f>
        <v>January</v>
      </c>
      <c r="Z937" s="5">
        <f>YEAR(Table1[[#This Row],[OrderDate]])</f>
        <v>2024</v>
      </c>
    </row>
    <row r="938" spans="1:26" x14ac:dyDescent="0.3">
      <c r="A938" s="1" t="s">
        <v>2849</v>
      </c>
      <c r="B938" t="s">
        <v>808</v>
      </c>
      <c r="C938" s="3">
        <v>41</v>
      </c>
      <c r="D938" s="1" t="s">
        <v>24</v>
      </c>
      <c r="E938" s="1" t="s">
        <v>142</v>
      </c>
      <c r="F938" s="1" t="s">
        <v>53</v>
      </c>
      <c r="G938" s="4">
        <v>45277</v>
      </c>
      <c r="H938" s="4">
        <v>45282</v>
      </c>
      <c r="I938" s="1" t="s">
        <v>93</v>
      </c>
      <c r="J938" s="1" t="s">
        <v>44</v>
      </c>
      <c r="K938" s="3">
        <v>3</v>
      </c>
      <c r="L938" s="2">
        <v>72352</v>
      </c>
      <c r="M938" s="3">
        <v>5</v>
      </c>
      <c r="N938" s="1" t="s">
        <v>31</v>
      </c>
      <c r="O938" s="1" t="s">
        <v>133</v>
      </c>
      <c r="P938" s="1" t="s">
        <v>174</v>
      </c>
      <c r="Q938" s="1" t="s">
        <v>3415</v>
      </c>
      <c r="R938" s="1" t="s">
        <v>2850</v>
      </c>
      <c r="S938" s="3">
        <v>1</v>
      </c>
      <c r="T938" s="1" t="s">
        <v>36</v>
      </c>
      <c r="U938" s="3">
        <v>477</v>
      </c>
      <c r="V938" s="1" t="s">
        <v>37</v>
      </c>
      <c r="W938" s="5">
        <f>Table1[[#This Row],[Quantity]]*Table1[[#This Row],[Price]]*(1-Table1[[#This Row],[Discount %]]/100)</f>
        <v>206203.19999999998</v>
      </c>
      <c r="X938">
        <f>Table1[[#This Row],[DeliveryDate]]-Table1[[#This Row],[OrderDate]]</f>
        <v>5</v>
      </c>
      <c r="Y938" t="str">
        <f>TEXT(Table1[[#This Row],[OrderDate]],"MMMM")</f>
        <v>December</v>
      </c>
      <c r="Z938" s="5">
        <f>YEAR(Table1[[#This Row],[OrderDate]])</f>
        <v>2023</v>
      </c>
    </row>
    <row r="939" spans="1:26" x14ac:dyDescent="0.3">
      <c r="A939" s="1" t="s">
        <v>2851</v>
      </c>
      <c r="B939" t="s">
        <v>39</v>
      </c>
      <c r="C939" s="3">
        <v>54</v>
      </c>
      <c r="D939" s="1" t="s">
        <v>51</v>
      </c>
      <c r="E939" s="1" t="s">
        <v>26</v>
      </c>
      <c r="F939" s="1" t="s">
        <v>53</v>
      </c>
      <c r="G939" s="4">
        <v>45143</v>
      </c>
      <c r="H939" s="4">
        <v>45145</v>
      </c>
      <c r="I939" s="1" t="s">
        <v>93</v>
      </c>
      <c r="J939" s="1" t="s">
        <v>44</v>
      </c>
      <c r="K939" s="3">
        <v>4</v>
      </c>
      <c r="L939" s="2">
        <v>48220</v>
      </c>
      <c r="M939" s="3">
        <v>15</v>
      </c>
      <c r="N939" s="1" t="s">
        <v>56</v>
      </c>
      <c r="O939" s="1" t="s">
        <v>68</v>
      </c>
      <c r="P939" s="1" t="s">
        <v>58</v>
      </c>
      <c r="Q939" s="1" t="s">
        <v>3415</v>
      </c>
      <c r="R939" s="1" t="s">
        <v>2852</v>
      </c>
      <c r="S939" s="3">
        <v>4</v>
      </c>
      <c r="T939" s="1" t="s">
        <v>72</v>
      </c>
      <c r="U939" s="3">
        <v>59</v>
      </c>
      <c r="V939" s="1" t="s">
        <v>62</v>
      </c>
      <c r="W939" s="5">
        <f>Table1[[#This Row],[Quantity]]*Table1[[#This Row],[Price]]*(1-Table1[[#This Row],[Discount %]]/100)</f>
        <v>163948</v>
      </c>
      <c r="X939">
        <f>Table1[[#This Row],[DeliveryDate]]-Table1[[#This Row],[OrderDate]]</f>
        <v>2</v>
      </c>
      <c r="Y939" t="str">
        <f>TEXT(Table1[[#This Row],[OrderDate]],"MMMM")</f>
        <v>August</v>
      </c>
      <c r="Z939" s="5">
        <f>YEAR(Table1[[#This Row],[OrderDate]])</f>
        <v>2023</v>
      </c>
    </row>
    <row r="940" spans="1:26" x14ac:dyDescent="0.3">
      <c r="A940" s="1" t="s">
        <v>2853</v>
      </c>
      <c r="B940" t="s">
        <v>547</v>
      </c>
      <c r="C940" s="3">
        <v>29</v>
      </c>
      <c r="D940" s="1" t="s">
        <v>51</v>
      </c>
      <c r="E940" s="1" t="s">
        <v>52</v>
      </c>
      <c r="F940" s="1" t="s">
        <v>53</v>
      </c>
      <c r="G940" s="4">
        <v>45259</v>
      </c>
      <c r="H940" s="4">
        <v>45264</v>
      </c>
      <c r="I940" s="1" t="s">
        <v>85</v>
      </c>
      <c r="J940" s="1" t="s">
        <v>30</v>
      </c>
      <c r="K940" s="3">
        <v>3</v>
      </c>
      <c r="L940" s="2">
        <v>74785</v>
      </c>
      <c r="M940" s="3">
        <v>10</v>
      </c>
      <c r="N940" s="1" t="s">
        <v>56</v>
      </c>
      <c r="O940" s="1" t="s">
        <v>68</v>
      </c>
      <c r="P940" s="1" t="s">
        <v>58</v>
      </c>
      <c r="Q940" s="1" t="s">
        <v>549</v>
      </c>
      <c r="R940" s="1" t="s">
        <v>2854</v>
      </c>
      <c r="S940" s="3">
        <v>3</v>
      </c>
      <c r="T940" s="1" t="s">
        <v>36</v>
      </c>
      <c r="U940" s="3">
        <v>456</v>
      </c>
      <c r="V940" s="1" t="s">
        <v>79</v>
      </c>
      <c r="W940" s="5">
        <f>Table1[[#This Row],[Quantity]]*Table1[[#This Row],[Price]]*(1-Table1[[#This Row],[Discount %]]/100)</f>
        <v>201919.5</v>
      </c>
      <c r="X940">
        <f>Table1[[#This Row],[DeliveryDate]]-Table1[[#This Row],[OrderDate]]</f>
        <v>5</v>
      </c>
      <c r="Y940" t="str">
        <f>TEXT(Table1[[#This Row],[OrderDate]],"MMMM")</f>
        <v>November</v>
      </c>
      <c r="Z940" s="5">
        <f>YEAR(Table1[[#This Row],[OrderDate]])</f>
        <v>2023</v>
      </c>
    </row>
    <row r="941" spans="1:26" x14ac:dyDescent="0.3">
      <c r="A941" s="1" t="s">
        <v>2855</v>
      </c>
      <c r="B941" t="s">
        <v>98</v>
      </c>
      <c r="C941" s="3">
        <v>28</v>
      </c>
      <c r="D941" s="1" t="s">
        <v>51</v>
      </c>
      <c r="E941" s="1" t="s">
        <v>131</v>
      </c>
      <c r="F941" s="1" t="s">
        <v>26</v>
      </c>
      <c r="G941" s="4">
        <v>45425</v>
      </c>
      <c r="H941" s="4">
        <v>45434</v>
      </c>
      <c r="I941" s="1" t="s">
        <v>93</v>
      </c>
      <c r="J941" s="1" t="s">
        <v>44</v>
      </c>
      <c r="K941" s="3">
        <v>5</v>
      </c>
      <c r="L941" s="2">
        <v>49356</v>
      </c>
      <c r="M941" s="3">
        <v>10</v>
      </c>
      <c r="N941" s="1" t="s">
        <v>31</v>
      </c>
      <c r="O941" s="1" t="s">
        <v>86</v>
      </c>
      <c r="P941" s="1" t="s">
        <v>33</v>
      </c>
      <c r="Q941" s="1" t="s">
        <v>3415</v>
      </c>
      <c r="R941" s="1" t="s">
        <v>2857</v>
      </c>
      <c r="S941" s="3">
        <v>1</v>
      </c>
      <c r="T941" s="1" t="s">
        <v>61</v>
      </c>
      <c r="U941" s="3">
        <v>357</v>
      </c>
      <c r="V941" s="1" t="s">
        <v>62</v>
      </c>
      <c r="W941" s="5">
        <f>Table1[[#This Row],[Quantity]]*Table1[[#This Row],[Price]]*(1-Table1[[#This Row],[Discount %]]/100)</f>
        <v>222102</v>
      </c>
      <c r="X941">
        <f>Table1[[#This Row],[DeliveryDate]]-Table1[[#This Row],[OrderDate]]</f>
        <v>9</v>
      </c>
      <c r="Y941" t="str">
        <f>TEXT(Table1[[#This Row],[OrderDate]],"MMMM")</f>
        <v>May</v>
      </c>
      <c r="Z941" s="5">
        <f>YEAR(Table1[[#This Row],[OrderDate]])</f>
        <v>2024</v>
      </c>
    </row>
    <row r="942" spans="1:26" x14ac:dyDescent="0.3">
      <c r="A942" s="1" t="s">
        <v>2858</v>
      </c>
      <c r="B942" t="s">
        <v>285</v>
      </c>
      <c r="C942" s="3">
        <v>37</v>
      </c>
      <c r="D942" s="1" t="s">
        <v>51</v>
      </c>
      <c r="E942" s="1" t="s">
        <v>25</v>
      </c>
      <c r="F942" s="1" t="s">
        <v>65</v>
      </c>
      <c r="G942" s="4">
        <v>44947</v>
      </c>
      <c r="H942" s="4">
        <v>44955</v>
      </c>
      <c r="I942" s="1" t="s">
        <v>108</v>
      </c>
      <c r="J942" s="1" t="s">
        <v>44</v>
      </c>
      <c r="K942" s="3">
        <v>4</v>
      </c>
      <c r="L942" s="2">
        <v>15997</v>
      </c>
      <c r="M942" s="3">
        <v>15</v>
      </c>
      <c r="N942" s="1" t="s">
        <v>166</v>
      </c>
      <c r="O942" s="1" t="s">
        <v>32</v>
      </c>
      <c r="P942" s="1" t="s">
        <v>33</v>
      </c>
      <c r="Q942" s="1" t="s">
        <v>300</v>
      </c>
      <c r="R942" s="1" t="s">
        <v>2859</v>
      </c>
      <c r="S942" s="3">
        <v>5</v>
      </c>
      <c r="T942" s="1" t="s">
        <v>72</v>
      </c>
      <c r="U942" s="3">
        <v>416</v>
      </c>
      <c r="V942" s="1" t="s">
        <v>79</v>
      </c>
      <c r="W942" s="5">
        <f>Table1[[#This Row],[Quantity]]*Table1[[#This Row],[Price]]*(1-Table1[[#This Row],[Discount %]]/100)</f>
        <v>54389.799999999996</v>
      </c>
      <c r="X942">
        <f>Table1[[#This Row],[DeliveryDate]]-Table1[[#This Row],[OrderDate]]</f>
        <v>8</v>
      </c>
      <c r="Y942" t="str">
        <f>TEXT(Table1[[#This Row],[OrderDate]],"MMMM")</f>
        <v>January</v>
      </c>
      <c r="Z942" s="5">
        <f>YEAR(Table1[[#This Row],[OrderDate]])</f>
        <v>2023</v>
      </c>
    </row>
    <row r="943" spans="1:26" x14ac:dyDescent="0.3">
      <c r="A943" s="1" t="s">
        <v>2860</v>
      </c>
      <c r="B943" t="s">
        <v>222</v>
      </c>
      <c r="C943" s="3">
        <v>32</v>
      </c>
      <c r="D943" s="1" t="s">
        <v>51</v>
      </c>
      <c r="E943" s="1" t="s">
        <v>229</v>
      </c>
      <c r="F943" s="1" t="s">
        <v>82</v>
      </c>
      <c r="G943" s="4">
        <v>45008</v>
      </c>
      <c r="H943" s="4">
        <v>45017</v>
      </c>
      <c r="I943" s="1" t="s">
        <v>85</v>
      </c>
      <c r="J943" s="1" t="s">
        <v>44</v>
      </c>
      <c r="K943" s="3">
        <v>1</v>
      </c>
      <c r="L943" s="2">
        <v>35760</v>
      </c>
      <c r="M943" s="3">
        <v>5</v>
      </c>
      <c r="N943" s="1" t="s">
        <v>45</v>
      </c>
      <c r="O943" s="1" t="s">
        <v>281</v>
      </c>
      <c r="P943" s="1" t="s">
        <v>174</v>
      </c>
      <c r="Q943" s="1" t="s">
        <v>225</v>
      </c>
      <c r="R943" s="1" t="s">
        <v>2861</v>
      </c>
      <c r="S943" s="3">
        <v>2</v>
      </c>
      <c r="T943" s="1" t="s">
        <v>61</v>
      </c>
      <c r="U943" s="3">
        <v>277</v>
      </c>
      <c r="V943" s="1" t="s">
        <v>79</v>
      </c>
      <c r="W943" s="5">
        <f>Table1[[#This Row],[Quantity]]*Table1[[#This Row],[Price]]*(1-Table1[[#This Row],[Discount %]]/100)</f>
        <v>33972</v>
      </c>
      <c r="X943">
        <f>Table1[[#This Row],[DeliveryDate]]-Table1[[#This Row],[OrderDate]]</f>
        <v>9</v>
      </c>
      <c r="Y943" t="str">
        <f>TEXT(Table1[[#This Row],[OrderDate]],"MMMM")</f>
        <v>March</v>
      </c>
      <c r="Z943" s="5">
        <f>YEAR(Table1[[#This Row],[OrderDate]])</f>
        <v>2023</v>
      </c>
    </row>
    <row r="944" spans="1:26" x14ac:dyDescent="0.3">
      <c r="A944" s="1" t="s">
        <v>2862</v>
      </c>
      <c r="B944" t="s">
        <v>674</v>
      </c>
      <c r="C944" s="3">
        <v>45</v>
      </c>
      <c r="D944" s="1" t="s">
        <v>51</v>
      </c>
      <c r="E944" s="1" t="s">
        <v>229</v>
      </c>
      <c r="F944" s="1" t="s">
        <v>82</v>
      </c>
      <c r="G944" s="4">
        <v>45427</v>
      </c>
      <c r="H944" s="4">
        <v>45435</v>
      </c>
      <c r="I944" s="1" t="s">
        <v>29</v>
      </c>
      <c r="J944" s="1" t="s">
        <v>44</v>
      </c>
      <c r="K944" s="3">
        <v>1</v>
      </c>
      <c r="L944" s="2">
        <v>42109.716287215415</v>
      </c>
      <c r="M944" s="3">
        <v>15</v>
      </c>
      <c r="N944" s="1" t="s">
        <v>166</v>
      </c>
      <c r="O944" s="1" t="s">
        <v>68</v>
      </c>
      <c r="P944" s="1" t="s">
        <v>174</v>
      </c>
      <c r="Q944" s="1" t="s">
        <v>677</v>
      </c>
      <c r="R944" s="1" t="s">
        <v>2863</v>
      </c>
      <c r="S944" s="3">
        <v>2</v>
      </c>
      <c r="T944" s="1" t="s">
        <v>96</v>
      </c>
      <c r="U944" s="3">
        <v>67</v>
      </c>
      <c r="V944" s="1" t="s">
        <v>62</v>
      </c>
      <c r="W944" s="5">
        <f>Table1[[#This Row],[Quantity]]*Table1[[#This Row],[Price]]*(1-Table1[[#This Row],[Discount %]]/100)</f>
        <v>35793.258844133103</v>
      </c>
      <c r="X944">
        <f>Table1[[#This Row],[DeliveryDate]]-Table1[[#This Row],[OrderDate]]</f>
        <v>8</v>
      </c>
      <c r="Y944" t="str">
        <f>TEXT(Table1[[#This Row],[OrderDate]],"MMMM")</f>
        <v>May</v>
      </c>
      <c r="Z944" s="5">
        <f>YEAR(Table1[[#This Row],[OrderDate]])</f>
        <v>2024</v>
      </c>
    </row>
    <row r="945" spans="1:26" x14ac:dyDescent="0.3">
      <c r="A945" s="1" t="s">
        <v>2864</v>
      </c>
      <c r="B945" t="s">
        <v>933</v>
      </c>
      <c r="C945" s="3">
        <v>23</v>
      </c>
      <c r="D945" s="1" t="s">
        <v>51</v>
      </c>
      <c r="E945" s="1" t="s">
        <v>52</v>
      </c>
      <c r="F945" s="1" t="s">
        <v>53</v>
      </c>
      <c r="G945" s="4">
        <v>45549</v>
      </c>
      <c r="H945" s="4">
        <v>45557</v>
      </c>
      <c r="I945" s="1" t="s">
        <v>43</v>
      </c>
      <c r="J945" s="1" t="s">
        <v>30</v>
      </c>
      <c r="K945" s="3">
        <v>3</v>
      </c>
      <c r="L945" s="2">
        <v>42109.716287215415</v>
      </c>
      <c r="M945" s="3">
        <v>15</v>
      </c>
      <c r="N945" s="1" t="s">
        <v>31</v>
      </c>
      <c r="O945" s="1" t="s">
        <v>281</v>
      </c>
      <c r="P945" s="1" t="s">
        <v>33</v>
      </c>
      <c r="Q945" s="1" t="s">
        <v>935</v>
      </c>
      <c r="R945" s="1" t="s">
        <v>2865</v>
      </c>
      <c r="S945" s="3">
        <v>3</v>
      </c>
      <c r="T945" s="1" t="s">
        <v>72</v>
      </c>
      <c r="U945" s="3">
        <v>108</v>
      </c>
      <c r="V945" s="1" t="s">
        <v>79</v>
      </c>
      <c r="W945" s="5">
        <f>Table1[[#This Row],[Quantity]]*Table1[[#This Row],[Price]]*(1-Table1[[#This Row],[Discount %]]/100)</f>
        <v>107379.77653239931</v>
      </c>
      <c r="X945">
        <f>Table1[[#This Row],[DeliveryDate]]-Table1[[#This Row],[OrderDate]]</f>
        <v>8</v>
      </c>
      <c r="Y945" t="str">
        <f>TEXT(Table1[[#This Row],[OrderDate]],"MMMM")</f>
        <v>September</v>
      </c>
      <c r="Z945" s="5">
        <f>YEAR(Table1[[#This Row],[OrderDate]])</f>
        <v>2024</v>
      </c>
    </row>
    <row r="946" spans="1:26" x14ac:dyDescent="0.3">
      <c r="A946" s="1" t="s">
        <v>2866</v>
      </c>
      <c r="B946" t="s">
        <v>1008</v>
      </c>
      <c r="C946" s="3">
        <v>23</v>
      </c>
      <c r="D946" s="1" t="s">
        <v>51</v>
      </c>
      <c r="E946" s="1" t="s">
        <v>26</v>
      </c>
      <c r="F946" s="1" t="s">
        <v>26</v>
      </c>
      <c r="G946" s="4">
        <v>45574</v>
      </c>
      <c r="H946" s="4">
        <v>45581</v>
      </c>
      <c r="I946" s="1" t="s">
        <v>77</v>
      </c>
      <c r="J946" s="1" t="s">
        <v>30</v>
      </c>
      <c r="K946" s="3">
        <v>5</v>
      </c>
      <c r="L946" s="2">
        <v>50791</v>
      </c>
      <c r="M946" s="3">
        <v>10</v>
      </c>
      <c r="N946" s="1" t="s">
        <v>31</v>
      </c>
      <c r="O946" s="1" t="s">
        <v>281</v>
      </c>
      <c r="P946" s="1" t="s">
        <v>58</v>
      </c>
      <c r="Q946" s="1" t="s">
        <v>1011</v>
      </c>
      <c r="R946" s="1" t="s">
        <v>2868</v>
      </c>
      <c r="S946" s="3">
        <v>5</v>
      </c>
      <c r="T946" s="1" t="s">
        <v>61</v>
      </c>
      <c r="U946" s="3">
        <v>136</v>
      </c>
      <c r="V946" s="1" t="s">
        <v>37</v>
      </c>
      <c r="W946" s="5">
        <f>Table1[[#This Row],[Quantity]]*Table1[[#This Row],[Price]]*(1-Table1[[#This Row],[Discount %]]/100)</f>
        <v>228559.5</v>
      </c>
      <c r="X946">
        <f>Table1[[#This Row],[DeliveryDate]]-Table1[[#This Row],[OrderDate]]</f>
        <v>7</v>
      </c>
      <c r="Y946" t="str">
        <f>TEXT(Table1[[#This Row],[OrderDate]],"MMMM")</f>
        <v>October</v>
      </c>
      <c r="Z946" s="5">
        <f>YEAR(Table1[[#This Row],[OrderDate]])</f>
        <v>2024</v>
      </c>
    </row>
    <row r="947" spans="1:26" x14ac:dyDescent="0.3">
      <c r="A947" s="1" t="s">
        <v>2869</v>
      </c>
      <c r="B947" t="s">
        <v>1309</v>
      </c>
      <c r="C947" s="3">
        <v>28</v>
      </c>
      <c r="D947" s="1" t="s">
        <v>24</v>
      </c>
      <c r="E947" s="1" t="s">
        <v>40</v>
      </c>
      <c r="F947" s="1" t="s">
        <v>91</v>
      </c>
      <c r="G947" s="4">
        <v>44951</v>
      </c>
      <c r="H947" s="4">
        <v>44957</v>
      </c>
      <c r="I947" s="1" t="s">
        <v>93</v>
      </c>
      <c r="J947" s="1" t="s">
        <v>30</v>
      </c>
      <c r="K947" s="3">
        <v>3</v>
      </c>
      <c r="L947" s="2">
        <v>23179</v>
      </c>
      <c r="M947" s="3">
        <v>15</v>
      </c>
      <c r="N947" s="1" t="s">
        <v>45</v>
      </c>
      <c r="O947" s="1" t="s">
        <v>57</v>
      </c>
      <c r="P947" s="1" t="s">
        <v>58</v>
      </c>
      <c r="Q947" s="1" t="s">
        <v>1311</v>
      </c>
      <c r="R947" s="1" t="s">
        <v>2871</v>
      </c>
      <c r="S947" s="3">
        <v>5</v>
      </c>
      <c r="T947" s="1" t="s">
        <v>72</v>
      </c>
      <c r="U947" s="3">
        <v>271</v>
      </c>
      <c r="V947" s="1" t="s">
        <v>37</v>
      </c>
      <c r="W947" s="5">
        <f>Table1[[#This Row],[Quantity]]*Table1[[#This Row],[Price]]*(1-Table1[[#This Row],[Discount %]]/100)</f>
        <v>59106.45</v>
      </c>
      <c r="X947">
        <f>Table1[[#This Row],[DeliveryDate]]-Table1[[#This Row],[OrderDate]]</f>
        <v>6</v>
      </c>
      <c r="Y947" t="str">
        <f>TEXT(Table1[[#This Row],[OrderDate]],"MMMM")</f>
        <v>January</v>
      </c>
      <c r="Z947" s="5">
        <f>YEAR(Table1[[#This Row],[OrderDate]])</f>
        <v>2023</v>
      </c>
    </row>
    <row r="948" spans="1:26" x14ac:dyDescent="0.3">
      <c r="A948" s="1" t="s">
        <v>2872</v>
      </c>
      <c r="B948" t="s">
        <v>272</v>
      </c>
      <c r="C948" s="3">
        <v>18</v>
      </c>
      <c r="D948" s="1" t="s">
        <v>24</v>
      </c>
      <c r="E948" s="1" t="s">
        <v>131</v>
      </c>
      <c r="F948" s="1" t="s">
        <v>82</v>
      </c>
      <c r="G948" s="4">
        <v>45190</v>
      </c>
      <c r="H948" s="4">
        <v>45198</v>
      </c>
      <c r="I948" s="1" t="s">
        <v>43</v>
      </c>
      <c r="J948" s="1" t="s">
        <v>44</v>
      </c>
      <c r="K948" s="3">
        <v>1</v>
      </c>
      <c r="L948" s="2">
        <v>14063</v>
      </c>
      <c r="M948" s="3">
        <v>5</v>
      </c>
      <c r="N948" s="1" t="s">
        <v>56</v>
      </c>
      <c r="O948" s="1" t="s">
        <v>46</v>
      </c>
      <c r="P948" s="1" t="s">
        <v>33</v>
      </c>
      <c r="Q948" s="1" t="s">
        <v>275</v>
      </c>
      <c r="R948" s="1" t="s">
        <v>2873</v>
      </c>
      <c r="S948" s="3">
        <v>2</v>
      </c>
      <c r="T948" s="1" t="s">
        <v>61</v>
      </c>
      <c r="U948" s="3">
        <v>286</v>
      </c>
      <c r="V948" s="1" t="s">
        <v>62</v>
      </c>
      <c r="W948" s="5">
        <f>Table1[[#This Row],[Quantity]]*Table1[[#This Row],[Price]]*(1-Table1[[#This Row],[Discount %]]/100)</f>
        <v>13359.849999999999</v>
      </c>
      <c r="X948">
        <f>Table1[[#This Row],[DeliveryDate]]-Table1[[#This Row],[OrderDate]]</f>
        <v>8</v>
      </c>
      <c r="Y948" t="str">
        <f>TEXT(Table1[[#This Row],[OrderDate]],"MMMM")</f>
        <v>September</v>
      </c>
      <c r="Z948" s="5">
        <f>YEAR(Table1[[#This Row],[OrderDate]])</f>
        <v>2023</v>
      </c>
    </row>
    <row r="949" spans="1:26" x14ac:dyDescent="0.3">
      <c r="A949" s="1" t="s">
        <v>2874</v>
      </c>
      <c r="B949" t="s">
        <v>272</v>
      </c>
      <c r="C949" s="3">
        <v>49</v>
      </c>
      <c r="D949" s="1" t="s">
        <v>51</v>
      </c>
      <c r="E949" s="1" t="s">
        <v>229</v>
      </c>
      <c r="F949" s="1" t="s">
        <v>65</v>
      </c>
      <c r="G949" s="4">
        <v>45043</v>
      </c>
      <c r="H949" s="4">
        <v>45049</v>
      </c>
      <c r="I949" s="1" t="s">
        <v>77</v>
      </c>
      <c r="J949" s="1" t="s">
        <v>30</v>
      </c>
      <c r="K949" s="3">
        <v>4</v>
      </c>
      <c r="L949" s="2">
        <v>62548</v>
      </c>
      <c r="M949" s="3">
        <v>10</v>
      </c>
      <c r="N949" s="1" t="s">
        <v>56</v>
      </c>
      <c r="O949" s="1" t="s">
        <v>68</v>
      </c>
      <c r="P949" s="1" t="s">
        <v>58</v>
      </c>
      <c r="Q949" s="1" t="s">
        <v>275</v>
      </c>
      <c r="R949" s="1" t="s">
        <v>2875</v>
      </c>
      <c r="S949" s="3">
        <v>4</v>
      </c>
      <c r="T949" s="1" t="s">
        <v>96</v>
      </c>
      <c r="U949" s="3">
        <v>477</v>
      </c>
      <c r="V949" s="1" t="s">
        <v>37</v>
      </c>
      <c r="W949" s="5">
        <f>Table1[[#This Row],[Quantity]]*Table1[[#This Row],[Price]]*(1-Table1[[#This Row],[Discount %]]/100)</f>
        <v>225172.80000000002</v>
      </c>
      <c r="X949">
        <f>Table1[[#This Row],[DeliveryDate]]-Table1[[#This Row],[OrderDate]]</f>
        <v>6</v>
      </c>
      <c r="Y949" t="str">
        <f>TEXT(Table1[[#This Row],[OrderDate]],"MMMM")</f>
        <v>April</v>
      </c>
      <c r="Z949" s="5">
        <f>YEAR(Table1[[#This Row],[OrderDate]])</f>
        <v>2023</v>
      </c>
    </row>
    <row r="950" spans="1:26" x14ac:dyDescent="0.3">
      <c r="A950" s="1" t="s">
        <v>2876</v>
      </c>
      <c r="B950" t="s">
        <v>293</v>
      </c>
      <c r="C950" s="3">
        <v>45</v>
      </c>
      <c r="D950" s="1" t="s">
        <v>51</v>
      </c>
      <c r="E950" s="1" t="s">
        <v>131</v>
      </c>
      <c r="F950" s="1" t="s">
        <v>65</v>
      </c>
      <c r="G950" s="4">
        <v>45103</v>
      </c>
      <c r="H950" s="4">
        <v>45113</v>
      </c>
      <c r="I950" s="1" t="s">
        <v>29</v>
      </c>
      <c r="J950" s="1" t="s">
        <v>44</v>
      </c>
      <c r="K950" s="3">
        <v>3</v>
      </c>
      <c r="L950" s="2">
        <v>57563</v>
      </c>
      <c r="M950" s="3">
        <v>15</v>
      </c>
      <c r="N950" s="1" t="s">
        <v>45</v>
      </c>
      <c r="O950" s="1" t="s">
        <v>86</v>
      </c>
      <c r="P950" s="1" t="s">
        <v>58</v>
      </c>
      <c r="Q950" s="1" t="s">
        <v>1231</v>
      </c>
      <c r="R950" s="1" t="s">
        <v>2877</v>
      </c>
      <c r="S950" s="3">
        <v>3</v>
      </c>
      <c r="T950" s="1" t="s">
        <v>61</v>
      </c>
      <c r="U950" s="3">
        <v>157</v>
      </c>
      <c r="V950" s="1" t="s">
        <v>79</v>
      </c>
      <c r="W950" s="5">
        <f>Table1[[#This Row],[Quantity]]*Table1[[#This Row],[Price]]*(1-Table1[[#This Row],[Discount %]]/100)</f>
        <v>146785.65</v>
      </c>
      <c r="X950">
        <f>Table1[[#This Row],[DeliveryDate]]-Table1[[#This Row],[OrderDate]]</f>
        <v>10</v>
      </c>
      <c r="Y950" t="str">
        <f>TEXT(Table1[[#This Row],[OrderDate]],"MMMM")</f>
        <v>June</v>
      </c>
      <c r="Z950" s="5">
        <f>YEAR(Table1[[#This Row],[OrderDate]])</f>
        <v>2023</v>
      </c>
    </row>
    <row r="951" spans="1:26" x14ac:dyDescent="0.3">
      <c r="A951" s="1" t="s">
        <v>2878</v>
      </c>
      <c r="B951" t="s">
        <v>235</v>
      </c>
      <c r="C951" s="3">
        <v>52</v>
      </c>
      <c r="D951" s="1" t="s">
        <v>24</v>
      </c>
      <c r="E951" s="1" t="s">
        <v>229</v>
      </c>
      <c r="F951" s="1" t="s">
        <v>26</v>
      </c>
      <c r="G951" s="4">
        <v>45287</v>
      </c>
      <c r="H951" s="4">
        <v>45291</v>
      </c>
      <c r="I951" s="1" t="s">
        <v>77</v>
      </c>
      <c r="J951" s="1" t="s">
        <v>44</v>
      </c>
      <c r="K951" s="3">
        <v>3</v>
      </c>
      <c r="L951" s="2">
        <v>67770</v>
      </c>
      <c r="M951" s="3">
        <v>0</v>
      </c>
      <c r="N951" s="1" t="s">
        <v>45</v>
      </c>
      <c r="O951" s="1" t="s">
        <v>109</v>
      </c>
      <c r="P951" s="1" t="s">
        <v>33</v>
      </c>
      <c r="Q951" s="1" t="s">
        <v>871</v>
      </c>
      <c r="R951" s="1" t="s">
        <v>2879</v>
      </c>
      <c r="S951" s="3">
        <v>2</v>
      </c>
      <c r="T951" s="1" t="s">
        <v>36</v>
      </c>
      <c r="U951" s="3">
        <v>337</v>
      </c>
      <c r="V951" s="1" t="s">
        <v>62</v>
      </c>
      <c r="W951" s="5">
        <f>Table1[[#This Row],[Quantity]]*Table1[[#This Row],[Price]]*(1-Table1[[#This Row],[Discount %]]/100)</f>
        <v>203310</v>
      </c>
      <c r="X951">
        <f>Table1[[#This Row],[DeliveryDate]]-Table1[[#This Row],[OrderDate]]</f>
        <v>4</v>
      </c>
      <c r="Y951" t="str">
        <f>TEXT(Table1[[#This Row],[OrderDate]],"MMMM")</f>
        <v>December</v>
      </c>
      <c r="Z951" s="5">
        <f>YEAR(Table1[[#This Row],[OrderDate]])</f>
        <v>2023</v>
      </c>
    </row>
    <row r="952" spans="1:26" x14ac:dyDescent="0.3">
      <c r="A952" s="1" t="s">
        <v>2880</v>
      </c>
      <c r="B952" t="s">
        <v>198</v>
      </c>
      <c r="C952" s="3">
        <v>60</v>
      </c>
      <c r="D952" s="1" t="s">
        <v>51</v>
      </c>
      <c r="E952" s="1" t="s">
        <v>142</v>
      </c>
      <c r="F952" s="1" t="s">
        <v>53</v>
      </c>
      <c r="G952" s="4">
        <v>45488</v>
      </c>
      <c r="H952" s="4">
        <v>45496</v>
      </c>
      <c r="I952" s="1" t="s">
        <v>93</v>
      </c>
      <c r="J952" s="1" t="s">
        <v>30</v>
      </c>
      <c r="K952" s="3">
        <v>4</v>
      </c>
      <c r="L952" s="2">
        <v>68102</v>
      </c>
      <c r="M952" s="3">
        <v>10</v>
      </c>
      <c r="N952" s="1" t="s">
        <v>56</v>
      </c>
      <c r="O952" s="1" t="s">
        <v>32</v>
      </c>
      <c r="P952" s="1" t="s">
        <v>69</v>
      </c>
      <c r="Q952" s="1" t="s">
        <v>201</v>
      </c>
      <c r="R952" s="1" t="s">
        <v>2881</v>
      </c>
      <c r="S952" s="3">
        <v>4</v>
      </c>
      <c r="T952" s="1" t="s">
        <v>36</v>
      </c>
      <c r="U952" s="3">
        <v>447</v>
      </c>
      <c r="V952" s="1" t="s">
        <v>37</v>
      </c>
      <c r="W952" s="5">
        <f>Table1[[#This Row],[Quantity]]*Table1[[#This Row],[Price]]*(1-Table1[[#This Row],[Discount %]]/100)</f>
        <v>245167.2</v>
      </c>
      <c r="X952">
        <f>Table1[[#This Row],[DeliveryDate]]-Table1[[#This Row],[OrderDate]]</f>
        <v>8</v>
      </c>
      <c r="Y952" t="str">
        <f>TEXT(Table1[[#This Row],[OrderDate]],"MMMM")</f>
        <v>July</v>
      </c>
      <c r="Z952" s="5">
        <f>YEAR(Table1[[#This Row],[OrderDate]])</f>
        <v>2024</v>
      </c>
    </row>
    <row r="953" spans="1:26" x14ac:dyDescent="0.3">
      <c r="A953" s="1" t="s">
        <v>2882</v>
      </c>
      <c r="B953" t="s">
        <v>660</v>
      </c>
      <c r="C953" s="3">
        <v>30</v>
      </c>
      <c r="D953" s="1" t="s">
        <v>51</v>
      </c>
      <c r="E953" s="1" t="s">
        <v>52</v>
      </c>
      <c r="F953" s="1" t="s">
        <v>53</v>
      </c>
      <c r="G953" s="4">
        <v>45111</v>
      </c>
      <c r="H953" s="4">
        <v>45112</v>
      </c>
      <c r="I953" s="1" t="s">
        <v>108</v>
      </c>
      <c r="J953" s="1" t="s">
        <v>30</v>
      </c>
      <c r="K953" s="3">
        <v>4</v>
      </c>
      <c r="L953" s="2">
        <v>59016</v>
      </c>
      <c r="M953" s="3">
        <v>5</v>
      </c>
      <c r="N953" s="1" t="s">
        <v>31</v>
      </c>
      <c r="O953" s="1" t="s">
        <v>86</v>
      </c>
      <c r="P953" s="1" t="s">
        <v>58</v>
      </c>
      <c r="Q953" s="1" t="s">
        <v>662</v>
      </c>
      <c r="R953" s="1" t="s">
        <v>2884</v>
      </c>
      <c r="S953" s="3">
        <v>4</v>
      </c>
      <c r="T953" s="1" t="s">
        <v>61</v>
      </c>
      <c r="U953" s="3">
        <v>226</v>
      </c>
      <c r="V953" s="1" t="s">
        <v>62</v>
      </c>
      <c r="W953" s="5">
        <f>Table1[[#This Row],[Quantity]]*Table1[[#This Row],[Price]]*(1-Table1[[#This Row],[Discount %]]/100)</f>
        <v>224260.8</v>
      </c>
      <c r="X953">
        <f>Table1[[#This Row],[DeliveryDate]]-Table1[[#This Row],[OrderDate]]</f>
        <v>1</v>
      </c>
      <c r="Y953" t="str">
        <f>TEXT(Table1[[#This Row],[OrderDate]],"MMMM")</f>
        <v>July</v>
      </c>
      <c r="Z953" s="5">
        <f>YEAR(Table1[[#This Row],[OrderDate]])</f>
        <v>2023</v>
      </c>
    </row>
    <row r="954" spans="1:26" x14ac:dyDescent="0.3">
      <c r="A954" s="1" t="s">
        <v>2885</v>
      </c>
      <c r="B954" t="s">
        <v>119</v>
      </c>
      <c r="C954" s="3">
        <v>23</v>
      </c>
      <c r="D954" s="1" t="s">
        <v>24</v>
      </c>
      <c r="E954" s="1" t="s">
        <v>142</v>
      </c>
      <c r="F954" s="1" t="s">
        <v>91</v>
      </c>
      <c r="G954" s="4">
        <v>45145</v>
      </c>
      <c r="H954" s="4">
        <v>45150</v>
      </c>
      <c r="I954" s="1" t="s">
        <v>108</v>
      </c>
      <c r="J954" s="1" t="s">
        <v>44</v>
      </c>
      <c r="K954" s="3">
        <v>2</v>
      </c>
      <c r="L954" s="2">
        <v>42109.716287215415</v>
      </c>
      <c r="M954" s="3">
        <v>0</v>
      </c>
      <c r="N954" s="1" t="s">
        <v>166</v>
      </c>
      <c r="O954" s="1" t="s">
        <v>102</v>
      </c>
      <c r="P954" s="1" t="s">
        <v>174</v>
      </c>
      <c r="Q954" s="1" t="s">
        <v>3415</v>
      </c>
      <c r="R954" s="1" t="s">
        <v>2886</v>
      </c>
      <c r="S954" s="3">
        <v>4</v>
      </c>
      <c r="T954" s="1" t="s">
        <v>96</v>
      </c>
      <c r="U954" s="3">
        <v>225</v>
      </c>
      <c r="V954" s="1" t="s">
        <v>37</v>
      </c>
      <c r="W954" s="5">
        <f>Table1[[#This Row],[Quantity]]*Table1[[#This Row],[Price]]*(1-Table1[[#This Row],[Discount %]]/100)</f>
        <v>84219.43257443083</v>
      </c>
      <c r="X954">
        <f>Table1[[#This Row],[DeliveryDate]]-Table1[[#This Row],[OrderDate]]</f>
        <v>5</v>
      </c>
      <c r="Y954" t="str">
        <f>TEXT(Table1[[#This Row],[OrderDate]],"MMMM")</f>
        <v>August</v>
      </c>
      <c r="Z954" s="5">
        <f>YEAR(Table1[[#This Row],[OrderDate]])</f>
        <v>2023</v>
      </c>
    </row>
    <row r="955" spans="1:26" x14ac:dyDescent="0.3">
      <c r="A955" s="1" t="s">
        <v>2887</v>
      </c>
      <c r="B955" t="s">
        <v>141</v>
      </c>
      <c r="C955" s="3">
        <v>31</v>
      </c>
      <c r="D955" s="1" t="s">
        <v>24</v>
      </c>
      <c r="E955" s="1" t="s">
        <v>142</v>
      </c>
      <c r="F955" s="1" t="s">
        <v>26</v>
      </c>
      <c r="G955" s="4">
        <v>45613</v>
      </c>
      <c r="H955" s="4">
        <v>45618</v>
      </c>
      <c r="I955" s="1" t="s">
        <v>43</v>
      </c>
      <c r="J955" s="1" t="s">
        <v>30</v>
      </c>
      <c r="K955" s="3">
        <v>2</v>
      </c>
      <c r="L955" s="2">
        <v>23500</v>
      </c>
      <c r="M955" s="3">
        <v>0</v>
      </c>
      <c r="N955" s="1" t="s">
        <v>166</v>
      </c>
      <c r="O955" s="1" t="s">
        <v>86</v>
      </c>
      <c r="P955" s="1" t="s">
        <v>58</v>
      </c>
      <c r="Q955" s="1" t="s">
        <v>144</v>
      </c>
      <c r="R955" s="1" t="s">
        <v>2889</v>
      </c>
      <c r="S955" s="3">
        <v>1</v>
      </c>
      <c r="T955" s="1" t="s">
        <v>61</v>
      </c>
      <c r="U955" s="3">
        <v>348</v>
      </c>
      <c r="V955" s="1" t="s">
        <v>79</v>
      </c>
      <c r="W955" s="5">
        <f>Table1[[#This Row],[Quantity]]*Table1[[#This Row],[Price]]*(1-Table1[[#This Row],[Discount %]]/100)</f>
        <v>47000</v>
      </c>
      <c r="X955">
        <f>Table1[[#This Row],[DeliveryDate]]-Table1[[#This Row],[OrderDate]]</f>
        <v>5</v>
      </c>
      <c r="Y955" t="str">
        <f>TEXT(Table1[[#This Row],[OrderDate]],"MMMM")</f>
        <v>November</v>
      </c>
      <c r="Z955" s="5">
        <f>YEAR(Table1[[#This Row],[OrderDate]])</f>
        <v>2024</v>
      </c>
    </row>
    <row r="956" spans="1:26" x14ac:dyDescent="0.3">
      <c r="A956" s="1" t="s">
        <v>2890</v>
      </c>
      <c r="B956" t="s">
        <v>1396</v>
      </c>
      <c r="C956" s="3">
        <v>37</v>
      </c>
      <c r="D956" s="1" t="s">
        <v>51</v>
      </c>
      <c r="E956" s="1" t="s">
        <v>131</v>
      </c>
      <c r="F956" s="1" t="s">
        <v>53</v>
      </c>
      <c r="G956" s="4">
        <v>45523</v>
      </c>
      <c r="H956" s="4">
        <v>45532</v>
      </c>
      <c r="I956" s="1" t="s">
        <v>85</v>
      </c>
      <c r="J956" s="1" t="s">
        <v>44</v>
      </c>
      <c r="K956" s="3">
        <v>4</v>
      </c>
      <c r="L956" s="2">
        <v>28528</v>
      </c>
      <c r="M956" s="3">
        <v>10</v>
      </c>
      <c r="N956" s="1" t="s">
        <v>166</v>
      </c>
      <c r="O956" s="1" t="s">
        <v>173</v>
      </c>
      <c r="P956" s="1" t="s">
        <v>69</v>
      </c>
      <c r="Q956" s="1" t="s">
        <v>1397</v>
      </c>
      <c r="R956" s="1" t="s">
        <v>3415</v>
      </c>
      <c r="S956" s="3">
        <v>3</v>
      </c>
      <c r="T956" s="1" t="s">
        <v>61</v>
      </c>
      <c r="U956" s="3">
        <v>463</v>
      </c>
      <c r="V956" s="1" t="s">
        <v>37</v>
      </c>
      <c r="W956" s="5">
        <f>Table1[[#This Row],[Quantity]]*Table1[[#This Row],[Price]]*(1-Table1[[#This Row],[Discount %]]/100)</f>
        <v>102700.8</v>
      </c>
      <c r="X956">
        <f>Table1[[#This Row],[DeliveryDate]]-Table1[[#This Row],[OrderDate]]</f>
        <v>9</v>
      </c>
      <c r="Y956" t="str">
        <f>TEXT(Table1[[#This Row],[OrderDate]],"MMMM")</f>
        <v>August</v>
      </c>
      <c r="Z956" s="5">
        <f>YEAR(Table1[[#This Row],[OrderDate]])</f>
        <v>2024</v>
      </c>
    </row>
    <row r="957" spans="1:26" x14ac:dyDescent="0.3">
      <c r="A957" s="1" t="s">
        <v>2891</v>
      </c>
      <c r="B957" t="s">
        <v>2016</v>
      </c>
      <c r="C957" s="3">
        <v>49</v>
      </c>
      <c r="D957" s="1" t="s">
        <v>51</v>
      </c>
      <c r="E957" s="1" t="s">
        <v>52</v>
      </c>
      <c r="F957" s="1" t="s">
        <v>65</v>
      </c>
      <c r="G957" s="4">
        <v>45553</v>
      </c>
      <c r="H957" s="4">
        <v>45562</v>
      </c>
      <c r="I957" s="1" t="s">
        <v>77</v>
      </c>
      <c r="J957" s="1" t="s">
        <v>30</v>
      </c>
      <c r="K957" s="3">
        <v>5</v>
      </c>
      <c r="L957" s="2">
        <v>41677</v>
      </c>
      <c r="M957" s="3">
        <v>5</v>
      </c>
      <c r="N957" s="1" t="s">
        <v>166</v>
      </c>
      <c r="O957" s="1" t="s">
        <v>109</v>
      </c>
      <c r="P957" s="1" t="s">
        <v>33</v>
      </c>
      <c r="Q957" s="1" t="s">
        <v>1792</v>
      </c>
      <c r="R957" s="1" t="s">
        <v>2892</v>
      </c>
      <c r="S957" s="3">
        <v>4</v>
      </c>
      <c r="T957" s="1" t="s">
        <v>61</v>
      </c>
      <c r="U957" s="3">
        <v>295</v>
      </c>
      <c r="V957" s="1" t="s">
        <v>62</v>
      </c>
      <c r="W957" s="5">
        <f>Table1[[#This Row],[Quantity]]*Table1[[#This Row],[Price]]*(1-Table1[[#This Row],[Discount %]]/100)</f>
        <v>197965.75</v>
      </c>
      <c r="X957">
        <f>Table1[[#This Row],[DeliveryDate]]-Table1[[#This Row],[OrderDate]]</f>
        <v>9</v>
      </c>
      <c r="Y957" t="str">
        <f>TEXT(Table1[[#This Row],[OrderDate]],"MMMM")</f>
        <v>September</v>
      </c>
      <c r="Z957" s="5">
        <f>YEAR(Table1[[#This Row],[OrderDate]])</f>
        <v>2024</v>
      </c>
    </row>
    <row r="958" spans="1:26" x14ac:dyDescent="0.3">
      <c r="A958" s="1" t="s">
        <v>2893</v>
      </c>
      <c r="B958" t="s">
        <v>136</v>
      </c>
      <c r="C958" s="3">
        <v>20</v>
      </c>
      <c r="D958" s="1" t="s">
        <v>24</v>
      </c>
      <c r="E958" s="1" t="s">
        <v>52</v>
      </c>
      <c r="F958" s="1" t="s">
        <v>26</v>
      </c>
      <c r="G958" s="4">
        <v>45573</v>
      </c>
      <c r="H958" s="4">
        <v>45581</v>
      </c>
      <c r="I958" s="1" t="s">
        <v>93</v>
      </c>
      <c r="J958" s="1" t="s">
        <v>30</v>
      </c>
      <c r="K958" s="3">
        <v>5</v>
      </c>
      <c r="L958" s="2">
        <v>65930</v>
      </c>
      <c r="M958" s="3">
        <v>5</v>
      </c>
      <c r="N958" s="1" t="s">
        <v>166</v>
      </c>
      <c r="O958" s="1" t="s">
        <v>32</v>
      </c>
      <c r="P958" s="1" t="s">
        <v>69</v>
      </c>
      <c r="Q958" s="1" t="s">
        <v>269</v>
      </c>
      <c r="R958" s="1" t="s">
        <v>2894</v>
      </c>
      <c r="S958" s="3">
        <v>3</v>
      </c>
      <c r="T958" s="1" t="s">
        <v>96</v>
      </c>
      <c r="U958" s="3">
        <v>88</v>
      </c>
      <c r="V958" s="1" t="s">
        <v>37</v>
      </c>
      <c r="W958" s="5">
        <f>Table1[[#This Row],[Quantity]]*Table1[[#This Row],[Price]]*(1-Table1[[#This Row],[Discount %]]/100)</f>
        <v>313167.5</v>
      </c>
      <c r="X958">
        <f>Table1[[#This Row],[DeliveryDate]]-Table1[[#This Row],[OrderDate]]</f>
        <v>8</v>
      </c>
      <c r="Y958" t="str">
        <f>TEXT(Table1[[#This Row],[OrderDate]],"MMMM")</f>
        <v>October</v>
      </c>
      <c r="Z958" s="5">
        <f>YEAR(Table1[[#This Row],[OrderDate]])</f>
        <v>2024</v>
      </c>
    </row>
    <row r="959" spans="1:26" x14ac:dyDescent="0.3">
      <c r="A959" s="1" t="s">
        <v>2895</v>
      </c>
      <c r="B959" t="s">
        <v>954</v>
      </c>
      <c r="C959" s="3">
        <v>31</v>
      </c>
      <c r="D959" s="1" t="s">
        <v>24</v>
      </c>
      <c r="E959" s="1" t="s">
        <v>52</v>
      </c>
      <c r="F959" s="1" t="s">
        <v>53</v>
      </c>
      <c r="G959" s="4">
        <v>45072</v>
      </c>
      <c r="H959" s="4">
        <v>45075</v>
      </c>
      <c r="I959" s="1" t="s">
        <v>108</v>
      </c>
      <c r="J959" s="1" t="s">
        <v>30</v>
      </c>
      <c r="K959" s="3">
        <v>1</v>
      </c>
      <c r="L959" s="2">
        <v>69356</v>
      </c>
      <c r="M959" s="3">
        <v>15</v>
      </c>
      <c r="N959" s="1" t="s">
        <v>45</v>
      </c>
      <c r="O959" s="1" t="s">
        <v>57</v>
      </c>
      <c r="P959" s="1" t="s">
        <v>33</v>
      </c>
      <c r="Q959" s="1" t="s">
        <v>536</v>
      </c>
      <c r="R959" s="1" t="s">
        <v>2896</v>
      </c>
      <c r="S959" s="3">
        <v>4</v>
      </c>
      <c r="T959" s="1" t="s">
        <v>96</v>
      </c>
      <c r="U959" s="3">
        <v>428</v>
      </c>
      <c r="V959" s="1" t="s">
        <v>79</v>
      </c>
      <c r="W959" s="5">
        <f>Table1[[#This Row],[Quantity]]*Table1[[#This Row],[Price]]*(1-Table1[[#This Row],[Discount %]]/100)</f>
        <v>58952.6</v>
      </c>
      <c r="X959">
        <f>Table1[[#This Row],[DeliveryDate]]-Table1[[#This Row],[OrderDate]]</f>
        <v>3</v>
      </c>
      <c r="Y959" t="str">
        <f>TEXT(Table1[[#This Row],[OrderDate]],"MMMM")</f>
        <v>May</v>
      </c>
      <c r="Z959" s="5">
        <f>YEAR(Table1[[#This Row],[OrderDate]])</f>
        <v>2023</v>
      </c>
    </row>
    <row r="960" spans="1:26" x14ac:dyDescent="0.3">
      <c r="A960" s="1" t="s">
        <v>2897</v>
      </c>
      <c r="B960" t="s">
        <v>484</v>
      </c>
      <c r="C960" s="3">
        <v>34</v>
      </c>
      <c r="D960" s="1" t="s">
        <v>51</v>
      </c>
      <c r="E960" s="1" t="s">
        <v>25</v>
      </c>
      <c r="F960" s="1" t="s">
        <v>65</v>
      </c>
      <c r="G960" s="4">
        <v>45162</v>
      </c>
      <c r="H960" s="4">
        <v>45166</v>
      </c>
      <c r="I960" s="1" t="s">
        <v>77</v>
      </c>
      <c r="J960" s="1" t="s">
        <v>30</v>
      </c>
      <c r="K960" s="3">
        <v>5</v>
      </c>
      <c r="L960" s="2">
        <v>11884</v>
      </c>
      <c r="M960" s="3">
        <v>10</v>
      </c>
      <c r="N960" s="1" t="s">
        <v>166</v>
      </c>
      <c r="O960" s="1" t="s">
        <v>46</v>
      </c>
      <c r="P960" s="1" t="s">
        <v>33</v>
      </c>
      <c r="Q960" s="1" t="s">
        <v>487</v>
      </c>
      <c r="R960" s="1" t="s">
        <v>2898</v>
      </c>
      <c r="S960" s="3">
        <v>3</v>
      </c>
      <c r="T960" s="1" t="s">
        <v>72</v>
      </c>
      <c r="U960" s="3">
        <v>303</v>
      </c>
      <c r="V960" s="1" t="s">
        <v>79</v>
      </c>
      <c r="W960" s="5">
        <f>Table1[[#This Row],[Quantity]]*Table1[[#This Row],[Price]]*(1-Table1[[#This Row],[Discount %]]/100)</f>
        <v>53478</v>
      </c>
      <c r="X960">
        <f>Table1[[#This Row],[DeliveryDate]]-Table1[[#This Row],[OrderDate]]</f>
        <v>4</v>
      </c>
      <c r="Y960" t="str">
        <f>TEXT(Table1[[#This Row],[OrderDate]],"MMMM")</f>
        <v>August</v>
      </c>
      <c r="Z960" s="5">
        <f>YEAR(Table1[[#This Row],[OrderDate]])</f>
        <v>2023</v>
      </c>
    </row>
    <row r="961" spans="1:26" x14ac:dyDescent="0.3">
      <c r="A961" s="1" t="s">
        <v>2899</v>
      </c>
      <c r="B961" t="s">
        <v>674</v>
      </c>
      <c r="C961" s="3">
        <v>45</v>
      </c>
      <c r="D961" s="1" t="s">
        <v>51</v>
      </c>
      <c r="E961" s="1" t="s">
        <v>40</v>
      </c>
      <c r="F961" s="1" t="s">
        <v>26</v>
      </c>
      <c r="G961" s="4">
        <v>45193</v>
      </c>
      <c r="H961" s="4">
        <v>45199</v>
      </c>
      <c r="I961" s="1" t="s">
        <v>108</v>
      </c>
      <c r="J961" s="1" t="s">
        <v>44</v>
      </c>
      <c r="K961" s="3">
        <v>5</v>
      </c>
      <c r="L961" s="2">
        <v>64049</v>
      </c>
      <c r="M961" s="3">
        <v>15</v>
      </c>
      <c r="N961" s="1" t="s">
        <v>56</v>
      </c>
      <c r="O961" s="1" t="s">
        <v>32</v>
      </c>
      <c r="P961" s="1" t="s">
        <v>174</v>
      </c>
      <c r="Q961" s="1" t="s">
        <v>677</v>
      </c>
      <c r="R961" s="1" t="s">
        <v>2900</v>
      </c>
      <c r="S961" s="3">
        <v>1</v>
      </c>
      <c r="T961" s="1" t="s">
        <v>72</v>
      </c>
      <c r="U961" s="3">
        <v>408</v>
      </c>
      <c r="V961" s="1" t="s">
        <v>62</v>
      </c>
      <c r="W961" s="5">
        <f>Table1[[#This Row],[Quantity]]*Table1[[#This Row],[Price]]*(1-Table1[[#This Row],[Discount %]]/100)</f>
        <v>272208.25</v>
      </c>
      <c r="X961">
        <f>Table1[[#This Row],[DeliveryDate]]-Table1[[#This Row],[OrderDate]]</f>
        <v>6</v>
      </c>
      <c r="Y961" t="str">
        <f>TEXT(Table1[[#This Row],[OrderDate]],"MMMM")</f>
        <v>September</v>
      </c>
      <c r="Z961" s="5">
        <f>YEAR(Table1[[#This Row],[OrderDate]])</f>
        <v>2023</v>
      </c>
    </row>
    <row r="962" spans="1:26" x14ac:dyDescent="0.3">
      <c r="A962" s="1" t="s">
        <v>2901</v>
      </c>
      <c r="B962" t="s">
        <v>674</v>
      </c>
      <c r="C962" s="3">
        <v>33</v>
      </c>
      <c r="D962" s="1" t="s">
        <v>24</v>
      </c>
      <c r="E962" s="1" t="s">
        <v>229</v>
      </c>
      <c r="F962" s="1" t="s">
        <v>65</v>
      </c>
      <c r="G962" s="4">
        <v>45506</v>
      </c>
      <c r="H962" s="4">
        <v>45513</v>
      </c>
      <c r="I962" s="1" t="s">
        <v>29</v>
      </c>
      <c r="J962" s="1" t="s">
        <v>30</v>
      </c>
      <c r="K962" s="3">
        <v>5</v>
      </c>
      <c r="L962" s="2">
        <v>5295</v>
      </c>
      <c r="M962" s="3">
        <v>15</v>
      </c>
      <c r="N962" s="1" t="s">
        <v>45</v>
      </c>
      <c r="O962" s="1" t="s">
        <v>68</v>
      </c>
      <c r="P962" s="1" t="s">
        <v>69</v>
      </c>
      <c r="Q962" s="1" t="s">
        <v>3415</v>
      </c>
      <c r="R962" s="1" t="s">
        <v>2902</v>
      </c>
      <c r="S962" s="3">
        <v>3</v>
      </c>
      <c r="T962" s="1" t="s">
        <v>72</v>
      </c>
      <c r="U962" s="3">
        <v>499</v>
      </c>
      <c r="V962" s="1" t="s">
        <v>79</v>
      </c>
      <c r="W962" s="5">
        <f>Table1[[#This Row],[Quantity]]*Table1[[#This Row],[Price]]*(1-Table1[[#This Row],[Discount %]]/100)</f>
        <v>22503.75</v>
      </c>
      <c r="X962">
        <f>Table1[[#This Row],[DeliveryDate]]-Table1[[#This Row],[OrderDate]]</f>
        <v>7</v>
      </c>
      <c r="Y962" t="str">
        <f>TEXT(Table1[[#This Row],[OrderDate]],"MMMM")</f>
        <v>August</v>
      </c>
      <c r="Z962" s="5">
        <f>YEAR(Table1[[#This Row],[OrderDate]])</f>
        <v>2024</v>
      </c>
    </row>
    <row r="963" spans="1:26" x14ac:dyDescent="0.3">
      <c r="A963" s="1" t="s">
        <v>2903</v>
      </c>
      <c r="B963" t="s">
        <v>2016</v>
      </c>
      <c r="C963" s="3">
        <v>47</v>
      </c>
      <c r="D963" s="1" t="s">
        <v>24</v>
      </c>
      <c r="E963" s="1" t="s">
        <v>142</v>
      </c>
      <c r="F963" s="1" t="s">
        <v>53</v>
      </c>
      <c r="G963" s="4">
        <v>45254</v>
      </c>
      <c r="H963" s="4">
        <v>45258</v>
      </c>
      <c r="I963" s="1" t="s">
        <v>29</v>
      </c>
      <c r="J963" s="1" t="s">
        <v>30</v>
      </c>
      <c r="K963" s="3">
        <v>5</v>
      </c>
      <c r="L963" s="2">
        <v>46770</v>
      </c>
      <c r="M963" s="3">
        <v>10</v>
      </c>
      <c r="N963" s="1" t="s">
        <v>56</v>
      </c>
      <c r="O963" s="1" t="s">
        <v>86</v>
      </c>
      <c r="P963" s="1" t="s">
        <v>33</v>
      </c>
      <c r="Q963" s="1" t="s">
        <v>1792</v>
      </c>
      <c r="R963" s="1" t="s">
        <v>3415</v>
      </c>
      <c r="S963" s="3">
        <v>2</v>
      </c>
      <c r="T963" s="1" t="s">
        <v>96</v>
      </c>
      <c r="U963" s="3">
        <v>309</v>
      </c>
      <c r="V963" s="1" t="s">
        <v>79</v>
      </c>
      <c r="W963" s="5">
        <f>Table1[[#This Row],[Quantity]]*Table1[[#This Row],[Price]]*(1-Table1[[#This Row],[Discount %]]/100)</f>
        <v>210465</v>
      </c>
      <c r="X963">
        <f>Table1[[#This Row],[DeliveryDate]]-Table1[[#This Row],[OrderDate]]</f>
        <v>4</v>
      </c>
      <c r="Y963" t="str">
        <f>TEXT(Table1[[#This Row],[OrderDate]],"MMMM")</f>
        <v>November</v>
      </c>
      <c r="Z963" s="5">
        <f>YEAR(Table1[[#This Row],[OrderDate]])</f>
        <v>2023</v>
      </c>
    </row>
    <row r="964" spans="1:26" x14ac:dyDescent="0.3">
      <c r="A964" s="1" t="s">
        <v>2904</v>
      </c>
      <c r="B964" t="s">
        <v>484</v>
      </c>
      <c r="C964" s="3">
        <v>22</v>
      </c>
      <c r="D964" s="1" t="s">
        <v>51</v>
      </c>
      <c r="E964" s="1" t="s">
        <v>142</v>
      </c>
      <c r="F964" s="1" t="s">
        <v>65</v>
      </c>
      <c r="G964" s="4">
        <v>45520</v>
      </c>
      <c r="H964" s="4">
        <v>45523</v>
      </c>
      <c r="I964" s="1" t="s">
        <v>108</v>
      </c>
      <c r="J964" s="1" t="s">
        <v>30</v>
      </c>
      <c r="K964" s="3">
        <v>2</v>
      </c>
      <c r="L964" s="2">
        <v>55204</v>
      </c>
      <c r="M964" s="3">
        <v>15</v>
      </c>
      <c r="N964" s="1" t="s">
        <v>56</v>
      </c>
      <c r="O964" s="1" t="s">
        <v>46</v>
      </c>
      <c r="P964" s="1" t="s">
        <v>174</v>
      </c>
      <c r="Q964" s="1" t="s">
        <v>487</v>
      </c>
      <c r="R964" s="1" t="s">
        <v>3415</v>
      </c>
      <c r="S964" s="3">
        <v>5</v>
      </c>
      <c r="T964" s="1" t="s">
        <v>72</v>
      </c>
      <c r="U964" s="3">
        <v>206</v>
      </c>
      <c r="V964" s="1" t="s">
        <v>37</v>
      </c>
      <c r="W964" s="5">
        <f>Table1[[#This Row],[Quantity]]*Table1[[#This Row],[Price]]*(1-Table1[[#This Row],[Discount %]]/100)</f>
        <v>93846.8</v>
      </c>
      <c r="X964">
        <f>Table1[[#This Row],[DeliveryDate]]-Table1[[#This Row],[OrderDate]]</f>
        <v>3</v>
      </c>
      <c r="Y964" t="str">
        <f>TEXT(Table1[[#This Row],[OrderDate]],"MMMM")</f>
        <v>August</v>
      </c>
      <c r="Z964" s="5">
        <f>YEAR(Table1[[#This Row],[OrderDate]])</f>
        <v>2024</v>
      </c>
    </row>
    <row r="965" spans="1:26" x14ac:dyDescent="0.3">
      <c r="A965" s="1" t="s">
        <v>2905</v>
      </c>
      <c r="B965" t="s">
        <v>850</v>
      </c>
      <c r="C965" s="3">
        <v>60</v>
      </c>
      <c r="D965" s="1" t="s">
        <v>24</v>
      </c>
      <c r="E965" s="1" t="s">
        <v>229</v>
      </c>
      <c r="F965" s="1" t="s">
        <v>65</v>
      </c>
      <c r="G965" s="4">
        <v>44992</v>
      </c>
      <c r="H965" s="4">
        <v>44997</v>
      </c>
      <c r="I965" s="1" t="s">
        <v>29</v>
      </c>
      <c r="J965" s="1" t="s">
        <v>30</v>
      </c>
      <c r="K965" s="3">
        <v>5</v>
      </c>
      <c r="L965" s="2">
        <v>42109.716287215415</v>
      </c>
      <c r="M965" s="3">
        <v>15</v>
      </c>
      <c r="N965" s="1" t="s">
        <v>31</v>
      </c>
      <c r="O965" s="1" t="s">
        <v>46</v>
      </c>
      <c r="P965" s="1" t="s">
        <v>33</v>
      </c>
      <c r="Q965" s="1" t="s">
        <v>258</v>
      </c>
      <c r="R965" s="1" t="s">
        <v>2907</v>
      </c>
      <c r="S965" s="3">
        <v>2</v>
      </c>
      <c r="T965" s="1" t="s">
        <v>96</v>
      </c>
      <c r="U965" s="3">
        <v>398</v>
      </c>
      <c r="V965" s="1" t="s">
        <v>62</v>
      </c>
      <c r="W965" s="5">
        <f>Table1[[#This Row],[Quantity]]*Table1[[#This Row],[Price]]*(1-Table1[[#This Row],[Discount %]]/100)</f>
        <v>178966.2942206655</v>
      </c>
      <c r="X965">
        <f>Table1[[#This Row],[DeliveryDate]]-Table1[[#This Row],[OrderDate]]</f>
        <v>5</v>
      </c>
      <c r="Y965" t="str">
        <f>TEXT(Table1[[#This Row],[OrderDate]],"MMMM")</f>
        <v>March</v>
      </c>
      <c r="Z965" s="5">
        <f>YEAR(Table1[[#This Row],[OrderDate]])</f>
        <v>2023</v>
      </c>
    </row>
    <row r="966" spans="1:26" x14ac:dyDescent="0.3">
      <c r="A966" s="1" t="s">
        <v>2908</v>
      </c>
      <c r="B966" t="s">
        <v>645</v>
      </c>
      <c r="C966" s="3">
        <v>23</v>
      </c>
      <c r="D966" s="1" t="s">
        <v>51</v>
      </c>
      <c r="E966" s="1" t="s">
        <v>52</v>
      </c>
      <c r="F966" s="1" t="s">
        <v>26</v>
      </c>
      <c r="G966" s="4">
        <v>45201</v>
      </c>
      <c r="H966" s="4">
        <v>45210</v>
      </c>
      <c r="I966" s="1" t="s">
        <v>85</v>
      </c>
      <c r="J966" s="1" t="s">
        <v>44</v>
      </c>
      <c r="K966" s="3">
        <v>2</v>
      </c>
      <c r="L966" s="2">
        <v>71299</v>
      </c>
      <c r="M966" s="3">
        <v>5</v>
      </c>
      <c r="N966" s="1" t="s">
        <v>45</v>
      </c>
      <c r="O966" s="1" t="s">
        <v>32</v>
      </c>
      <c r="P966" s="1" t="s">
        <v>69</v>
      </c>
      <c r="Q966" s="1" t="s">
        <v>647</v>
      </c>
      <c r="R966" s="1" t="s">
        <v>2909</v>
      </c>
      <c r="S966" s="3">
        <v>3</v>
      </c>
      <c r="T966" s="1" t="s">
        <v>96</v>
      </c>
      <c r="U966" s="3">
        <v>148</v>
      </c>
      <c r="V966" s="1" t="s">
        <v>62</v>
      </c>
      <c r="W966" s="5">
        <f>Table1[[#This Row],[Quantity]]*Table1[[#This Row],[Price]]*(1-Table1[[#This Row],[Discount %]]/100)</f>
        <v>135468.1</v>
      </c>
      <c r="X966">
        <f>Table1[[#This Row],[DeliveryDate]]-Table1[[#This Row],[OrderDate]]</f>
        <v>9</v>
      </c>
      <c r="Y966" t="str">
        <f>TEXT(Table1[[#This Row],[OrderDate]],"MMMM")</f>
        <v>October</v>
      </c>
      <c r="Z966" s="5">
        <f>YEAR(Table1[[#This Row],[OrderDate]])</f>
        <v>2023</v>
      </c>
    </row>
    <row r="967" spans="1:26" x14ac:dyDescent="0.3">
      <c r="A967" s="1" t="s">
        <v>2910</v>
      </c>
      <c r="B967" t="s">
        <v>1396</v>
      </c>
      <c r="C967" s="3">
        <v>31</v>
      </c>
      <c r="D967" s="1" t="s">
        <v>51</v>
      </c>
      <c r="E967" s="1" t="s">
        <v>229</v>
      </c>
      <c r="F967" s="1" t="s">
        <v>53</v>
      </c>
      <c r="G967" s="4">
        <v>45267</v>
      </c>
      <c r="H967" s="4">
        <v>45272</v>
      </c>
      <c r="I967" s="1" t="s">
        <v>77</v>
      </c>
      <c r="J967" s="1" t="s">
        <v>44</v>
      </c>
      <c r="K967" s="3">
        <v>2</v>
      </c>
      <c r="L967" s="2">
        <v>68359</v>
      </c>
      <c r="M967" s="3">
        <v>0</v>
      </c>
      <c r="N967" s="1" t="s">
        <v>45</v>
      </c>
      <c r="O967" s="1" t="s">
        <v>133</v>
      </c>
      <c r="P967" s="1" t="s">
        <v>58</v>
      </c>
      <c r="Q967" s="1" t="s">
        <v>1397</v>
      </c>
      <c r="R967" s="1" t="s">
        <v>2911</v>
      </c>
      <c r="S967" s="3">
        <v>5</v>
      </c>
      <c r="T967" s="1" t="s">
        <v>72</v>
      </c>
      <c r="U967" s="3">
        <v>461</v>
      </c>
      <c r="V967" s="1" t="s">
        <v>79</v>
      </c>
      <c r="W967" s="5">
        <f>Table1[[#This Row],[Quantity]]*Table1[[#This Row],[Price]]*(1-Table1[[#This Row],[Discount %]]/100)</f>
        <v>136718</v>
      </c>
      <c r="X967">
        <f>Table1[[#This Row],[DeliveryDate]]-Table1[[#This Row],[OrderDate]]</f>
        <v>5</v>
      </c>
      <c r="Y967" t="str">
        <f>TEXT(Table1[[#This Row],[OrderDate]],"MMMM")</f>
        <v>December</v>
      </c>
      <c r="Z967" s="5">
        <f>YEAR(Table1[[#This Row],[OrderDate]])</f>
        <v>2023</v>
      </c>
    </row>
    <row r="968" spans="1:26" x14ac:dyDescent="0.3">
      <c r="A968" s="1" t="s">
        <v>2912</v>
      </c>
      <c r="B968" t="s">
        <v>321</v>
      </c>
      <c r="C968" s="3">
        <v>38</v>
      </c>
      <c r="D968" s="1" t="s">
        <v>24</v>
      </c>
      <c r="E968" s="1" t="s">
        <v>99</v>
      </c>
      <c r="F968" s="1" t="s">
        <v>65</v>
      </c>
      <c r="G968" s="4">
        <v>44931</v>
      </c>
      <c r="H968" s="4">
        <v>44933</v>
      </c>
      <c r="I968" s="1" t="s">
        <v>43</v>
      </c>
      <c r="J968" s="1" t="s">
        <v>44</v>
      </c>
      <c r="K968" s="3">
        <v>2</v>
      </c>
      <c r="L968" s="2">
        <v>72566</v>
      </c>
      <c r="M968" s="3">
        <v>0</v>
      </c>
      <c r="N968" s="1" t="s">
        <v>31</v>
      </c>
      <c r="O968" s="1" t="s">
        <v>68</v>
      </c>
      <c r="P968" s="1" t="s">
        <v>69</v>
      </c>
      <c r="Q968" s="1" t="s">
        <v>324</v>
      </c>
      <c r="R968" s="1" t="s">
        <v>2914</v>
      </c>
      <c r="S968" s="3">
        <v>3</v>
      </c>
      <c r="T968" s="1" t="s">
        <v>72</v>
      </c>
      <c r="U968" s="3">
        <v>468</v>
      </c>
      <c r="V968" s="1" t="s">
        <v>79</v>
      </c>
      <c r="W968" s="5">
        <f>Table1[[#This Row],[Quantity]]*Table1[[#This Row],[Price]]*(1-Table1[[#This Row],[Discount %]]/100)</f>
        <v>145132</v>
      </c>
      <c r="X968">
        <f>Table1[[#This Row],[DeliveryDate]]-Table1[[#This Row],[OrderDate]]</f>
        <v>2</v>
      </c>
      <c r="Y968" t="str">
        <f>TEXT(Table1[[#This Row],[OrderDate]],"MMMM")</f>
        <v>January</v>
      </c>
      <c r="Z968" s="5">
        <f>YEAR(Table1[[#This Row],[OrderDate]])</f>
        <v>2023</v>
      </c>
    </row>
    <row r="969" spans="1:26" x14ac:dyDescent="0.3">
      <c r="A969" s="1" t="s">
        <v>2915</v>
      </c>
      <c r="B969" t="s">
        <v>471</v>
      </c>
      <c r="C969" s="3">
        <v>22</v>
      </c>
      <c r="D969" s="1" t="s">
        <v>51</v>
      </c>
      <c r="E969" s="1" t="s">
        <v>25</v>
      </c>
      <c r="F969" s="1" t="s">
        <v>65</v>
      </c>
      <c r="G969" s="4">
        <v>45613</v>
      </c>
      <c r="H969" s="4">
        <v>45616</v>
      </c>
      <c r="I969" s="1" t="s">
        <v>85</v>
      </c>
      <c r="J969" s="1" t="s">
        <v>30</v>
      </c>
      <c r="K969" s="3">
        <v>5</v>
      </c>
      <c r="L969" s="2">
        <v>23687</v>
      </c>
      <c r="M969" s="3">
        <v>10</v>
      </c>
      <c r="N969" s="1" t="s">
        <v>56</v>
      </c>
      <c r="O969" s="1" t="s">
        <v>68</v>
      </c>
      <c r="P969" s="1" t="s">
        <v>69</v>
      </c>
      <c r="Q969" s="1" t="s">
        <v>495</v>
      </c>
      <c r="R969" s="1" t="s">
        <v>2916</v>
      </c>
      <c r="S969" s="3">
        <v>4</v>
      </c>
      <c r="T969" s="1" t="s">
        <v>61</v>
      </c>
      <c r="U969" s="3">
        <v>199</v>
      </c>
      <c r="V969" s="1" t="s">
        <v>37</v>
      </c>
      <c r="W969" s="5">
        <f>Table1[[#This Row],[Quantity]]*Table1[[#This Row],[Price]]*(1-Table1[[#This Row],[Discount %]]/100)</f>
        <v>106591.5</v>
      </c>
      <c r="X969">
        <f>Table1[[#This Row],[DeliveryDate]]-Table1[[#This Row],[OrderDate]]</f>
        <v>3</v>
      </c>
      <c r="Y969" t="str">
        <f>TEXT(Table1[[#This Row],[OrderDate]],"MMMM")</f>
        <v>November</v>
      </c>
      <c r="Z969" s="5">
        <f>YEAR(Table1[[#This Row],[OrderDate]])</f>
        <v>2024</v>
      </c>
    </row>
    <row r="970" spans="1:26" x14ac:dyDescent="0.3">
      <c r="A970" s="1" t="s">
        <v>2917</v>
      </c>
      <c r="B970" t="s">
        <v>946</v>
      </c>
      <c r="C970" s="3">
        <v>30</v>
      </c>
      <c r="D970" s="1" t="s">
        <v>51</v>
      </c>
      <c r="E970" s="1" t="s">
        <v>52</v>
      </c>
      <c r="F970" s="1" t="s">
        <v>53</v>
      </c>
      <c r="G970" s="4">
        <v>45022</v>
      </c>
      <c r="H970" s="4">
        <v>45025</v>
      </c>
      <c r="I970" s="1" t="s">
        <v>77</v>
      </c>
      <c r="J970" s="1" t="s">
        <v>30</v>
      </c>
      <c r="K970" s="3">
        <v>2</v>
      </c>
      <c r="L970" s="2">
        <v>64442</v>
      </c>
      <c r="M970" s="3">
        <v>15</v>
      </c>
      <c r="N970" s="1" t="s">
        <v>45</v>
      </c>
      <c r="O970" s="1" t="s">
        <v>86</v>
      </c>
      <c r="P970" s="1" t="s">
        <v>69</v>
      </c>
      <c r="Q970" s="1" t="s">
        <v>983</v>
      </c>
      <c r="R970" s="1" t="s">
        <v>2919</v>
      </c>
      <c r="S970" s="3">
        <v>3</v>
      </c>
      <c r="T970" s="1" t="s">
        <v>96</v>
      </c>
      <c r="U970" s="3">
        <v>238</v>
      </c>
      <c r="V970" s="1" t="s">
        <v>79</v>
      </c>
      <c r="W970" s="5">
        <f>Table1[[#This Row],[Quantity]]*Table1[[#This Row],[Price]]*(1-Table1[[#This Row],[Discount %]]/100)</f>
        <v>109551.4</v>
      </c>
      <c r="X970">
        <f>Table1[[#This Row],[DeliveryDate]]-Table1[[#This Row],[OrderDate]]</f>
        <v>3</v>
      </c>
      <c r="Y970" t="str">
        <f>TEXT(Table1[[#This Row],[OrderDate]],"MMMM")</f>
        <v>April</v>
      </c>
      <c r="Z970" s="5">
        <f>YEAR(Table1[[#This Row],[OrderDate]])</f>
        <v>2023</v>
      </c>
    </row>
    <row r="971" spans="1:26" x14ac:dyDescent="0.3">
      <c r="A971" s="1" t="s">
        <v>2920</v>
      </c>
      <c r="B971" t="s">
        <v>397</v>
      </c>
      <c r="C971" s="3">
        <v>35</v>
      </c>
      <c r="D971" s="1" t="s">
        <v>24</v>
      </c>
      <c r="E971" s="1" t="s">
        <v>52</v>
      </c>
      <c r="F971" s="1" t="s">
        <v>82</v>
      </c>
      <c r="G971" s="4">
        <v>45547</v>
      </c>
      <c r="H971" s="4">
        <v>45552</v>
      </c>
      <c r="I971" s="1" t="s">
        <v>93</v>
      </c>
      <c r="J971" s="1" t="s">
        <v>30</v>
      </c>
      <c r="K971" s="3">
        <v>3</v>
      </c>
      <c r="L971" s="2">
        <v>70942</v>
      </c>
      <c r="M971" s="3">
        <v>15</v>
      </c>
      <c r="N971" s="1" t="s">
        <v>56</v>
      </c>
      <c r="O971" s="1" t="s">
        <v>133</v>
      </c>
      <c r="P971" s="1" t="s">
        <v>69</v>
      </c>
      <c r="Q971" s="1" t="s">
        <v>400</v>
      </c>
      <c r="R971" s="1" t="s">
        <v>2921</v>
      </c>
      <c r="S971" s="3">
        <v>2</v>
      </c>
      <c r="T971" s="1" t="s">
        <v>72</v>
      </c>
      <c r="U971" s="3">
        <v>386</v>
      </c>
      <c r="V971" s="1" t="s">
        <v>79</v>
      </c>
      <c r="W971" s="5">
        <f>Table1[[#This Row],[Quantity]]*Table1[[#This Row],[Price]]*(1-Table1[[#This Row],[Discount %]]/100)</f>
        <v>180902.1</v>
      </c>
      <c r="X971">
        <f>Table1[[#This Row],[DeliveryDate]]-Table1[[#This Row],[OrderDate]]</f>
        <v>5</v>
      </c>
      <c r="Y971" t="str">
        <f>TEXT(Table1[[#This Row],[OrderDate]],"MMMM")</f>
        <v>September</v>
      </c>
      <c r="Z971" s="5">
        <f>YEAR(Table1[[#This Row],[OrderDate]])</f>
        <v>2024</v>
      </c>
    </row>
    <row r="972" spans="1:26" x14ac:dyDescent="0.3">
      <c r="A972" s="1" t="s">
        <v>2922</v>
      </c>
      <c r="B972" t="s">
        <v>113</v>
      </c>
      <c r="C972" s="3">
        <v>39</v>
      </c>
      <c r="D972" s="1" t="s">
        <v>51</v>
      </c>
      <c r="E972" s="1" t="s">
        <v>52</v>
      </c>
      <c r="F972" s="1" t="s">
        <v>65</v>
      </c>
      <c r="G972" s="4">
        <v>45440</v>
      </c>
      <c r="H972" s="4">
        <v>45446</v>
      </c>
      <c r="I972" s="1" t="s">
        <v>93</v>
      </c>
      <c r="J972" s="1" t="s">
        <v>44</v>
      </c>
      <c r="K972" s="3">
        <v>1</v>
      </c>
      <c r="L972" s="2">
        <v>76074</v>
      </c>
      <c r="M972" s="3">
        <v>15</v>
      </c>
      <c r="N972" s="1" t="s">
        <v>166</v>
      </c>
      <c r="O972" s="1" t="s">
        <v>46</v>
      </c>
      <c r="P972" s="1" t="s">
        <v>58</v>
      </c>
      <c r="Q972" s="1" t="s">
        <v>116</v>
      </c>
      <c r="R972" s="1" t="s">
        <v>2923</v>
      </c>
      <c r="S972" s="3">
        <v>4</v>
      </c>
      <c r="T972" s="1" t="s">
        <v>96</v>
      </c>
      <c r="U972" s="3">
        <v>271</v>
      </c>
      <c r="V972" s="1" t="s">
        <v>79</v>
      </c>
      <c r="W972" s="5">
        <f>Table1[[#This Row],[Quantity]]*Table1[[#This Row],[Price]]*(1-Table1[[#This Row],[Discount %]]/100)</f>
        <v>64662.9</v>
      </c>
      <c r="X972">
        <f>Table1[[#This Row],[DeliveryDate]]-Table1[[#This Row],[OrderDate]]</f>
        <v>6</v>
      </c>
      <c r="Y972" t="str">
        <f>TEXT(Table1[[#This Row],[OrderDate]],"MMMM")</f>
        <v>May</v>
      </c>
      <c r="Z972" s="5">
        <f>YEAR(Table1[[#This Row],[OrderDate]])</f>
        <v>2024</v>
      </c>
    </row>
    <row r="973" spans="1:26" x14ac:dyDescent="0.3">
      <c r="A973" s="1" t="s">
        <v>2924</v>
      </c>
      <c r="B973" t="s">
        <v>527</v>
      </c>
      <c r="C973" s="3">
        <v>37</v>
      </c>
      <c r="D973" s="1" t="s">
        <v>24</v>
      </c>
      <c r="E973" s="1" t="s">
        <v>26</v>
      </c>
      <c r="F973" s="1" t="s">
        <v>82</v>
      </c>
      <c r="G973" s="4">
        <v>45318</v>
      </c>
      <c r="H973" s="4">
        <v>45325</v>
      </c>
      <c r="I973" s="1" t="s">
        <v>77</v>
      </c>
      <c r="J973" s="1" t="s">
        <v>30</v>
      </c>
      <c r="K973" s="3">
        <v>4</v>
      </c>
      <c r="L973" s="2">
        <v>25213</v>
      </c>
      <c r="M973" s="3">
        <v>10</v>
      </c>
      <c r="N973" s="1" t="s">
        <v>166</v>
      </c>
      <c r="O973" s="1" t="s">
        <v>102</v>
      </c>
      <c r="P973" s="1" t="s">
        <v>174</v>
      </c>
      <c r="Q973" s="1" t="s">
        <v>530</v>
      </c>
      <c r="R973" s="1" t="s">
        <v>2925</v>
      </c>
      <c r="S973" s="3">
        <v>1</v>
      </c>
      <c r="T973" s="1" t="s">
        <v>61</v>
      </c>
      <c r="U973" s="3">
        <v>275</v>
      </c>
      <c r="V973" s="1" t="s">
        <v>37</v>
      </c>
      <c r="W973" s="5">
        <f>Table1[[#This Row],[Quantity]]*Table1[[#This Row],[Price]]*(1-Table1[[#This Row],[Discount %]]/100)</f>
        <v>90766.8</v>
      </c>
      <c r="X973">
        <f>Table1[[#This Row],[DeliveryDate]]-Table1[[#This Row],[OrderDate]]</f>
        <v>7</v>
      </c>
      <c r="Y973" t="str">
        <f>TEXT(Table1[[#This Row],[OrderDate]],"MMMM")</f>
        <v>January</v>
      </c>
      <c r="Z973" s="5">
        <f>YEAR(Table1[[#This Row],[OrderDate]])</f>
        <v>2024</v>
      </c>
    </row>
    <row r="974" spans="1:26" x14ac:dyDescent="0.3">
      <c r="A974" s="1" t="s">
        <v>2926</v>
      </c>
      <c r="B974" t="s">
        <v>105</v>
      </c>
      <c r="C974" s="3">
        <v>56</v>
      </c>
      <c r="D974" s="1" t="s">
        <v>24</v>
      </c>
      <c r="E974" s="1" t="s">
        <v>229</v>
      </c>
      <c r="F974" s="1" t="s">
        <v>26</v>
      </c>
      <c r="G974" s="4">
        <v>44997</v>
      </c>
      <c r="H974" s="4">
        <v>44998</v>
      </c>
      <c r="I974" s="1" t="s">
        <v>93</v>
      </c>
      <c r="J974" s="1" t="s">
        <v>44</v>
      </c>
      <c r="K974" s="3">
        <v>4</v>
      </c>
      <c r="L974" s="2">
        <v>21281</v>
      </c>
      <c r="M974" s="3">
        <v>15</v>
      </c>
      <c r="N974" s="1" t="s">
        <v>45</v>
      </c>
      <c r="O974" s="1" t="s">
        <v>109</v>
      </c>
      <c r="P974" s="1" t="s">
        <v>58</v>
      </c>
      <c r="Q974" s="1" t="s">
        <v>110</v>
      </c>
      <c r="R974" s="1" t="s">
        <v>2927</v>
      </c>
      <c r="S974" s="3">
        <v>1</v>
      </c>
      <c r="T974" s="1" t="s">
        <v>61</v>
      </c>
      <c r="U974" s="3">
        <v>361</v>
      </c>
      <c r="V974" s="1" t="s">
        <v>37</v>
      </c>
      <c r="W974" s="5">
        <f>Table1[[#This Row],[Quantity]]*Table1[[#This Row],[Price]]*(1-Table1[[#This Row],[Discount %]]/100)</f>
        <v>72355.399999999994</v>
      </c>
      <c r="X974">
        <f>Table1[[#This Row],[DeliveryDate]]-Table1[[#This Row],[OrderDate]]</f>
        <v>1</v>
      </c>
      <c r="Y974" t="str">
        <f>TEXT(Table1[[#This Row],[OrderDate]],"MMMM")</f>
        <v>March</v>
      </c>
      <c r="Z974" s="5">
        <f>YEAR(Table1[[#This Row],[OrderDate]])</f>
        <v>2023</v>
      </c>
    </row>
    <row r="975" spans="1:26" x14ac:dyDescent="0.3">
      <c r="A975" s="1" t="s">
        <v>2928</v>
      </c>
      <c r="B975" t="s">
        <v>933</v>
      </c>
      <c r="C975" s="3">
        <v>57</v>
      </c>
      <c r="D975" s="1" t="s">
        <v>51</v>
      </c>
      <c r="E975" s="1" t="s">
        <v>25</v>
      </c>
      <c r="F975" s="1" t="s">
        <v>82</v>
      </c>
      <c r="G975" s="4">
        <v>45462</v>
      </c>
      <c r="H975" s="4">
        <v>45470</v>
      </c>
      <c r="I975" s="1" t="s">
        <v>43</v>
      </c>
      <c r="J975" s="1" t="s">
        <v>30</v>
      </c>
      <c r="K975" s="3">
        <v>1</v>
      </c>
      <c r="L975" s="2">
        <v>25459</v>
      </c>
      <c r="M975" s="3">
        <v>10</v>
      </c>
      <c r="N975" s="1" t="s">
        <v>166</v>
      </c>
      <c r="O975" s="1" t="s">
        <v>133</v>
      </c>
      <c r="P975" s="1" t="s">
        <v>33</v>
      </c>
      <c r="Q975" s="1" t="s">
        <v>935</v>
      </c>
      <c r="R975" s="1" t="s">
        <v>2930</v>
      </c>
      <c r="S975" s="3">
        <v>2</v>
      </c>
      <c r="T975" s="1" t="s">
        <v>72</v>
      </c>
      <c r="U975" s="3">
        <v>495</v>
      </c>
      <c r="V975" s="1" t="s">
        <v>62</v>
      </c>
      <c r="W975" s="5">
        <f>Table1[[#This Row],[Quantity]]*Table1[[#This Row],[Price]]*(1-Table1[[#This Row],[Discount %]]/100)</f>
        <v>22913.100000000002</v>
      </c>
      <c r="X975">
        <f>Table1[[#This Row],[DeliveryDate]]-Table1[[#This Row],[OrderDate]]</f>
        <v>8</v>
      </c>
      <c r="Y975" t="str">
        <f>TEXT(Table1[[#This Row],[OrderDate]],"MMMM")</f>
        <v>June</v>
      </c>
      <c r="Z975" s="5">
        <f>YEAR(Table1[[#This Row],[OrderDate]])</f>
        <v>2024</v>
      </c>
    </row>
    <row r="976" spans="1:26" x14ac:dyDescent="0.3">
      <c r="A976" s="1" t="s">
        <v>2931</v>
      </c>
      <c r="B976" t="s">
        <v>674</v>
      </c>
      <c r="C976" s="3">
        <v>26</v>
      </c>
      <c r="D976" s="1" t="s">
        <v>24</v>
      </c>
      <c r="E976" s="1" t="s">
        <v>131</v>
      </c>
      <c r="F976" s="1" t="s">
        <v>91</v>
      </c>
      <c r="G976" s="4">
        <v>45527</v>
      </c>
      <c r="H976" s="4">
        <v>45529</v>
      </c>
      <c r="I976" s="1" t="s">
        <v>108</v>
      </c>
      <c r="J976" s="1" t="s">
        <v>44</v>
      </c>
      <c r="K976" s="3">
        <v>3</v>
      </c>
      <c r="L976" s="2">
        <v>31997</v>
      </c>
      <c r="M976" s="3">
        <v>15</v>
      </c>
      <c r="N976" s="1" t="s">
        <v>45</v>
      </c>
      <c r="O976" s="1" t="s">
        <v>133</v>
      </c>
      <c r="P976" s="1" t="s">
        <v>174</v>
      </c>
      <c r="Q976" s="1" t="s">
        <v>677</v>
      </c>
      <c r="R976" s="1" t="s">
        <v>2932</v>
      </c>
      <c r="S976" s="3">
        <v>4</v>
      </c>
      <c r="T976" s="1" t="s">
        <v>96</v>
      </c>
      <c r="U976" s="3">
        <v>173</v>
      </c>
      <c r="V976" s="1" t="s">
        <v>37</v>
      </c>
      <c r="W976" s="5">
        <f>Table1[[#This Row],[Quantity]]*Table1[[#This Row],[Price]]*(1-Table1[[#This Row],[Discount %]]/100)</f>
        <v>81592.349999999991</v>
      </c>
      <c r="X976">
        <f>Table1[[#This Row],[DeliveryDate]]-Table1[[#This Row],[OrderDate]]</f>
        <v>2</v>
      </c>
      <c r="Y976" t="str">
        <f>TEXT(Table1[[#This Row],[OrderDate]],"MMMM")</f>
        <v>August</v>
      </c>
      <c r="Z976" s="5">
        <f>YEAR(Table1[[#This Row],[OrderDate]])</f>
        <v>2024</v>
      </c>
    </row>
    <row r="977" spans="1:26" x14ac:dyDescent="0.3">
      <c r="A977" s="1" t="s">
        <v>2933</v>
      </c>
      <c r="B977" t="s">
        <v>617</v>
      </c>
      <c r="C977" s="3">
        <v>45</v>
      </c>
      <c r="D977" s="1" t="s">
        <v>51</v>
      </c>
      <c r="E977" s="1" t="s">
        <v>26</v>
      </c>
      <c r="F977" s="1" t="s">
        <v>82</v>
      </c>
      <c r="G977" s="4">
        <v>45137</v>
      </c>
      <c r="H977" s="4">
        <v>45147</v>
      </c>
      <c r="I977" s="1" t="s">
        <v>85</v>
      </c>
      <c r="J977" s="1" t="s">
        <v>44</v>
      </c>
      <c r="K977" s="3">
        <v>2</v>
      </c>
      <c r="L977" s="2">
        <v>75790</v>
      </c>
      <c r="M977" s="3">
        <v>10</v>
      </c>
      <c r="N977" s="1" t="s">
        <v>56</v>
      </c>
      <c r="O977" s="1" t="s">
        <v>86</v>
      </c>
      <c r="P977" s="1" t="s">
        <v>69</v>
      </c>
      <c r="Q977" s="1" t="s">
        <v>3415</v>
      </c>
      <c r="R977" s="1" t="s">
        <v>2935</v>
      </c>
      <c r="S977" s="3">
        <v>5</v>
      </c>
      <c r="T977" s="1" t="s">
        <v>72</v>
      </c>
      <c r="U977" s="3">
        <v>335</v>
      </c>
      <c r="V977" s="1" t="s">
        <v>62</v>
      </c>
      <c r="W977" s="5">
        <f>Table1[[#This Row],[Quantity]]*Table1[[#This Row],[Price]]*(1-Table1[[#This Row],[Discount %]]/100)</f>
        <v>136422</v>
      </c>
      <c r="X977">
        <f>Table1[[#This Row],[DeliveryDate]]-Table1[[#This Row],[OrderDate]]</f>
        <v>10</v>
      </c>
      <c r="Y977" t="str">
        <f>TEXT(Table1[[#This Row],[OrderDate]],"MMMM")</f>
        <v>July</v>
      </c>
      <c r="Z977" s="5">
        <f>YEAR(Table1[[#This Row],[OrderDate]])</f>
        <v>2023</v>
      </c>
    </row>
    <row r="978" spans="1:26" x14ac:dyDescent="0.3">
      <c r="A978" s="1" t="s">
        <v>2936</v>
      </c>
      <c r="B978" t="s">
        <v>1443</v>
      </c>
      <c r="C978" s="3">
        <v>40</v>
      </c>
      <c r="D978" s="1" t="s">
        <v>24</v>
      </c>
      <c r="E978" s="1" t="s">
        <v>142</v>
      </c>
      <c r="F978" s="1" t="s">
        <v>26</v>
      </c>
      <c r="G978" s="4">
        <v>45411</v>
      </c>
      <c r="H978" s="4">
        <v>45418</v>
      </c>
      <c r="I978" s="1" t="s">
        <v>108</v>
      </c>
      <c r="J978" s="1" t="s">
        <v>44</v>
      </c>
      <c r="K978" s="3">
        <v>4</v>
      </c>
      <c r="L978" s="2">
        <v>6865</v>
      </c>
      <c r="M978" s="3">
        <v>5</v>
      </c>
      <c r="N978" s="1" t="s">
        <v>56</v>
      </c>
      <c r="O978" s="1" t="s">
        <v>68</v>
      </c>
      <c r="P978" s="1" t="s">
        <v>174</v>
      </c>
      <c r="Q978" s="1" t="s">
        <v>1444</v>
      </c>
      <c r="R978" s="1" t="s">
        <v>2937</v>
      </c>
      <c r="S978" s="3">
        <v>3</v>
      </c>
      <c r="T978" s="1" t="s">
        <v>72</v>
      </c>
      <c r="U978" s="3">
        <v>211</v>
      </c>
      <c r="V978" s="1" t="s">
        <v>37</v>
      </c>
      <c r="W978" s="5">
        <f>Table1[[#This Row],[Quantity]]*Table1[[#This Row],[Price]]*(1-Table1[[#This Row],[Discount %]]/100)</f>
        <v>26087</v>
      </c>
      <c r="X978">
        <f>Table1[[#This Row],[DeliveryDate]]-Table1[[#This Row],[OrderDate]]</f>
        <v>7</v>
      </c>
      <c r="Y978" t="str">
        <f>TEXT(Table1[[#This Row],[OrderDate]],"MMMM")</f>
        <v>April</v>
      </c>
      <c r="Z978" s="5">
        <f>YEAR(Table1[[#This Row],[OrderDate]])</f>
        <v>2024</v>
      </c>
    </row>
    <row r="979" spans="1:26" x14ac:dyDescent="0.3">
      <c r="A979" s="1" t="s">
        <v>2938</v>
      </c>
      <c r="B979" t="s">
        <v>338</v>
      </c>
      <c r="C979" s="3">
        <v>18</v>
      </c>
      <c r="D979" s="1" t="s">
        <v>51</v>
      </c>
      <c r="E979" s="1" t="s">
        <v>229</v>
      </c>
      <c r="F979" s="1" t="s">
        <v>53</v>
      </c>
      <c r="G979" s="4">
        <v>45520</v>
      </c>
      <c r="H979" s="4">
        <v>45527</v>
      </c>
      <c r="I979" s="1" t="s">
        <v>29</v>
      </c>
      <c r="J979" s="1" t="s">
        <v>44</v>
      </c>
      <c r="K979" s="3">
        <v>4</v>
      </c>
      <c r="L979" s="2">
        <v>58574</v>
      </c>
      <c r="M979" s="3">
        <v>15</v>
      </c>
      <c r="N979" s="1" t="s">
        <v>31</v>
      </c>
      <c r="O979" s="1" t="s">
        <v>46</v>
      </c>
      <c r="P979" s="1" t="s">
        <v>174</v>
      </c>
      <c r="Q979" s="1" t="s">
        <v>341</v>
      </c>
      <c r="R979" s="1" t="s">
        <v>2939</v>
      </c>
      <c r="S979" s="3">
        <v>4</v>
      </c>
      <c r="T979" s="1" t="s">
        <v>61</v>
      </c>
      <c r="U979" s="3">
        <v>410</v>
      </c>
      <c r="V979" s="1" t="s">
        <v>62</v>
      </c>
      <c r="W979" s="5">
        <f>Table1[[#This Row],[Quantity]]*Table1[[#This Row],[Price]]*(1-Table1[[#This Row],[Discount %]]/100)</f>
        <v>199151.6</v>
      </c>
      <c r="X979">
        <f>Table1[[#This Row],[DeliveryDate]]-Table1[[#This Row],[OrderDate]]</f>
        <v>7</v>
      </c>
      <c r="Y979" t="str">
        <f>TEXT(Table1[[#This Row],[OrderDate]],"MMMM")</f>
        <v>August</v>
      </c>
      <c r="Z979" s="5">
        <f>YEAR(Table1[[#This Row],[OrderDate]])</f>
        <v>2024</v>
      </c>
    </row>
    <row r="980" spans="1:26" x14ac:dyDescent="0.3">
      <c r="A980" s="1" t="s">
        <v>2940</v>
      </c>
      <c r="B980" t="s">
        <v>1340</v>
      </c>
      <c r="C980" s="3">
        <v>57</v>
      </c>
      <c r="D980" s="1" t="s">
        <v>24</v>
      </c>
      <c r="E980" s="1" t="s">
        <v>52</v>
      </c>
      <c r="F980" s="1" t="s">
        <v>26</v>
      </c>
      <c r="G980" s="4">
        <v>45238</v>
      </c>
      <c r="H980" s="4">
        <v>45248</v>
      </c>
      <c r="I980" s="1" t="s">
        <v>93</v>
      </c>
      <c r="J980" s="1" t="s">
        <v>30</v>
      </c>
      <c r="K980" s="3">
        <v>4</v>
      </c>
      <c r="L980" s="2">
        <v>62292</v>
      </c>
      <c r="M980" s="3">
        <v>5</v>
      </c>
      <c r="N980" s="1" t="s">
        <v>31</v>
      </c>
      <c r="O980" s="1" t="s">
        <v>86</v>
      </c>
      <c r="P980" s="1" t="s">
        <v>33</v>
      </c>
      <c r="Q980" s="1" t="s">
        <v>1342</v>
      </c>
      <c r="R980" s="1" t="s">
        <v>2941</v>
      </c>
      <c r="S980" s="3">
        <v>5</v>
      </c>
      <c r="T980" s="1" t="s">
        <v>96</v>
      </c>
      <c r="U980" s="3">
        <v>204</v>
      </c>
      <c r="V980" s="1" t="s">
        <v>79</v>
      </c>
      <c r="W980" s="5">
        <f>Table1[[#This Row],[Quantity]]*Table1[[#This Row],[Price]]*(1-Table1[[#This Row],[Discount %]]/100)</f>
        <v>236709.59999999998</v>
      </c>
      <c r="X980">
        <f>Table1[[#This Row],[DeliveryDate]]-Table1[[#This Row],[OrderDate]]</f>
        <v>10</v>
      </c>
      <c r="Y980" t="str">
        <f>TEXT(Table1[[#This Row],[OrderDate]],"MMMM")</f>
        <v>November</v>
      </c>
      <c r="Z980" s="5">
        <f>YEAR(Table1[[#This Row],[OrderDate]])</f>
        <v>2023</v>
      </c>
    </row>
    <row r="981" spans="1:26" x14ac:dyDescent="0.3">
      <c r="A981" s="1" t="s">
        <v>2942</v>
      </c>
      <c r="B981" t="s">
        <v>461</v>
      </c>
      <c r="C981" s="3">
        <v>37</v>
      </c>
      <c r="D981" s="1" t="s">
        <v>24</v>
      </c>
      <c r="E981" s="1" t="s">
        <v>25</v>
      </c>
      <c r="F981" s="1" t="s">
        <v>26</v>
      </c>
      <c r="G981" s="4">
        <v>45261</v>
      </c>
      <c r="H981" s="4">
        <v>45271</v>
      </c>
      <c r="I981" s="1" t="s">
        <v>29</v>
      </c>
      <c r="J981" s="1" t="s">
        <v>30</v>
      </c>
      <c r="K981" s="3">
        <v>2</v>
      </c>
      <c r="L981" s="2">
        <v>14972</v>
      </c>
      <c r="M981" s="3">
        <v>15</v>
      </c>
      <c r="N981" s="1" t="s">
        <v>45</v>
      </c>
      <c r="O981" s="1" t="s">
        <v>173</v>
      </c>
      <c r="P981" s="1" t="s">
        <v>69</v>
      </c>
      <c r="Q981" s="1" t="s">
        <v>563</v>
      </c>
      <c r="R981" s="1" t="s">
        <v>2944</v>
      </c>
      <c r="S981" s="3">
        <v>3</v>
      </c>
      <c r="T981" s="1" t="s">
        <v>61</v>
      </c>
      <c r="U981" s="3">
        <v>326</v>
      </c>
      <c r="V981" s="1" t="s">
        <v>37</v>
      </c>
      <c r="W981" s="5">
        <f>Table1[[#This Row],[Quantity]]*Table1[[#This Row],[Price]]*(1-Table1[[#This Row],[Discount %]]/100)</f>
        <v>25452.399999999998</v>
      </c>
      <c r="X981">
        <f>Table1[[#This Row],[DeliveryDate]]-Table1[[#This Row],[OrderDate]]</f>
        <v>10</v>
      </c>
      <c r="Y981" t="str">
        <f>TEXT(Table1[[#This Row],[OrderDate]],"MMMM")</f>
        <v>December</v>
      </c>
      <c r="Z981" s="5">
        <f>YEAR(Table1[[#This Row],[OrderDate]])</f>
        <v>2023</v>
      </c>
    </row>
    <row r="982" spans="1:26" x14ac:dyDescent="0.3">
      <c r="A982" s="1" t="s">
        <v>2945</v>
      </c>
      <c r="B982" t="s">
        <v>461</v>
      </c>
      <c r="C982" s="3">
        <v>34</v>
      </c>
      <c r="D982" s="1" t="s">
        <v>24</v>
      </c>
      <c r="E982" s="1" t="s">
        <v>40</v>
      </c>
      <c r="F982" s="1" t="s">
        <v>53</v>
      </c>
      <c r="G982" s="4">
        <v>45297</v>
      </c>
      <c r="H982" s="4">
        <v>45304</v>
      </c>
      <c r="I982" s="1" t="s">
        <v>85</v>
      </c>
      <c r="J982" s="1" t="s">
        <v>30</v>
      </c>
      <c r="K982" s="3">
        <v>4</v>
      </c>
      <c r="L982" s="2">
        <v>42408</v>
      </c>
      <c r="M982" s="3">
        <v>15</v>
      </c>
      <c r="N982" s="1" t="s">
        <v>31</v>
      </c>
      <c r="O982" s="1" t="s">
        <v>133</v>
      </c>
      <c r="P982" s="1" t="s">
        <v>69</v>
      </c>
      <c r="Q982" s="1" t="s">
        <v>563</v>
      </c>
      <c r="R982" s="1" t="s">
        <v>2947</v>
      </c>
      <c r="S982" s="3">
        <v>2</v>
      </c>
      <c r="T982" s="1" t="s">
        <v>72</v>
      </c>
      <c r="U982" s="3">
        <v>89</v>
      </c>
      <c r="V982" s="1" t="s">
        <v>62</v>
      </c>
      <c r="W982" s="5">
        <f>Table1[[#This Row],[Quantity]]*Table1[[#This Row],[Price]]*(1-Table1[[#This Row],[Discount %]]/100)</f>
        <v>144187.19999999998</v>
      </c>
      <c r="X982">
        <f>Table1[[#This Row],[DeliveryDate]]-Table1[[#This Row],[OrderDate]]</f>
        <v>7</v>
      </c>
      <c r="Y982" t="str">
        <f>TEXT(Table1[[#This Row],[OrderDate]],"MMMM")</f>
        <v>January</v>
      </c>
      <c r="Z982" s="5">
        <f>YEAR(Table1[[#This Row],[OrderDate]])</f>
        <v>2024</v>
      </c>
    </row>
    <row r="983" spans="1:26" x14ac:dyDescent="0.3">
      <c r="A983" s="1" t="s">
        <v>2948</v>
      </c>
      <c r="B983" t="s">
        <v>182</v>
      </c>
      <c r="C983" s="3">
        <v>27</v>
      </c>
      <c r="D983" s="1" t="s">
        <v>51</v>
      </c>
      <c r="E983" s="1" t="s">
        <v>131</v>
      </c>
      <c r="F983" s="1" t="s">
        <v>91</v>
      </c>
      <c r="G983" s="4">
        <v>45120</v>
      </c>
      <c r="H983" s="4">
        <v>45121</v>
      </c>
      <c r="I983" s="1" t="s">
        <v>85</v>
      </c>
      <c r="J983" s="1" t="s">
        <v>30</v>
      </c>
      <c r="K983" s="3">
        <v>3</v>
      </c>
      <c r="L983" s="2">
        <v>50369</v>
      </c>
      <c r="M983" s="3">
        <v>0</v>
      </c>
      <c r="N983" s="1" t="s">
        <v>166</v>
      </c>
      <c r="O983" s="1" t="s">
        <v>173</v>
      </c>
      <c r="P983" s="1" t="s">
        <v>174</v>
      </c>
      <c r="Q983" s="1" t="s">
        <v>186</v>
      </c>
      <c r="R983" s="1" t="s">
        <v>2949</v>
      </c>
      <c r="S983" s="3">
        <v>4</v>
      </c>
      <c r="T983" s="1" t="s">
        <v>36</v>
      </c>
      <c r="U983" s="3">
        <v>72</v>
      </c>
      <c r="V983" s="1" t="s">
        <v>62</v>
      </c>
      <c r="W983" s="5">
        <f>Table1[[#This Row],[Quantity]]*Table1[[#This Row],[Price]]*(1-Table1[[#This Row],[Discount %]]/100)</f>
        <v>151107</v>
      </c>
      <c r="X983">
        <f>Table1[[#This Row],[DeliveryDate]]-Table1[[#This Row],[OrderDate]]</f>
        <v>1</v>
      </c>
      <c r="Y983" t="str">
        <f>TEXT(Table1[[#This Row],[OrderDate]],"MMMM")</f>
        <v>July</v>
      </c>
      <c r="Z983" s="5">
        <f>YEAR(Table1[[#This Row],[OrderDate]])</f>
        <v>2023</v>
      </c>
    </row>
    <row r="984" spans="1:26" x14ac:dyDescent="0.3">
      <c r="A984" s="1" t="s">
        <v>2950</v>
      </c>
      <c r="B984" t="s">
        <v>767</v>
      </c>
      <c r="C984" s="3">
        <v>42</v>
      </c>
      <c r="D984" s="1" t="s">
        <v>24</v>
      </c>
      <c r="E984" s="1" t="s">
        <v>131</v>
      </c>
      <c r="F984" s="1" t="s">
        <v>82</v>
      </c>
      <c r="G984" s="4">
        <v>45114</v>
      </c>
      <c r="H984" s="4">
        <v>45117</v>
      </c>
      <c r="I984" s="1" t="s">
        <v>77</v>
      </c>
      <c r="J984" s="1" t="s">
        <v>30</v>
      </c>
      <c r="K984" s="3">
        <v>3</v>
      </c>
      <c r="L984" s="2">
        <v>71533</v>
      </c>
      <c r="M984" s="3">
        <v>10</v>
      </c>
      <c r="N984" s="1" t="s">
        <v>166</v>
      </c>
      <c r="O984" s="1" t="s">
        <v>57</v>
      </c>
      <c r="P984" s="1" t="s">
        <v>33</v>
      </c>
      <c r="Q984" s="1" t="s">
        <v>769</v>
      </c>
      <c r="R984" s="1" t="s">
        <v>2951</v>
      </c>
      <c r="S984" s="3">
        <v>4</v>
      </c>
      <c r="T984" s="1" t="s">
        <v>96</v>
      </c>
      <c r="U984" s="3">
        <v>79</v>
      </c>
      <c r="V984" s="1" t="s">
        <v>79</v>
      </c>
      <c r="W984" s="5">
        <f>Table1[[#This Row],[Quantity]]*Table1[[#This Row],[Price]]*(1-Table1[[#This Row],[Discount %]]/100)</f>
        <v>193139.1</v>
      </c>
      <c r="X984">
        <f>Table1[[#This Row],[DeliveryDate]]-Table1[[#This Row],[OrderDate]]</f>
        <v>3</v>
      </c>
      <c r="Y984" t="str">
        <f>TEXT(Table1[[#This Row],[OrderDate]],"MMMM")</f>
        <v>July</v>
      </c>
      <c r="Z984" s="5">
        <f>YEAR(Table1[[#This Row],[OrderDate]])</f>
        <v>2023</v>
      </c>
    </row>
    <row r="985" spans="1:26" x14ac:dyDescent="0.3">
      <c r="A985" s="1" t="s">
        <v>2952</v>
      </c>
      <c r="B985" t="s">
        <v>90</v>
      </c>
      <c r="C985" s="3">
        <v>54</v>
      </c>
      <c r="D985" s="1" t="s">
        <v>24</v>
      </c>
      <c r="E985" s="1" t="s">
        <v>229</v>
      </c>
      <c r="F985" s="1" t="s">
        <v>65</v>
      </c>
      <c r="G985" s="4">
        <v>45527</v>
      </c>
      <c r="H985" s="4">
        <v>45535</v>
      </c>
      <c r="I985" s="1" t="s">
        <v>43</v>
      </c>
      <c r="J985" s="1" t="s">
        <v>30</v>
      </c>
      <c r="K985" s="3">
        <v>5</v>
      </c>
      <c r="L985" s="2">
        <v>23782</v>
      </c>
      <c r="M985" s="3">
        <v>15</v>
      </c>
      <c r="N985" s="1" t="s">
        <v>56</v>
      </c>
      <c r="O985" s="1" t="s">
        <v>86</v>
      </c>
      <c r="P985" s="1" t="s">
        <v>174</v>
      </c>
      <c r="Q985" s="1" t="s">
        <v>94</v>
      </c>
      <c r="R985" s="1" t="s">
        <v>2954</v>
      </c>
      <c r="S985" s="3">
        <v>1</v>
      </c>
      <c r="T985" s="1" t="s">
        <v>36</v>
      </c>
      <c r="U985" s="3">
        <v>90</v>
      </c>
      <c r="V985" s="1" t="s">
        <v>79</v>
      </c>
      <c r="W985" s="5">
        <f>Table1[[#This Row],[Quantity]]*Table1[[#This Row],[Price]]*(1-Table1[[#This Row],[Discount %]]/100)</f>
        <v>101073.5</v>
      </c>
      <c r="X985">
        <f>Table1[[#This Row],[DeliveryDate]]-Table1[[#This Row],[OrderDate]]</f>
        <v>8</v>
      </c>
      <c r="Y985" t="str">
        <f>TEXT(Table1[[#This Row],[OrderDate]],"MMMM")</f>
        <v>August</v>
      </c>
      <c r="Z985" s="5">
        <f>YEAR(Table1[[#This Row],[OrderDate]])</f>
        <v>2024</v>
      </c>
    </row>
    <row r="986" spans="1:26" x14ac:dyDescent="0.3">
      <c r="A986" s="1" t="s">
        <v>2955</v>
      </c>
      <c r="B986" t="s">
        <v>309</v>
      </c>
      <c r="C986" s="3">
        <v>32</v>
      </c>
      <c r="D986" s="1" t="s">
        <v>24</v>
      </c>
      <c r="E986" s="1" t="s">
        <v>26</v>
      </c>
      <c r="F986" s="1" t="s">
        <v>53</v>
      </c>
      <c r="G986" s="4">
        <v>45593</v>
      </c>
      <c r="H986" s="4">
        <v>45598</v>
      </c>
      <c r="I986" s="1" t="s">
        <v>108</v>
      </c>
      <c r="J986" s="1" t="s">
        <v>30</v>
      </c>
      <c r="K986" s="3">
        <v>4</v>
      </c>
      <c r="L986" s="2">
        <v>55079</v>
      </c>
      <c r="M986" s="3">
        <v>10</v>
      </c>
      <c r="N986" s="1" t="s">
        <v>166</v>
      </c>
      <c r="O986" s="1" t="s">
        <v>57</v>
      </c>
      <c r="P986" s="1" t="s">
        <v>69</v>
      </c>
      <c r="Q986" s="1" t="s">
        <v>3415</v>
      </c>
      <c r="R986" s="1" t="s">
        <v>2956</v>
      </c>
      <c r="S986" s="3">
        <v>3</v>
      </c>
      <c r="T986" s="1" t="s">
        <v>96</v>
      </c>
      <c r="U986" s="3">
        <v>276</v>
      </c>
      <c r="V986" s="1" t="s">
        <v>79</v>
      </c>
      <c r="W986" s="5">
        <f>Table1[[#This Row],[Quantity]]*Table1[[#This Row],[Price]]*(1-Table1[[#This Row],[Discount %]]/100)</f>
        <v>198284.4</v>
      </c>
      <c r="X986">
        <f>Table1[[#This Row],[DeliveryDate]]-Table1[[#This Row],[OrderDate]]</f>
        <v>5</v>
      </c>
      <c r="Y986" t="str">
        <f>TEXT(Table1[[#This Row],[OrderDate]],"MMMM")</f>
        <v>October</v>
      </c>
      <c r="Z986" s="5">
        <f>YEAR(Table1[[#This Row],[OrderDate]])</f>
        <v>2024</v>
      </c>
    </row>
    <row r="987" spans="1:26" x14ac:dyDescent="0.3">
      <c r="A987" s="1" t="s">
        <v>2957</v>
      </c>
      <c r="B987" t="s">
        <v>333</v>
      </c>
      <c r="C987" s="3">
        <v>21</v>
      </c>
      <c r="D987" s="1" t="s">
        <v>24</v>
      </c>
      <c r="E987" s="1" t="s">
        <v>131</v>
      </c>
      <c r="F987" s="1" t="s">
        <v>26</v>
      </c>
      <c r="G987" s="4">
        <v>45256</v>
      </c>
      <c r="H987" s="4">
        <v>45262</v>
      </c>
      <c r="I987" s="1" t="s">
        <v>93</v>
      </c>
      <c r="J987" s="1" t="s">
        <v>44</v>
      </c>
      <c r="K987" s="3">
        <v>2</v>
      </c>
      <c r="L987" s="2">
        <v>39783</v>
      </c>
      <c r="M987" s="3">
        <v>0</v>
      </c>
      <c r="N987" s="1" t="s">
        <v>45</v>
      </c>
      <c r="O987" s="1" t="s">
        <v>57</v>
      </c>
      <c r="P987" s="1" t="s">
        <v>174</v>
      </c>
      <c r="Q987" s="1" t="s">
        <v>336</v>
      </c>
      <c r="R987" s="1" t="s">
        <v>2959</v>
      </c>
      <c r="S987" s="3">
        <v>4</v>
      </c>
      <c r="T987" s="1" t="s">
        <v>96</v>
      </c>
      <c r="U987" s="3">
        <v>144</v>
      </c>
      <c r="V987" s="1" t="s">
        <v>79</v>
      </c>
      <c r="W987" s="5">
        <f>Table1[[#This Row],[Quantity]]*Table1[[#This Row],[Price]]*(1-Table1[[#This Row],[Discount %]]/100)</f>
        <v>79566</v>
      </c>
      <c r="X987">
        <f>Table1[[#This Row],[DeliveryDate]]-Table1[[#This Row],[OrderDate]]</f>
        <v>6</v>
      </c>
      <c r="Y987" t="str">
        <f>TEXT(Table1[[#This Row],[OrderDate]],"MMMM")</f>
        <v>November</v>
      </c>
      <c r="Z987" s="5">
        <f>YEAR(Table1[[#This Row],[OrderDate]])</f>
        <v>2023</v>
      </c>
    </row>
    <row r="988" spans="1:26" x14ac:dyDescent="0.3">
      <c r="A988" s="1" t="s">
        <v>2960</v>
      </c>
      <c r="B988" t="s">
        <v>309</v>
      </c>
      <c r="C988" s="3">
        <v>25</v>
      </c>
      <c r="D988" s="1" t="s">
        <v>24</v>
      </c>
      <c r="E988" s="1" t="s">
        <v>99</v>
      </c>
      <c r="F988" s="1" t="s">
        <v>91</v>
      </c>
      <c r="G988" s="4">
        <v>45347</v>
      </c>
      <c r="H988" s="4">
        <v>45357</v>
      </c>
      <c r="I988" s="1" t="s">
        <v>85</v>
      </c>
      <c r="J988" s="1" t="s">
        <v>44</v>
      </c>
      <c r="K988" s="3">
        <v>4</v>
      </c>
      <c r="L988" s="2">
        <v>23800</v>
      </c>
      <c r="M988" s="3">
        <v>15</v>
      </c>
      <c r="N988" s="1" t="s">
        <v>166</v>
      </c>
      <c r="O988" s="1" t="s">
        <v>57</v>
      </c>
      <c r="P988" s="1" t="s">
        <v>33</v>
      </c>
      <c r="Q988" s="1" t="s">
        <v>3415</v>
      </c>
      <c r="R988" s="1" t="s">
        <v>2961</v>
      </c>
      <c r="S988" s="3">
        <v>2</v>
      </c>
      <c r="T988" s="1" t="s">
        <v>36</v>
      </c>
      <c r="U988" s="3">
        <v>260</v>
      </c>
      <c r="V988" s="1" t="s">
        <v>79</v>
      </c>
      <c r="W988" s="5">
        <f>Table1[[#This Row],[Quantity]]*Table1[[#This Row],[Price]]*(1-Table1[[#This Row],[Discount %]]/100)</f>
        <v>80920</v>
      </c>
      <c r="X988">
        <f>Table1[[#This Row],[DeliveryDate]]-Table1[[#This Row],[OrderDate]]</f>
        <v>10</v>
      </c>
      <c r="Y988" t="str">
        <f>TEXT(Table1[[#This Row],[OrderDate]],"MMMM")</f>
        <v>February</v>
      </c>
      <c r="Z988" s="5">
        <f>YEAR(Table1[[#This Row],[OrderDate]])</f>
        <v>2024</v>
      </c>
    </row>
    <row r="989" spans="1:26" x14ac:dyDescent="0.3">
      <c r="A989" s="1" t="s">
        <v>2962</v>
      </c>
      <c r="B989" t="s">
        <v>946</v>
      </c>
      <c r="C989" s="3">
        <v>42</v>
      </c>
      <c r="D989" s="1" t="s">
        <v>51</v>
      </c>
      <c r="E989" s="1" t="s">
        <v>40</v>
      </c>
      <c r="F989" s="1" t="s">
        <v>26</v>
      </c>
      <c r="G989" s="4">
        <v>45442</v>
      </c>
      <c r="H989" s="4">
        <v>45452</v>
      </c>
      <c r="I989" s="1" t="s">
        <v>77</v>
      </c>
      <c r="J989" s="1" t="s">
        <v>30</v>
      </c>
      <c r="K989" s="3">
        <v>2</v>
      </c>
      <c r="L989" s="2">
        <v>5445</v>
      </c>
      <c r="M989" s="3">
        <v>10</v>
      </c>
      <c r="N989" s="1" t="s">
        <v>31</v>
      </c>
      <c r="O989" s="1" t="s">
        <v>46</v>
      </c>
      <c r="P989" s="1" t="s">
        <v>33</v>
      </c>
      <c r="Q989" s="1" t="s">
        <v>3415</v>
      </c>
      <c r="R989" s="1" t="s">
        <v>2963</v>
      </c>
      <c r="S989" s="3">
        <v>3</v>
      </c>
      <c r="T989" s="1" t="s">
        <v>96</v>
      </c>
      <c r="U989" s="3">
        <v>63</v>
      </c>
      <c r="V989" s="1" t="s">
        <v>37</v>
      </c>
      <c r="W989" s="5">
        <f>Table1[[#This Row],[Quantity]]*Table1[[#This Row],[Price]]*(1-Table1[[#This Row],[Discount %]]/100)</f>
        <v>9801</v>
      </c>
      <c r="X989">
        <f>Table1[[#This Row],[DeliveryDate]]-Table1[[#This Row],[OrderDate]]</f>
        <v>10</v>
      </c>
      <c r="Y989" t="str">
        <f>TEXT(Table1[[#This Row],[OrderDate]],"MMMM")</f>
        <v>May</v>
      </c>
      <c r="Z989" s="5">
        <f>YEAR(Table1[[#This Row],[OrderDate]])</f>
        <v>2024</v>
      </c>
    </row>
    <row r="990" spans="1:26" x14ac:dyDescent="0.3">
      <c r="A990" s="1" t="s">
        <v>2964</v>
      </c>
      <c r="B990" t="s">
        <v>555</v>
      </c>
      <c r="C990" s="3">
        <v>26</v>
      </c>
      <c r="D990" s="1" t="s">
        <v>24</v>
      </c>
      <c r="E990" s="1" t="s">
        <v>40</v>
      </c>
      <c r="F990" s="1" t="s">
        <v>82</v>
      </c>
      <c r="G990" s="4">
        <v>45291</v>
      </c>
      <c r="H990" s="4">
        <v>45293</v>
      </c>
      <c r="I990" s="1" t="s">
        <v>43</v>
      </c>
      <c r="J990" s="1" t="s">
        <v>30</v>
      </c>
      <c r="K990" s="3">
        <v>2</v>
      </c>
      <c r="L990" s="2">
        <v>32271</v>
      </c>
      <c r="M990" s="3">
        <v>15</v>
      </c>
      <c r="N990" s="1" t="s">
        <v>45</v>
      </c>
      <c r="O990" s="1" t="s">
        <v>173</v>
      </c>
      <c r="P990" s="1" t="s">
        <v>174</v>
      </c>
      <c r="Q990" s="1" t="s">
        <v>558</v>
      </c>
      <c r="R990" s="1" t="s">
        <v>2966</v>
      </c>
      <c r="S990" s="3">
        <v>3</v>
      </c>
      <c r="T990" s="1" t="s">
        <v>36</v>
      </c>
      <c r="U990" s="3">
        <v>302</v>
      </c>
      <c r="V990" s="1" t="s">
        <v>79</v>
      </c>
      <c r="W990" s="5">
        <f>Table1[[#This Row],[Quantity]]*Table1[[#This Row],[Price]]*(1-Table1[[#This Row],[Discount %]]/100)</f>
        <v>54860.7</v>
      </c>
      <c r="X990">
        <f>Table1[[#This Row],[DeliveryDate]]-Table1[[#This Row],[OrderDate]]</f>
        <v>2</v>
      </c>
      <c r="Y990" t="str">
        <f>TEXT(Table1[[#This Row],[OrderDate]],"MMMM")</f>
        <v>December</v>
      </c>
      <c r="Z990" s="5">
        <f>YEAR(Table1[[#This Row],[OrderDate]])</f>
        <v>2023</v>
      </c>
    </row>
    <row r="991" spans="1:26" x14ac:dyDescent="0.3">
      <c r="A991" s="1" t="s">
        <v>2967</v>
      </c>
      <c r="B991" t="s">
        <v>503</v>
      </c>
      <c r="C991" s="3">
        <v>30</v>
      </c>
      <c r="D991" s="1" t="s">
        <v>24</v>
      </c>
      <c r="E991" s="1" t="s">
        <v>131</v>
      </c>
      <c r="F991" s="1" t="s">
        <v>82</v>
      </c>
      <c r="G991" s="4">
        <v>45277</v>
      </c>
      <c r="H991" s="4">
        <v>45284</v>
      </c>
      <c r="I991" s="1" t="s">
        <v>43</v>
      </c>
      <c r="J991" s="1" t="s">
        <v>30</v>
      </c>
      <c r="K991" s="3">
        <v>4</v>
      </c>
      <c r="L991" s="2">
        <v>52503</v>
      </c>
      <c r="M991" s="3">
        <v>15</v>
      </c>
      <c r="N991" s="1" t="s">
        <v>166</v>
      </c>
      <c r="O991" s="1" t="s">
        <v>109</v>
      </c>
      <c r="P991" s="1" t="s">
        <v>33</v>
      </c>
      <c r="Q991" s="1" t="s">
        <v>506</v>
      </c>
      <c r="R991" s="1" t="s">
        <v>2968</v>
      </c>
      <c r="S991" s="3">
        <v>5</v>
      </c>
      <c r="T991" s="1" t="s">
        <v>61</v>
      </c>
      <c r="U991" s="3">
        <v>76</v>
      </c>
      <c r="V991" s="1" t="s">
        <v>79</v>
      </c>
      <c r="W991" s="5">
        <f>Table1[[#This Row],[Quantity]]*Table1[[#This Row],[Price]]*(1-Table1[[#This Row],[Discount %]]/100)</f>
        <v>178510.19999999998</v>
      </c>
      <c r="X991">
        <f>Table1[[#This Row],[DeliveryDate]]-Table1[[#This Row],[OrderDate]]</f>
        <v>7</v>
      </c>
      <c r="Y991" t="str">
        <f>TEXT(Table1[[#This Row],[OrderDate]],"MMMM")</f>
        <v>December</v>
      </c>
      <c r="Z991" s="5">
        <f>YEAR(Table1[[#This Row],[OrderDate]])</f>
        <v>2023</v>
      </c>
    </row>
    <row r="992" spans="1:26" x14ac:dyDescent="0.3">
      <c r="A992" s="1" t="s">
        <v>2969</v>
      </c>
      <c r="B992" t="s">
        <v>611</v>
      </c>
      <c r="C992" s="3">
        <v>52</v>
      </c>
      <c r="D992" s="1" t="s">
        <v>51</v>
      </c>
      <c r="E992" s="1" t="s">
        <v>142</v>
      </c>
      <c r="F992" s="1" t="s">
        <v>26</v>
      </c>
      <c r="G992" s="4">
        <v>45210</v>
      </c>
      <c r="H992" s="4">
        <v>45216</v>
      </c>
      <c r="I992" s="1" t="s">
        <v>43</v>
      </c>
      <c r="J992" s="1" t="s">
        <v>44</v>
      </c>
      <c r="K992" s="3">
        <v>3</v>
      </c>
      <c r="L992" s="2">
        <v>65776</v>
      </c>
      <c r="M992" s="3">
        <v>0</v>
      </c>
      <c r="N992" s="1" t="s">
        <v>166</v>
      </c>
      <c r="O992" s="1" t="s">
        <v>86</v>
      </c>
      <c r="P992" s="1" t="s">
        <v>69</v>
      </c>
      <c r="Q992" s="1" t="s">
        <v>614</v>
      </c>
      <c r="R992" s="1" t="s">
        <v>2970</v>
      </c>
      <c r="S992" s="3">
        <v>4</v>
      </c>
      <c r="T992" s="1" t="s">
        <v>36</v>
      </c>
      <c r="U992" s="3">
        <v>387</v>
      </c>
      <c r="V992" s="1" t="s">
        <v>37</v>
      </c>
      <c r="W992" s="5">
        <f>Table1[[#This Row],[Quantity]]*Table1[[#This Row],[Price]]*(1-Table1[[#This Row],[Discount %]]/100)</f>
        <v>197328</v>
      </c>
      <c r="X992">
        <f>Table1[[#This Row],[DeliveryDate]]-Table1[[#This Row],[OrderDate]]</f>
        <v>6</v>
      </c>
      <c r="Y992" t="str">
        <f>TEXT(Table1[[#This Row],[OrderDate]],"MMMM")</f>
        <v>October</v>
      </c>
      <c r="Z992" s="5">
        <f>YEAR(Table1[[#This Row],[OrderDate]])</f>
        <v>2023</v>
      </c>
    </row>
    <row r="993" spans="1:26" x14ac:dyDescent="0.3">
      <c r="A993" s="1" t="s">
        <v>2971</v>
      </c>
      <c r="B993" t="s">
        <v>198</v>
      </c>
      <c r="C993" s="3">
        <v>43</v>
      </c>
      <c r="D993" s="1" t="s">
        <v>24</v>
      </c>
      <c r="E993" s="1" t="s">
        <v>26</v>
      </c>
      <c r="F993" s="1" t="s">
        <v>26</v>
      </c>
      <c r="G993" s="4">
        <v>45060</v>
      </c>
      <c r="H993" s="4">
        <v>45064</v>
      </c>
      <c r="I993" s="1" t="s">
        <v>77</v>
      </c>
      <c r="J993" s="1" t="s">
        <v>44</v>
      </c>
      <c r="K993" s="3">
        <v>2</v>
      </c>
      <c r="L993" s="2">
        <v>73327</v>
      </c>
      <c r="M993" s="3">
        <v>15</v>
      </c>
      <c r="N993" s="1" t="s">
        <v>56</v>
      </c>
      <c r="O993" s="1" t="s">
        <v>133</v>
      </c>
      <c r="P993" s="1" t="s">
        <v>58</v>
      </c>
      <c r="Q993" s="1" t="s">
        <v>201</v>
      </c>
      <c r="R993" s="1" t="s">
        <v>2972</v>
      </c>
      <c r="S993" s="3">
        <v>4</v>
      </c>
      <c r="T993" s="1" t="s">
        <v>96</v>
      </c>
      <c r="U993" s="3">
        <v>446</v>
      </c>
      <c r="V993" s="1" t="s">
        <v>37</v>
      </c>
      <c r="W993" s="5">
        <f>Table1[[#This Row],[Quantity]]*Table1[[#This Row],[Price]]*(1-Table1[[#This Row],[Discount %]]/100)</f>
        <v>124655.9</v>
      </c>
      <c r="X993">
        <f>Table1[[#This Row],[DeliveryDate]]-Table1[[#This Row],[OrderDate]]</f>
        <v>4</v>
      </c>
      <c r="Y993" t="str">
        <f>TEXT(Table1[[#This Row],[OrderDate]],"MMMM")</f>
        <v>May</v>
      </c>
      <c r="Z993" s="5">
        <f>YEAR(Table1[[#This Row],[OrderDate]])</f>
        <v>2023</v>
      </c>
    </row>
    <row r="994" spans="1:26" x14ac:dyDescent="0.3">
      <c r="A994" s="1" t="s">
        <v>2973</v>
      </c>
      <c r="B994" t="s">
        <v>424</v>
      </c>
      <c r="C994" s="3">
        <v>57</v>
      </c>
      <c r="D994" s="1" t="s">
        <v>24</v>
      </c>
      <c r="E994" s="1" t="s">
        <v>26</v>
      </c>
      <c r="F994" s="1" t="s">
        <v>65</v>
      </c>
      <c r="G994" s="4">
        <v>45325</v>
      </c>
      <c r="H994" s="4">
        <v>45333</v>
      </c>
      <c r="I994" s="1" t="s">
        <v>93</v>
      </c>
      <c r="J994" s="1" t="s">
        <v>30</v>
      </c>
      <c r="K994" s="3">
        <v>4</v>
      </c>
      <c r="L994" s="2">
        <v>63930</v>
      </c>
      <c r="M994" s="3">
        <v>5</v>
      </c>
      <c r="N994" s="1" t="s">
        <v>166</v>
      </c>
      <c r="O994" s="1" t="s">
        <v>281</v>
      </c>
      <c r="P994" s="1" t="s">
        <v>69</v>
      </c>
      <c r="Q994" s="1" t="s">
        <v>427</v>
      </c>
      <c r="R994" s="1" t="s">
        <v>2974</v>
      </c>
      <c r="S994" s="3">
        <v>4</v>
      </c>
      <c r="T994" s="1" t="s">
        <v>36</v>
      </c>
      <c r="U994" s="3">
        <v>370</v>
      </c>
      <c r="V994" s="1" t="s">
        <v>62</v>
      </c>
      <c r="W994" s="5">
        <f>Table1[[#This Row],[Quantity]]*Table1[[#This Row],[Price]]*(1-Table1[[#This Row],[Discount %]]/100)</f>
        <v>242934</v>
      </c>
      <c r="X994">
        <f>Table1[[#This Row],[DeliveryDate]]-Table1[[#This Row],[OrderDate]]</f>
        <v>8</v>
      </c>
      <c r="Y994" t="str">
        <f>TEXT(Table1[[#This Row],[OrderDate]],"MMMM")</f>
        <v>February</v>
      </c>
      <c r="Z994" s="5">
        <f>YEAR(Table1[[#This Row],[OrderDate]])</f>
        <v>2024</v>
      </c>
    </row>
    <row r="995" spans="1:26" x14ac:dyDescent="0.3">
      <c r="A995" s="1" t="s">
        <v>2975</v>
      </c>
      <c r="B995" t="s">
        <v>327</v>
      </c>
      <c r="C995" s="3">
        <v>34</v>
      </c>
      <c r="D995" s="1" t="s">
        <v>51</v>
      </c>
      <c r="E995" s="1" t="s">
        <v>142</v>
      </c>
      <c r="F995" s="1" t="s">
        <v>65</v>
      </c>
      <c r="G995" s="4">
        <v>45284</v>
      </c>
      <c r="H995" s="4">
        <v>45290</v>
      </c>
      <c r="I995" s="1" t="s">
        <v>77</v>
      </c>
      <c r="J995" s="1" t="s">
        <v>44</v>
      </c>
      <c r="K995" s="3">
        <v>3</v>
      </c>
      <c r="L995" s="2">
        <v>42109.716287215415</v>
      </c>
      <c r="M995" s="3">
        <v>15</v>
      </c>
      <c r="N995" s="1" t="s">
        <v>31</v>
      </c>
      <c r="O995" s="1" t="s">
        <v>109</v>
      </c>
      <c r="P995" s="1" t="s">
        <v>33</v>
      </c>
      <c r="Q995" s="1" t="s">
        <v>330</v>
      </c>
      <c r="R995" s="1" t="s">
        <v>2976</v>
      </c>
      <c r="S995" s="3">
        <v>2</v>
      </c>
      <c r="T995" s="1" t="s">
        <v>72</v>
      </c>
      <c r="U995" s="3">
        <v>258</v>
      </c>
      <c r="V995" s="1" t="s">
        <v>37</v>
      </c>
      <c r="W995" s="5">
        <f>Table1[[#This Row],[Quantity]]*Table1[[#This Row],[Price]]*(1-Table1[[#This Row],[Discount %]]/100)</f>
        <v>107379.77653239931</v>
      </c>
      <c r="X995">
        <f>Table1[[#This Row],[DeliveryDate]]-Table1[[#This Row],[OrderDate]]</f>
        <v>6</v>
      </c>
      <c r="Y995" t="str">
        <f>TEXT(Table1[[#This Row],[OrderDate]],"MMMM")</f>
        <v>December</v>
      </c>
      <c r="Z995" s="5">
        <f>YEAR(Table1[[#This Row],[OrderDate]])</f>
        <v>2023</v>
      </c>
    </row>
    <row r="996" spans="1:26" x14ac:dyDescent="0.3">
      <c r="A996" s="1" t="s">
        <v>2977</v>
      </c>
      <c r="B996" t="s">
        <v>98</v>
      </c>
      <c r="C996" s="3">
        <v>40</v>
      </c>
      <c r="D996" s="1" t="s">
        <v>24</v>
      </c>
      <c r="E996" s="1" t="s">
        <v>131</v>
      </c>
      <c r="F996" s="1" t="s">
        <v>53</v>
      </c>
      <c r="G996" s="4">
        <v>45449</v>
      </c>
      <c r="H996" s="4">
        <v>45450</v>
      </c>
      <c r="I996" s="1" t="s">
        <v>93</v>
      </c>
      <c r="J996" s="1" t="s">
        <v>30</v>
      </c>
      <c r="K996" s="3">
        <v>1</v>
      </c>
      <c r="L996" s="2">
        <v>44611</v>
      </c>
      <c r="M996" s="3">
        <v>10</v>
      </c>
      <c r="N996" s="1" t="s">
        <v>56</v>
      </c>
      <c r="O996" s="1" t="s">
        <v>133</v>
      </c>
      <c r="P996" s="1" t="s">
        <v>174</v>
      </c>
      <c r="Q996" s="1" t="s">
        <v>103</v>
      </c>
      <c r="R996" s="1" t="s">
        <v>2978</v>
      </c>
      <c r="S996" s="3">
        <v>4</v>
      </c>
      <c r="T996" s="1" t="s">
        <v>61</v>
      </c>
      <c r="U996" s="3">
        <v>379</v>
      </c>
      <c r="V996" s="1" t="s">
        <v>37</v>
      </c>
      <c r="W996" s="5">
        <f>Table1[[#This Row],[Quantity]]*Table1[[#This Row],[Price]]*(1-Table1[[#This Row],[Discount %]]/100)</f>
        <v>40149.9</v>
      </c>
      <c r="X996">
        <f>Table1[[#This Row],[DeliveryDate]]-Table1[[#This Row],[OrderDate]]</f>
        <v>1</v>
      </c>
      <c r="Y996" t="str">
        <f>TEXT(Table1[[#This Row],[OrderDate]],"MMMM")</f>
        <v>June</v>
      </c>
      <c r="Z996" s="5">
        <f>YEAR(Table1[[#This Row],[OrderDate]])</f>
        <v>2024</v>
      </c>
    </row>
    <row r="997" spans="1:26" x14ac:dyDescent="0.3">
      <c r="A997" s="1" t="s">
        <v>2979</v>
      </c>
      <c r="B997" t="s">
        <v>860</v>
      </c>
      <c r="C997" s="3">
        <v>48</v>
      </c>
      <c r="D997" s="1" t="s">
        <v>51</v>
      </c>
      <c r="E997" s="1" t="s">
        <v>25</v>
      </c>
      <c r="F997" s="1" t="s">
        <v>26</v>
      </c>
      <c r="G997" s="4">
        <v>45374</v>
      </c>
      <c r="H997" s="4">
        <v>45377</v>
      </c>
      <c r="I997" s="1" t="s">
        <v>93</v>
      </c>
      <c r="J997" s="1" t="s">
        <v>44</v>
      </c>
      <c r="K997" s="3">
        <v>5</v>
      </c>
      <c r="L997" s="2">
        <v>17119</v>
      </c>
      <c r="M997" s="3">
        <v>5</v>
      </c>
      <c r="N997" s="1" t="s">
        <v>45</v>
      </c>
      <c r="O997" s="1" t="s">
        <v>281</v>
      </c>
      <c r="P997" s="1" t="s">
        <v>69</v>
      </c>
      <c r="Q997" s="1" t="s">
        <v>862</v>
      </c>
      <c r="R997" s="1" t="s">
        <v>2982</v>
      </c>
      <c r="S997" s="3">
        <v>1</v>
      </c>
      <c r="T997" s="1" t="s">
        <v>96</v>
      </c>
      <c r="U997" s="3">
        <v>262</v>
      </c>
      <c r="V997" s="1" t="s">
        <v>37</v>
      </c>
      <c r="W997" s="5">
        <f>Table1[[#This Row],[Quantity]]*Table1[[#This Row],[Price]]*(1-Table1[[#This Row],[Discount %]]/100)</f>
        <v>81315.25</v>
      </c>
      <c r="X997">
        <f>Table1[[#This Row],[DeliveryDate]]-Table1[[#This Row],[OrderDate]]</f>
        <v>3</v>
      </c>
      <c r="Y997" t="str">
        <f>TEXT(Table1[[#This Row],[OrderDate]],"MMMM")</f>
        <v>March</v>
      </c>
      <c r="Z997" s="5">
        <f>YEAR(Table1[[#This Row],[OrderDate]])</f>
        <v>2024</v>
      </c>
    </row>
    <row r="998" spans="1:26" x14ac:dyDescent="0.3">
      <c r="A998" s="1" t="s">
        <v>2983</v>
      </c>
      <c r="B998" t="s">
        <v>321</v>
      </c>
      <c r="C998" s="3">
        <v>35</v>
      </c>
      <c r="D998" s="1" t="s">
        <v>51</v>
      </c>
      <c r="E998" s="1" t="s">
        <v>40</v>
      </c>
      <c r="F998" s="1" t="s">
        <v>82</v>
      </c>
      <c r="G998" s="4">
        <v>45201</v>
      </c>
      <c r="H998" s="4">
        <v>45209</v>
      </c>
      <c r="I998" s="1" t="s">
        <v>85</v>
      </c>
      <c r="J998" s="1" t="s">
        <v>30</v>
      </c>
      <c r="K998" s="3">
        <v>3</v>
      </c>
      <c r="L998" s="2">
        <v>18921</v>
      </c>
      <c r="M998" s="3">
        <v>0</v>
      </c>
      <c r="N998" s="1" t="s">
        <v>31</v>
      </c>
      <c r="O998" s="1" t="s">
        <v>109</v>
      </c>
      <c r="P998" s="1" t="s">
        <v>33</v>
      </c>
      <c r="Q998" s="1" t="s">
        <v>324</v>
      </c>
      <c r="R998" s="1" t="s">
        <v>2984</v>
      </c>
      <c r="S998" s="3">
        <v>2</v>
      </c>
      <c r="T998" s="1" t="s">
        <v>61</v>
      </c>
      <c r="U998" s="3">
        <v>475</v>
      </c>
      <c r="V998" s="1" t="s">
        <v>62</v>
      </c>
      <c r="W998" s="5">
        <f>Table1[[#This Row],[Quantity]]*Table1[[#This Row],[Price]]*(1-Table1[[#This Row],[Discount %]]/100)</f>
        <v>56763</v>
      </c>
      <c r="X998">
        <f>Table1[[#This Row],[DeliveryDate]]-Table1[[#This Row],[OrderDate]]</f>
        <v>8</v>
      </c>
      <c r="Y998" t="str">
        <f>TEXT(Table1[[#This Row],[OrderDate]],"MMMM")</f>
        <v>October</v>
      </c>
      <c r="Z998" s="5">
        <f>YEAR(Table1[[#This Row],[OrderDate]])</f>
        <v>2023</v>
      </c>
    </row>
    <row r="999" spans="1:26" x14ac:dyDescent="0.3">
      <c r="A999" s="1" t="s">
        <v>2985</v>
      </c>
      <c r="B999" t="s">
        <v>90</v>
      </c>
      <c r="C999" s="3">
        <v>19</v>
      </c>
      <c r="D999" s="1" t="s">
        <v>24</v>
      </c>
      <c r="E999" s="1" t="s">
        <v>131</v>
      </c>
      <c r="F999" s="1" t="s">
        <v>82</v>
      </c>
      <c r="G999" s="4">
        <v>44950</v>
      </c>
      <c r="H999" s="4">
        <v>44958</v>
      </c>
      <c r="I999" s="1" t="s">
        <v>93</v>
      </c>
      <c r="J999" s="1" t="s">
        <v>44</v>
      </c>
      <c r="K999" s="3">
        <v>1</v>
      </c>
      <c r="L999" s="2">
        <v>26381</v>
      </c>
      <c r="M999" s="3">
        <v>5</v>
      </c>
      <c r="N999" s="1" t="s">
        <v>166</v>
      </c>
      <c r="O999" s="1" t="s">
        <v>109</v>
      </c>
      <c r="P999" s="1" t="s">
        <v>69</v>
      </c>
      <c r="Q999" s="1" t="s">
        <v>94</v>
      </c>
      <c r="R999" s="1" t="s">
        <v>2986</v>
      </c>
      <c r="S999" s="3">
        <v>1</v>
      </c>
      <c r="T999" s="1" t="s">
        <v>61</v>
      </c>
      <c r="U999" s="3">
        <v>402</v>
      </c>
      <c r="V999" s="1" t="s">
        <v>79</v>
      </c>
      <c r="W999" s="5">
        <f>Table1[[#This Row],[Quantity]]*Table1[[#This Row],[Price]]*(1-Table1[[#This Row],[Discount %]]/100)</f>
        <v>25061.949999999997</v>
      </c>
      <c r="X999">
        <f>Table1[[#This Row],[DeliveryDate]]-Table1[[#This Row],[OrderDate]]</f>
        <v>8</v>
      </c>
      <c r="Y999" t="str">
        <f>TEXT(Table1[[#This Row],[OrderDate]],"MMMM")</f>
        <v>January</v>
      </c>
      <c r="Z999" s="5">
        <f>YEAR(Table1[[#This Row],[OrderDate]])</f>
        <v>2023</v>
      </c>
    </row>
    <row r="1000" spans="1:26" x14ac:dyDescent="0.3">
      <c r="A1000" s="1" t="s">
        <v>2987</v>
      </c>
      <c r="B1000" t="s">
        <v>684</v>
      </c>
      <c r="C1000" s="3">
        <v>37</v>
      </c>
      <c r="D1000" s="1" t="s">
        <v>51</v>
      </c>
      <c r="E1000" s="1" t="s">
        <v>229</v>
      </c>
      <c r="F1000" s="1" t="s">
        <v>82</v>
      </c>
      <c r="G1000" s="4">
        <v>45166</v>
      </c>
      <c r="H1000" s="4">
        <v>45167</v>
      </c>
      <c r="I1000" s="1" t="s">
        <v>29</v>
      </c>
      <c r="J1000" s="1" t="s">
        <v>30</v>
      </c>
      <c r="K1000" s="3">
        <v>1</v>
      </c>
      <c r="L1000" s="2">
        <v>42109.716287215415</v>
      </c>
      <c r="M1000" s="3">
        <v>15</v>
      </c>
      <c r="N1000" s="1" t="s">
        <v>166</v>
      </c>
      <c r="O1000" s="1" t="s">
        <v>32</v>
      </c>
      <c r="P1000" s="1" t="s">
        <v>174</v>
      </c>
      <c r="Q1000" s="1" t="s">
        <v>785</v>
      </c>
      <c r="R1000" s="1" t="s">
        <v>2988</v>
      </c>
      <c r="S1000" s="3">
        <v>4</v>
      </c>
      <c r="T1000" s="1" t="s">
        <v>61</v>
      </c>
      <c r="U1000" s="3">
        <v>148</v>
      </c>
      <c r="V1000" s="1" t="s">
        <v>62</v>
      </c>
      <c r="W1000" s="5">
        <f>Table1[[#This Row],[Quantity]]*Table1[[#This Row],[Price]]*(1-Table1[[#This Row],[Discount %]]/100)</f>
        <v>35793.258844133103</v>
      </c>
      <c r="X1000">
        <f>Table1[[#This Row],[DeliveryDate]]-Table1[[#This Row],[OrderDate]]</f>
        <v>1</v>
      </c>
      <c r="Y1000" t="str">
        <f>TEXT(Table1[[#This Row],[OrderDate]],"MMMM")</f>
        <v>August</v>
      </c>
      <c r="Z1000" s="5">
        <f>YEAR(Table1[[#This Row],[OrderDate]])</f>
        <v>2023</v>
      </c>
    </row>
    <row r="1001" spans="1:26" x14ac:dyDescent="0.3">
      <c r="A1001" s="1" t="s">
        <v>2989</v>
      </c>
      <c r="B1001" t="s">
        <v>222</v>
      </c>
      <c r="C1001" s="3">
        <v>38</v>
      </c>
      <c r="D1001" s="1" t="s">
        <v>51</v>
      </c>
      <c r="E1001" s="1" t="s">
        <v>25</v>
      </c>
      <c r="F1001" s="1" t="s">
        <v>91</v>
      </c>
      <c r="G1001" s="4">
        <v>45542</v>
      </c>
      <c r="H1001" s="4">
        <v>45546</v>
      </c>
      <c r="I1001" s="1" t="s">
        <v>43</v>
      </c>
      <c r="J1001" s="1" t="s">
        <v>44</v>
      </c>
      <c r="K1001" s="3">
        <v>2</v>
      </c>
      <c r="L1001" s="2">
        <v>36824</v>
      </c>
      <c r="M1001" s="3">
        <v>0</v>
      </c>
      <c r="N1001" s="1" t="s">
        <v>166</v>
      </c>
      <c r="O1001" s="1" t="s">
        <v>281</v>
      </c>
      <c r="P1001" s="1" t="s">
        <v>174</v>
      </c>
      <c r="Q1001" s="1" t="s">
        <v>225</v>
      </c>
      <c r="R1001" s="1" t="s">
        <v>2990</v>
      </c>
      <c r="S1001" s="3">
        <v>2</v>
      </c>
      <c r="T1001" s="1" t="s">
        <v>61</v>
      </c>
      <c r="U1001" s="3">
        <v>192</v>
      </c>
      <c r="V1001" s="1" t="s">
        <v>79</v>
      </c>
      <c r="W1001" s="5">
        <f>Table1[[#This Row],[Quantity]]*Table1[[#This Row],[Price]]*(1-Table1[[#This Row],[Discount %]]/100)</f>
        <v>73648</v>
      </c>
      <c r="X1001">
        <f>Table1[[#This Row],[DeliveryDate]]-Table1[[#This Row],[OrderDate]]</f>
        <v>4</v>
      </c>
      <c r="Y1001" t="str">
        <f>TEXT(Table1[[#This Row],[OrderDate]],"MMMM")</f>
        <v>September</v>
      </c>
      <c r="Z1001" s="5">
        <f>YEAR(Table1[[#This Row],[OrderDate]])</f>
        <v>2024</v>
      </c>
    </row>
    <row r="1002" spans="1:26" x14ac:dyDescent="0.3">
      <c r="A1002" s="1" t="s">
        <v>2991</v>
      </c>
      <c r="B1002" t="s">
        <v>424</v>
      </c>
      <c r="C1002" s="3">
        <v>20</v>
      </c>
      <c r="D1002" s="1" t="s">
        <v>51</v>
      </c>
      <c r="E1002" s="1" t="s">
        <v>40</v>
      </c>
      <c r="F1002" s="1" t="s">
        <v>91</v>
      </c>
      <c r="G1002" s="4">
        <v>45297</v>
      </c>
      <c r="H1002" s="4">
        <v>45301</v>
      </c>
      <c r="I1002" s="1" t="s">
        <v>29</v>
      </c>
      <c r="J1002" s="1" t="s">
        <v>30</v>
      </c>
      <c r="K1002" s="3">
        <v>2</v>
      </c>
      <c r="L1002" s="2">
        <v>12627</v>
      </c>
      <c r="M1002" s="3">
        <v>0</v>
      </c>
      <c r="N1002" s="1" t="s">
        <v>56</v>
      </c>
      <c r="O1002" s="1" t="s">
        <v>68</v>
      </c>
      <c r="P1002" s="1" t="s">
        <v>33</v>
      </c>
      <c r="Q1002" s="1" t="s">
        <v>427</v>
      </c>
      <c r="R1002" s="1" t="s">
        <v>2992</v>
      </c>
      <c r="S1002" s="3">
        <v>4</v>
      </c>
      <c r="T1002" s="1" t="s">
        <v>72</v>
      </c>
      <c r="U1002" s="3">
        <v>398</v>
      </c>
      <c r="V1002" s="1" t="s">
        <v>62</v>
      </c>
      <c r="W1002" s="5">
        <f>Table1[[#This Row],[Quantity]]*Table1[[#This Row],[Price]]*(1-Table1[[#This Row],[Discount %]]/100)</f>
        <v>25254</v>
      </c>
      <c r="X1002">
        <f>Table1[[#This Row],[DeliveryDate]]-Table1[[#This Row],[OrderDate]]</f>
        <v>4</v>
      </c>
      <c r="Y1002" t="str">
        <f>TEXT(Table1[[#This Row],[OrderDate]],"MMMM")</f>
        <v>January</v>
      </c>
      <c r="Z1002" s="5">
        <f>YEAR(Table1[[#This Row],[OrderDate]])</f>
        <v>2024</v>
      </c>
    </row>
    <row r="1003" spans="1:26" x14ac:dyDescent="0.3">
      <c r="A1003" s="1" t="s">
        <v>2993</v>
      </c>
      <c r="B1003" t="s">
        <v>1690</v>
      </c>
      <c r="C1003" s="3">
        <v>50</v>
      </c>
      <c r="D1003" s="1" t="s">
        <v>24</v>
      </c>
      <c r="E1003" s="1" t="s">
        <v>131</v>
      </c>
      <c r="F1003" s="1" t="s">
        <v>26</v>
      </c>
      <c r="G1003" s="4">
        <v>44966</v>
      </c>
      <c r="H1003" s="4">
        <v>44975</v>
      </c>
      <c r="I1003" s="1" t="s">
        <v>93</v>
      </c>
      <c r="J1003" s="1" t="s">
        <v>44</v>
      </c>
      <c r="K1003" s="3">
        <v>2</v>
      </c>
      <c r="L1003" s="2">
        <v>66521</v>
      </c>
      <c r="M1003" s="3">
        <v>10</v>
      </c>
      <c r="N1003" s="1" t="s">
        <v>56</v>
      </c>
      <c r="O1003" s="1" t="s">
        <v>281</v>
      </c>
      <c r="P1003" s="1" t="s">
        <v>33</v>
      </c>
      <c r="Q1003" s="1" t="s">
        <v>87</v>
      </c>
      <c r="R1003" s="1" t="s">
        <v>2994</v>
      </c>
      <c r="S1003" s="3">
        <v>2</v>
      </c>
      <c r="T1003" s="1" t="s">
        <v>61</v>
      </c>
      <c r="U1003" s="3">
        <v>340</v>
      </c>
      <c r="V1003" s="1" t="s">
        <v>62</v>
      </c>
      <c r="W1003" s="5">
        <f>Table1[[#This Row],[Quantity]]*Table1[[#This Row],[Price]]*(1-Table1[[#This Row],[Discount %]]/100)</f>
        <v>119737.8</v>
      </c>
      <c r="X1003">
        <f>Table1[[#This Row],[DeliveryDate]]-Table1[[#This Row],[OrderDate]]</f>
        <v>9</v>
      </c>
      <c r="Y1003" t="str">
        <f>TEXT(Table1[[#This Row],[OrderDate]],"MMMM")</f>
        <v>February</v>
      </c>
      <c r="Z1003" s="5">
        <f>YEAR(Table1[[#This Row],[OrderDate]])</f>
        <v>2023</v>
      </c>
    </row>
    <row r="1004" spans="1:26" x14ac:dyDescent="0.3">
      <c r="A1004" s="1" t="s">
        <v>2995</v>
      </c>
      <c r="B1004" t="s">
        <v>50</v>
      </c>
      <c r="C1004" s="3">
        <v>20</v>
      </c>
      <c r="D1004" s="1" t="s">
        <v>51</v>
      </c>
      <c r="E1004" s="1" t="s">
        <v>131</v>
      </c>
      <c r="F1004" s="1" t="s">
        <v>26</v>
      </c>
      <c r="G1004" s="4">
        <v>44983</v>
      </c>
      <c r="H1004" s="4">
        <v>44984</v>
      </c>
      <c r="I1004" s="1" t="s">
        <v>77</v>
      </c>
      <c r="J1004" s="1" t="s">
        <v>44</v>
      </c>
      <c r="K1004" s="3">
        <v>2</v>
      </c>
      <c r="L1004" s="2">
        <v>59196</v>
      </c>
      <c r="M1004" s="3">
        <v>10</v>
      </c>
      <c r="N1004" s="1" t="s">
        <v>56</v>
      </c>
      <c r="O1004" s="1" t="s">
        <v>68</v>
      </c>
      <c r="P1004" s="1" t="s">
        <v>58</v>
      </c>
      <c r="Q1004" s="1" t="s">
        <v>59</v>
      </c>
      <c r="R1004" s="1" t="s">
        <v>2996</v>
      </c>
      <c r="S1004" s="3">
        <v>5</v>
      </c>
      <c r="T1004" s="1" t="s">
        <v>61</v>
      </c>
      <c r="U1004" s="3">
        <v>425</v>
      </c>
      <c r="V1004" s="1" t="s">
        <v>62</v>
      </c>
      <c r="W1004" s="5">
        <f>Table1[[#This Row],[Quantity]]*Table1[[#This Row],[Price]]*(1-Table1[[#This Row],[Discount %]]/100)</f>
        <v>106552.8</v>
      </c>
      <c r="X1004">
        <f>Table1[[#This Row],[DeliveryDate]]-Table1[[#This Row],[OrderDate]]</f>
        <v>1</v>
      </c>
      <c r="Y1004" t="str">
        <f>TEXT(Table1[[#This Row],[OrderDate]],"MMMM")</f>
        <v>February</v>
      </c>
      <c r="Z1004" s="5">
        <f>YEAR(Table1[[#This Row],[OrderDate]])</f>
        <v>2023</v>
      </c>
    </row>
    <row r="1005" spans="1:26" x14ac:dyDescent="0.3">
      <c r="A1005" s="1" t="s">
        <v>2997</v>
      </c>
      <c r="B1005" t="s">
        <v>1876</v>
      </c>
      <c r="C1005" s="3">
        <v>39</v>
      </c>
      <c r="D1005" s="1" t="s">
        <v>24</v>
      </c>
      <c r="E1005" s="1" t="s">
        <v>25</v>
      </c>
      <c r="F1005" s="1" t="s">
        <v>65</v>
      </c>
      <c r="G1005" s="4">
        <v>45420</v>
      </c>
      <c r="H1005" s="4">
        <v>45427</v>
      </c>
      <c r="I1005" s="1" t="s">
        <v>77</v>
      </c>
      <c r="J1005" s="1" t="s">
        <v>44</v>
      </c>
      <c r="K1005" s="3">
        <v>3</v>
      </c>
      <c r="L1005" s="2">
        <v>76351</v>
      </c>
      <c r="M1005" s="3">
        <v>0</v>
      </c>
      <c r="N1005" s="1" t="s">
        <v>166</v>
      </c>
      <c r="O1005" s="1" t="s">
        <v>173</v>
      </c>
      <c r="P1005" s="1" t="s">
        <v>69</v>
      </c>
      <c r="Q1005" s="1" t="s">
        <v>1427</v>
      </c>
      <c r="R1005" s="1" t="s">
        <v>2998</v>
      </c>
      <c r="S1005" s="3">
        <v>5</v>
      </c>
      <c r="T1005" s="1" t="s">
        <v>61</v>
      </c>
      <c r="U1005" s="3">
        <v>72</v>
      </c>
      <c r="V1005" s="1" t="s">
        <v>37</v>
      </c>
      <c r="W1005" s="5">
        <f>Table1[[#This Row],[Quantity]]*Table1[[#This Row],[Price]]*(1-Table1[[#This Row],[Discount %]]/100)</f>
        <v>229053</v>
      </c>
      <c r="X1005">
        <f>Table1[[#This Row],[DeliveryDate]]-Table1[[#This Row],[OrderDate]]</f>
        <v>7</v>
      </c>
      <c r="Y1005" t="str">
        <f>TEXT(Table1[[#This Row],[OrderDate]],"MMMM")</f>
        <v>May</v>
      </c>
      <c r="Z1005" s="5">
        <f>YEAR(Table1[[#This Row],[OrderDate]])</f>
        <v>2024</v>
      </c>
    </row>
    <row r="1006" spans="1:26" x14ac:dyDescent="0.3">
      <c r="A1006" s="1" t="s">
        <v>2999</v>
      </c>
      <c r="B1006" t="s">
        <v>156</v>
      </c>
      <c r="C1006" s="3">
        <v>20</v>
      </c>
      <c r="D1006" s="1" t="s">
        <v>24</v>
      </c>
      <c r="E1006" s="1" t="s">
        <v>52</v>
      </c>
      <c r="F1006" s="1" t="s">
        <v>82</v>
      </c>
      <c r="G1006" s="4">
        <v>45315</v>
      </c>
      <c r="H1006" s="4">
        <v>45317</v>
      </c>
      <c r="I1006" s="1" t="s">
        <v>108</v>
      </c>
      <c r="J1006" s="1" t="s">
        <v>30</v>
      </c>
      <c r="K1006" s="3">
        <v>1</v>
      </c>
      <c r="L1006" s="2">
        <v>32095</v>
      </c>
      <c r="M1006" s="3">
        <v>5</v>
      </c>
      <c r="N1006" s="1" t="s">
        <v>45</v>
      </c>
      <c r="O1006" s="1" t="s">
        <v>32</v>
      </c>
      <c r="P1006" s="1" t="s">
        <v>33</v>
      </c>
      <c r="Q1006" s="1" t="s">
        <v>3415</v>
      </c>
      <c r="R1006" s="1" t="s">
        <v>3001</v>
      </c>
      <c r="S1006" s="3">
        <v>2</v>
      </c>
      <c r="T1006" s="1" t="s">
        <v>96</v>
      </c>
      <c r="U1006" s="3">
        <v>68</v>
      </c>
      <c r="V1006" s="1" t="s">
        <v>79</v>
      </c>
      <c r="W1006" s="5">
        <f>Table1[[#This Row],[Quantity]]*Table1[[#This Row],[Price]]*(1-Table1[[#This Row],[Discount %]]/100)</f>
        <v>30490.25</v>
      </c>
      <c r="X1006">
        <f>Table1[[#This Row],[DeliveryDate]]-Table1[[#This Row],[OrderDate]]</f>
        <v>2</v>
      </c>
      <c r="Y1006" t="str">
        <f>TEXT(Table1[[#This Row],[OrderDate]],"MMMM")</f>
        <v>January</v>
      </c>
      <c r="Z1006" s="5">
        <f>YEAR(Table1[[#This Row],[OrderDate]])</f>
        <v>2024</v>
      </c>
    </row>
    <row r="1007" spans="1:26" x14ac:dyDescent="0.3">
      <c r="A1007" s="1" t="s">
        <v>3002</v>
      </c>
      <c r="B1007" t="s">
        <v>589</v>
      </c>
      <c r="C1007" s="3">
        <v>20</v>
      </c>
      <c r="D1007" s="1" t="s">
        <v>51</v>
      </c>
      <c r="E1007" s="1" t="s">
        <v>26</v>
      </c>
      <c r="F1007" s="1" t="s">
        <v>91</v>
      </c>
      <c r="G1007" s="4">
        <v>45477</v>
      </c>
      <c r="H1007" s="4">
        <v>45480</v>
      </c>
      <c r="I1007" s="1" t="s">
        <v>43</v>
      </c>
      <c r="J1007" s="1" t="s">
        <v>30</v>
      </c>
      <c r="K1007" s="3">
        <v>2</v>
      </c>
      <c r="L1007" s="2">
        <v>26558</v>
      </c>
      <c r="M1007" s="3">
        <v>10</v>
      </c>
      <c r="N1007" s="1" t="s">
        <v>56</v>
      </c>
      <c r="O1007" s="1" t="s">
        <v>102</v>
      </c>
      <c r="P1007" s="1" t="s">
        <v>174</v>
      </c>
      <c r="Q1007" s="1" t="s">
        <v>591</v>
      </c>
      <c r="R1007" s="1" t="s">
        <v>3003</v>
      </c>
      <c r="S1007" s="3">
        <v>4</v>
      </c>
      <c r="T1007" s="1" t="s">
        <v>72</v>
      </c>
      <c r="U1007" s="3">
        <v>438</v>
      </c>
      <c r="V1007" s="1" t="s">
        <v>79</v>
      </c>
      <c r="W1007" s="5">
        <f>Table1[[#This Row],[Quantity]]*Table1[[#This Row],[Price]]*(1-Table1[[#This Row],[Discount %]]/100)</f>
        <v>47804.4</v>
      </c>
      <c r="X1007">
        <f>Table1[[#This Row],[DeliveryDate]]-Table1[[#This Row],[OrderDate]]</f>
        <v>3</v>
      </c>
      <c r="Y1007" t="str">
        <f>TEXT(Table1[[#This Row],[OrderDate]],"MMMM")</f>
        <v>July</v>
      </c>
      <c r="Z1007" s="5">
        <f>YEAR(Table1[[#This Row],[OrderDate]])</f>
        <v>2024</v>
      </c>
    </row>
    <row r="1008" spans="1:26" x14ac:dyDescent="0.3">
      <c r="A1008" s="1" t="s">
        <v>3004</v>
      </c>
      <c r="B1008" t="s">
        <v>23</v>
      </c>
      <c r="C1008" s="3">
        <v>18</v>
      </c>
      <c r="D1008" s="1" t="s">
        <v>51</v>
      </c>
      <c r="E1008" s="1" t="s">
        <v>229</v>
      </c>
      <c r="F1008" s="1" t="s">
        <v>65</v>
      </c>
      <c r="G1008" s="4">
        <v>45051</v>
      </c>
      <c r="H1008" s="4">
        <v>45053</v>
      </c>
      <c r="I1008" s="1" t="s">
        <v>108</v>
      </c>
      <c r="J1008" s="1" t="s">
        <v>30</v>
      </c>
      <c r="K1008" s="3">
        <v>1</v>
      </c>
      <c r="L1008" s="2">
        <v>38174</v>
      </c>
      <c r="M1008" s="3">
        <v>15</v>
      </c>
      <c r="N1008" s="1" t="s">
        <v>56</v>
      </c>
      <c r="O1008" s="1" t="s">
        <v>57</v>
      </c>
      <c r="P1008" s="1" t="s">
        <v>174</v>
      </c>
      <c r="Q1008" s="1" t="s">
        <v>3415</v>
      </c>
      <c r="R1008" s="1" t="s">
        <v>3005</v>
      </c>
      <c r="S1008" s="3">
        <v>4</v>
      </c>
      <c r="T1008" s="1" t="s">
        <v>96</v>
      </c>
      <c r="U1008" s="3">
        <v>171</v>
      </c>
      <c r="V1008" s="1" t="s">
        <v>37</v>
      </c>
      <c r="W1008" s="5">
        <f>Table1[[#This Row],[Quantity]]*Table1[[#This Row],[Price]]*(1-Table1[[#This Row],[Discount %]]/100)</f>
        <v>32447.899999999998</v>
      </c>
      <c r="X1008">
        <f>Table1[[#This Row],[DeliveryDate]]-Table1[[#This Row],[OrderDate]]</f>
        <v>2</v>
      </c>
      <c r="Y1008" t="str">
        <f>TEXT(Table1[[#This Row],[OrderDate]],"MMMM")</f>
        <v>May</v>
      </c>
      <c r="Z1008" s="5">
        <f>YEAR(Table1[[#This Row],[OrderDate]])</f>
        <v>2023</v>
      </c>
    </row>
    <row r="1009" spans="1:26" x14ac:dyDescent="0.3">
      <c r="A1009" s="1" t="s">
        <v>3006</v>
      </c>
      <c r="B1009" t="s">
        <v>1045</v>
      </c>
      <c r="C1009" s="3">
        <v>33</v>
      </c>
      <c r="D1009" s="1" t="s">
        <v>24</v>
      </c>
      <c r="E1009" s="1" t="s">
        <v>229</v>
      </c>
      <c r="F1009" s="1" t="s">
        <v>91</v>
      </c>
      <c r="G1009" s="4">
        <v>45431</v>
      </c>
      <c r="H1009" s="4">
        <v>45440</v>
      </c>
      <c r="I1009" s="1" t="s">
        <v>93</v>
      </c>
      <c r="J1009" s="1" t="s">
        <v>30</v>
      </c>
      <c r="K1009" s="3">
        <v>4</v>
      </c>
      <c r="L1009" s="2">
        <v>46711</v>
      </c>
      <c r="M1009" s="3">
        <v>0</v>
      </c>
      <c r="N1009" s="1" t="s">
        <v>45</v>
      </c>
      <c r="O1009" s="1" t="s">
        <v>68</v>
      </c>
      <c r="P1009" s="1" t="s">
        <v>174</v>
      </c>
      <c r="Q1009" s="1" t="s">
        <v>1048</v>
      </c>
      <c r="R1009" s="1" t="s">
        <v>3008</v>
      </c>
      <c r="S1009" s="3">
        <v>2</v>
      </c>
      <c r="T1009" s="1" t="s">
        <v>72</v>
      </c>
      <c r="U1009" s="3">
        <v>346</v>
      </c>
      <c r="V1009" s="1" t="s">
        <v>37</v>
      </c>
      <c r="W1009" s="5">
        <f>Table1[[#This Row],[Quantity]]*Table1[[#This Row],[Price]]*(1-Table1[[#This Row],[Discount %]]/100)</f>
        <v>186844</v>
      </c>
      <c r="X1009">
        <f>Table1[[#This Row],[DeliveryDate]]-Table1[[#This Row],[OrderDate]]</f>
        <v>9</v>
      </c>
      <c r="Y1009" t="str">
        <f>TEXT(Table1[[#This Row],[OrderDate]],"MMMM")</f>
        <v>May</v>
      </c>
      <c r="Z1009" s="5">
        <f>YEAR(Table1[[#This Row],[OrderDate]])</f>
        <v>2024</v>
      </c>
    </row>
    <row r="1010" spans="1:26" x14ac:dyDescent="0.3">
      <c r="A1010" s="1" t="s">
        <v>3009</v>
      </c>
      <c r="B1010" t="s">
        <v>130</v>
      </c>
      <c r="C1010" s="3">
        <v>34</v>
      </c>
      <c r="D1010" s="1" t="s">
        <v>51</v>
      </c>
      <c r="E1010" s="1" t="s">
        <v>99</v>
      </c>
      <c r="F1010" s="1" t="s">
        <v>26</v>
      </c>
      <c r="G1010" s="4">
        <v>45083</v>
      </c>
      <c r="H1010" s="4">
        <v>45087</v>
      </c>
      <c r="I1010" s="1" t="s">
        <v>85</v>
      </c>
      <c r="J1010" s="1" t="s">
        <v>44</v>
      </c>
      <c r="K1010" s="3">
        <v>3</v>
      </c>
      <c r="L1010" s="2">
        <v>7488</v>
      </c>
      <c r="M1010" s="3">
        <v>10</v>
      </c>
      <c r="N1010" s="1" t="s">
        <v>31</v>
      </c>
      <c r="O1010" s="1" t="s">
        <v>281</v>
      </c>
      <c r="P1010" s="1" t="s">
        <v>58</v>
      </c>
      <c r="Q1010" s="1" t="s">
        <v>1355</v>
      </c>
      <c r="R1010" s="1" t="s">
        <v>3010</v>
      </c>
      <c r="S1010" s="3">
        <v>4</v>
      </c>
      <c r="T1010" s="1" t="s">
        <v>36</v>
      </c>
      <c r="U1010" s="3">
        <v>465</v>
      </c>
      <c r="V1010" s="1" t="s">
        <v>62</v>
      </c>
      <c r="W1010" s="5">
        <f>Table1[[#This Row],[Quantity]]*Table1[[#This Row],[Price]]*(1-Table1[[#This Row],[Discount %]]/100)</f>
        <v>20217.600000000002</v>
      </c>
      <c r="X1010">
        <f>Table1[[#This Row],[DeliveryDate]]-Table1[[#This Row],[OrderDate]]</f>
        <v>4</v>
      </c>
      <c r="Y1010" t="str">
        <f>TEXT(Table1[[#This Row],[OrderDate]],"MMMM")</f>
        <v>June</v>
      </c>
      <c r="Z1010" s="5">
        <f>YEAR(Table1[[#This Row],[OrderDate]])</f>
        <v>2023</v>
      </c>
    </row>
    <row r="1011" spans="1:26" x14ac:dyDescent="0.3">
      <c r="A1011" s="1" t="s">
        <v>3011</v>
      </c>
      <c r="B1011" t="s">
        <v>338</v>
      </c>
      <c r="C1011" s="3">
        <v>33</v>
      </c>
      <c r="D1011" s="1" t="s">
        <v>24</v>
      </c>
      <c r="E1011" s="1" t="s">
        <v>131</v>
      </c>
      <c r="F1011" s="1" t="s">
        <v>91</v>
      </c>
      <c r="G1011" s="4">
        <v>45502</v>
      </c>
      <c r="H1011" s="4">
        <v>45504</v>
      </c>
      <c r="I1011" s="1" t="s">
        <v>93</v>
      </c>
      <c r="J1011" s="1" t="s">
        <v>44</v>
      </c>
      <c r="K1011" s="3">
        <v>3</v>
      </c>
      <c r="L1011" s="2">
        <v>7807</v>
      </c>
      <c r="M1011" s="3">
        <v>15</v>
      </c>
      <c r="N1011" s="1" t="s">
        <v>56</v>
      </c>
      <c r="O1011" s="1" t="s">
        <v>57</v>
      </c>
      <c r="P1011" s="1" t="s">
        <v>58</v>
      </c>
      <c r="Q1011" s="1" t="s">
        <v>341</v>
      </c>
      <c r="R1011" s="1" t="s">
        <v>3012</v>
      </c>
      <c r="S1011" s="3">
        <v>1</v>
      </c>
      <c r="T1011" s="1" t="s">
        <v>96</v>
      </c>
      <c r="U1011" s="3">
        <v>188</v>
      </c>
      <c r="V1011" s="1" t="s">
        <v>62</v>
      </c>
      <c r="W1011" s="5">
        <f>Table1[[#This Row],[Quantity]]*Table1[[#This Row],[Price]]*(1-Table1[[#This Row],[Discount %]]/100)</f>
        <v>19907.849999999999</v>
      </c>
      <c r="X1011">
        <f>Table1[[#This Row],[DeliveryDate]]-Table1[[#This Row],[OrderDate]]</f>
        <v>2</v>
      </c>
      <c r="Y1011" t="str">
        <f>TEXT(Table1[[#This Row],[OrderDate]],"MMMM")</f>
        <v>July</v>
      </c>
      <c r="Z1011" s="5">
        <f>YEAR(Table1[[#This Row],[OrderDate]])</f>
        <v>2024</v>
      </c>
    </row>
    <row r="1012" spans="1:26" x14ac:dyDescent="0.3">
      <c r="A1012" s="1" t="s">
        <v>3013</v>
      </c>
      <c r="B1012" t="s">
        <v>461</v>
      </c>
      <c r="C1012" s="3">
        <v>57</v>
      </c>
      <c r="D1012" s="1" t="s">
        <v>51</v>
      </c>
      <c r="E1012" s="1" t="s">
        <v>142</v>
      </c>
      <c r="F1012" s="1" t="s">
        <v>26</v>
      </c>
      <c r="G1012" s="4">
        <v>45061</v>
      </c>
      <c r="H1012" s="4">
        <v>45064</v>
      </c>
      <c r="I1012" s="1" t="s">
        <v>43</v>
      </c>
      <c r="J1012" s="1" t="s">
        <v>44</v>
      </c>
      <c r="K1012" s="3">
        <v>2</v>
      </c>
      <c r="L1012" s="2">
        <v>15686</v>
      </c>
      <c r="M1012" s="3">
        <v>0</v>
      </c>
      <c r="N1012" s="1" t="s">
        <v>56</v>
      </c>
      <c r="O1012" s="1" t="s">
        <v>46</v>
      </c>
      <c r="P1012" s="1" t="s">
        <v>33</v>
      </c>
      <c r="Q1012" s="1" t="s">
        <v>563</v>
      </c>
      <c r="R1012" s="1" t="s">
        <v>3015</v>
      </c>
      <c r="S1012" s="3">
        <v>1</v>
      </c>
      <c r="T1012" s="1" t="s">
        <v>36</v>
      </c>
      <c r="U1012" s="3">
        <v>463</v>
      </c>
      <c r="V1012" s="1" t="s">
        <v>79</v>
      </c>
      <c r="W1012" s="5">
        <f>Table1[[#This Row],[Quantity]]*Table1[[#This Row],[Price]]*(1-Table1[[#This Row],[Discount %]]/100)</f>
        <v>31372</v>
      </c>
      <c r="X1012">
        <f>Table1[[#This Row],[DeliveryDate]]-Table1[[#This Row],[OrderDate]]</f>
        <v>3</v>
      </c>
      <c r="Y1012" t="str">
        <f>TEXT(Table1[[#This Row],[OrderDate]],"MMMM")</f>
        <v>May</v>
      </c>
      <c r="Z1012" s="5">
        <f>YEAR(Table1[[#This Row],[OrderDate]])</f>
        <v>2023</v>
      </c>
    </row>
    <row r="1013" spans="1:26" x14ac:dyDescent="0.3">
      <c r="A1013" s="1" t="s">
        <v>3016</v>
      </c>
      <c r="B1013" t="s">
        <v>606</v>
      </c>
      <c r="C1013" s="3">
        <v>20</v>
      </c>
      <c r="D1013" s="1" t="s">
        <v>51</v>
      </c>
      <c r="E1013" s="1" t="s">
        <v>99</v>
      </c>
      <c r="F1013" s="1" t="s">
        <v>65</v>
      </c>
      <c r="G1013" s="4">
        <v>45560</v>
      </c>
      <c r="H1013" s="4">
        <v>45570</v>
      </c>
      <c r="I1013" s="1" t="s">
        <v>77</v>
      </c>
      <c r="J1013" s="1" t="s">
        <v>30</v>
      </c>
      <c r="K1013" s="3">
        <v>3</v>
      </c>
      <c r="L1013" s="2">
        <v>79524</v>
      </c>
      <c r="M1013" s="3">
        <v>0</v>
      </c>
      <c r="N1013" s="1" t="s">
        <v>56</v>
      </c>
      <c r="O1013" s="1" t="s">
        <v>46</v>
      </c>
      <c r="P1013" s="1" t="s">
        <v>69</v>
      </c>
      <c r="Q1013" s="1" t="s">
        <v>608</v>
      </c>
      <c r="R1013" s="1" t="s">
        <v>3017</v>
      </c>
      <c r="S1013" s="3">
        <v>2</v>
      </c>
      <c r="T1013" s="1" t="s">
        <v>72</v>
      </c>
      <c r="U1013" s="3">
        <v>157</v>
      </c>
      <c r="V1013" s="1" t="s">
        <v>37</v>
      </c>
      <c r="W1013" s="5">
        <f>Table1[[#This Row],[Quantity]]*Table1[[#This Row],[Price]]*(1-Table1[[#This Row],[Discount %]]/100)</f>
        <v>238572</v>
      </c>
      <c r="X1013">
        <f>Table1[[#This Row],[DeliveryDate]]-Table1[[#This Row],[OrderDate]]</f>
        <v>10</v>
      </c>
      <c r="Y1013" t="str">
        <f>TEXT(Table1[[#This Row],[OrderDate]],"MMMM")</f>
        <v>September</v>
      </c>
      <c r="Z1013" s="5">
        <f>YEAR(Table1[[#This Row],[OrderDate]])</f>
        <v>2024</v>
      </c>
    </row>
    <row r="1014" spans="1:26" x14ac:dyDescent="0.3">
      <c r="A1014" s="1" t="s">
        <v>3018</v>
      </c>
      <c r="B1014" t="s">
        <v>601</v>
      </c>
      <c r="C1014" s="3">
        <v>28</v>
      </c>
      <c r="D1014" s="1" t="s">
        <v>24</v>
      </c>
      <c r="E1014" s="1" t="s">
        <v>26</v>
      </c>
      <c r="F1014" s="1" t="s">
        <v>65</v>
      </c>
      <c r="G1014" s="4">
        <v>44982</v>
      </c>
      <c r="H1014" s="4">
        <v>44984</v>
      </c>
      <c r="I1014" s="1" t="s">
        <v>108</v>
      </c>
      <c r="J1014" s="1" t="s">
        <v>44</v>
      </c>
      <c r="K1014" s="3">
        <v>1</v>
      </c>
      <c r="L1014" s="2">
        <v>52471</v>
      </c>
      <c r="M1014" s="3">
        <v>15</v>
      </c>
      <c r="N1014" s="1" t="s">
        <v>31</v>
      </c>
      <c r="O1014" s="1" t="s">
        <v>68</v>
      </c>
      <c r="P1014" s="1" t="s">
        <v>174</v>
      </c>
      <c r="Q1014" s="1" t="s">
        <v>3415</v>
      </c>
      <c r="R1014" s="1" t="s">
        <v>3019</v>
      </c>
      <c r="S1014" s="3">
        <v>1</v>
      </c>
      <c r="T1014" s="1" t="s">
        <v>61</v>
      </c>
      <c r="U1014" s="3">
        <v>370</v>
      </c>
      <c r="V1014" s="1" t="s">
        <v>62</v>
      </c>
      <c r="W1014" s="5">
        <f>Table1[[#This Row],[Quantity]]*Table1[[#This Row],[Price]]*(1-Table1[[#This Row],[Discount %]]/100)</f>
        <v>44600.35</v>
      </c>
      <c r="X1014">
        <f>Table1[[#This Row],[DeliveryDate]]-Table1[[#This Row],[OrderDate]]</f>
        <v>2</v>
      </c>
      <c r="Y1014" t="str">
        <f>TEXT(Table1[[#This Row],[OrderDate]],"MMMM")</f>
        <v>February</v>
      </c>
      <c r="Z1014" s="5">
        <f>YEAR(Table1[[#This Row],[OrderDate]])</f>
        <v>2023</v>
      </c>
    </row>
    <row r="1015" spans="1:26" x14ac:dyDescent="0.3">
      <c r="A1015" s="1" t="s">
        <v>3020</v>
      </c>
      <c r="B1015" t="s">
        <v>509</v>
      </c>
      <c r="C1015" s="3">
        <v>25</v>
      </c>
      <c r="D1015" s="1" t="s">
        <v>24</v>
      </c>
      <c r="E1015" s="1" t="s">
        <v>52</v>
      </c>
      <c r="F1015" s="1" t="s">
        <v>65</v>
      </c>
      <c r="G1015" s="4">
        <v>45331</v>
      </c>
      <c r="H1015" s="4">
        <v>45334</v>
      </c>
      <c r="I1015" s="1" t="s">
        <v>29</v>
      </c>
      <c r="J1015" s="1" t="s">
        <v>44</v>
      </c>
      <c r="K1015" s="3">
        <v>2</v>
      </c>
      <c r="L1015" s="2">
        <v>56010</v>
      </c>
      <c r="M1015" s="3">
        <v>10</v>
      </c>
      <c r="N1015" s="1" t="s">
        <v>45</v>
      </c>
      <c r="O1015" s="1" t="s">
        <v>173</v>
      </c>
      <c r="P1015" s="1" t="s">
        <v>33</v>
      </c>
      <c r="Q1015" s="1" t="s">
        <v>512</v>
      </c>
      <c r="R1015" s="1" t="s">
        <v>3022</v>
      </c>
      <c r="S1015" s="3">
        <v>2</v>
      </c>
      <c r="T1015" s="1" t="s">
        <v>36</v>
      </c>
      <c r="U1015" s="3">
        <v>96</v>
      </c>
      <c r="V1015" s="1" t="s">
        <v>37</v>
      </c>
      <c r="W1015" s="5">
        <f>Table1[[#This Row],[Quantity]]*Table1[[#This Row],[Price]]*(1-Table1[[#This Row],[Discount %]]/100)</f>
        <v>100818</v>
      </c>
      <c r="X1015">
        <f>Table1[[#This Row],[DeliveryDate]]-Table1[[#This Row],[OrderDate]]</f>
        <v>3</v>
      </c>
      <c r="Y1015" t="str">
        <f>TEXT(Table1[[#This Row],[OrderDate]],"MMMM")</f>
        <v>February</v>
      </c>
      <c r="Z1015" s="5">
        <f>YEAR(Table1[[#This Row],[OrderDate]])</f>
        <v>2024</v>
      </c>
    </row>
    <row r="1016" spans="1:26" x14ac:dyDescent="0.3">
      <c r="A1016" s="1" t="s">
        <v>3023</v>
      </c>
      <c r="B1016" t="s">
        <v>1309</v>
      </c>
      <c r="C1016" s="3">
        <v>25</v>
      </c>
      <c r="D1016" s="1" t="s">
        <v>24</v>
      </c>
      <c r="E1016" s="1" t="s">
        <v>131</v>
      </c>
      <c r="F1016" s="1" t="s">
        <v>91</v>
      </c>
      <c r="G1016" s="4">
        <v>45081</v>
      </c>
      <c r="H1016" s="4">
        <v>45091</v>
      </c>
      <c r="I1016" s="1" t="s">
        <v>43</v>
      </c>
      <c r="J1016" s="1" t="s">
        <v>30</v>
      </c>
      <c r="K1016" s="3">
        <v>2</v>
      </c>
      <c r="L1016" s="2">
        <v>41919</v>
      </c>
      <c r="M1016" s="3">
        <v>15</v>
      </c>
      <c r="N1016" s="1" t="s">
        <v>166</v>
      </c>
      <c r="O1016" s="1" t="s">
        <v>173</v>
      </c>
      <c r="P1016" s="1" t="s">
        <v>58</v>
      </c>
      <c r="Q1016" s="1" t="s">
        <v>1311</v>
      </c>
      <c r="R1016" s="1" t="s">
        <v>3026</v>
      </c>
      <c r="S1016" s="3">
        <v>5</v>
      </c>
      <c r="T1016" s="1" t="s">
        <v>96</v>
      </c>
      <c r="U1016" s="3">
        <v>156</v>
      </c>
      <c r="V1016" s="1" t="s">
        <v>37</v>
      </c>
      <c r="W1016" s="5">
        <f>Table1[[#This Row],[Quantity]]*Table1[[#This Row],[Price]]*(1-Table1[[#This Row],[Discount %]]/100)</f>
        <v>71262.3</v>
      </c>
      <c r="X1016">
        <f>Table1[[#This Row],[DeliveryDate]]-Table1[[#This Row],[OrderDate]]</f>
        <v>10</v>
      </c>
      <c r="Y1016" t="str">
        <f>TEXT(Table1[[#This Row],[OrderDate]],"MMMM")</f>
        <v>June</v>
      </c>
      <c r="Z1016" s="5">
        <f>YEAR(Table1[[#This Row],[OrderDate]])</f>
        <v>2023</v>
      </c>
    </row>
    <row r="1017" spans="1:26" x14ac:dyDescent="0.3">
      <c r="A1017" s="1" t="s">
        <v>3027</v>
      </c>
      <c r="B1017" t="s">
        <v>684</v>
      </c>
      <c r="C1017" s="3">
        <v>29</v>
      </c>
      <c r="D1017" s="1" t="s">
        <v>24</v>
      </c>
      <c r="E1017" s="1" t="s">
        <v>25</v>
      </c>
      <c r="F1017" s="1" t="s">
        <v>65</v>
      </c>
      <c r="G1017" s="4">
        <v>45418</v>
      </c>
      <c r="H1017" s="4">
        <v>45421</v>
      </c>
      <c r="I1017" s="1" t="s">
        <v>77</v>
      </c>
      <c r="J1017" s="1" t="s">
        <v>44</v>
      </c>
      <c r="K1017" s="3">
        <v>2</v>
      </c>
      <c r="L1017" s="2">
        <v>31776</v>
      </c>
      <c r="M1017" s="3">
        <v>10</v>
      </c>
      <c r="N1017" s="1" t="s">
        <v>56</v>
      </c>
      <c r="O1017" s="1" t="s">
        <v>57</v>
      </c>
      <c r="P1017" s="1" t="s">
        <v>69</v>
      </c>
      <c r="Q1017" s="1" t="s">
        <v>785</v>
      </c>
      <c r="R1017" s="1" t="s">
        <v>3028</v>
      </c>
      <c r="S1017" s="3">
        <v>1</v>
      </c>
      <c r="T1017" s="1" t="s">
        <v>72</v>
      </c>
      <c r="U1017" s="3">
        <v>342</v>
      </c>
      <c r="V1017" s="1" t="s">
        <v>79</v>
      </c>
      <c r="W1017" s="5">
        <f>Table1[[#This Row],[Quantity]]*Table1[[#This Row],[Price]]*(1-Table1[[#This Row],[Discount %]]/100)</f>
        <v>57196.800000000003</v>
      </c>
      <c r="X1017">
        <f>Table1[[#This Row],[DeliveryDate]]-Table1[[#This Row],[OrderDate]]</f>
        <v>3</v>
      </c>
      <c r="Y1017" t="str">
        <f>TEXT(Table1[[#This Row],[OrderDate]],"MMMM")</f>
        <v>May</v>
      </c>
      <c r="Z1017" s="5">
        <f>YEAR(Table1[[#This Row],[OrderDate]])</f>
        <v>2024</v>
      </c>
    </row>
    <row r="1018" spans="1:26" x14ac:dyDescent="0.3">
      <c r="A1018" s="1" t="s">
        <v>3029</v>
      </c>
      <c r="B1018" t="s">
        <v>637</v>
      </c>
      <c r="C1018" s="3">
        <v>49</v>
      </c>
      <c r="D1018" s="1" t="s">
        <v>24</v>
      </c>
      <c r="E1018" s="1" t="s">
        <v>52</v>
      </c>
      <c r="F1018" s="1" t="s">
        <v>91</v>
      </c>
      <c r="G1018" s="4">
        <v>45287</v>
      </c>
      <c r="H1018" s="4">
        <v>45296</v>
      </c>
      <c r="I1018" s="1" t="s">
        <v>43</v>
      </c>
      <c r="J1018" s="1" t="s">
        <v>30</v>
      </c>
      <c r="K1018" s="3">
        <v>1</v>
      </c>
      <c r="L1018" s="2">
        <v>67334</v>
      </c>
      <c r="M1018" s="3">
        <v>0</v>
      </c>
      <c r="N1018" s="1" t="s">
        <v>45</v>
      </c>
      <c r="O1018" s="1" t="s">
        <v>133</v>
      </c>
      <c r="P1018" s="1" t="s">
        <v>174</v>
      </c>
      <c r="Q1018" s="1" t="s">
        <v>2248</v>
      </c>
      <c r="R1018" s="1" t="s">
        <v>3030</v>
      </c>
      <c r="S1018" s="3">
        <v>3</v>
      </c>
      <c r="T1018" s="1" t="s">
        <v>72</v>
      </c>
      <c r="U1018" s="3">
        <v>439</v>
      </c>
      <c r="V1018" s="1" t="s">
        <v>62</v>
      </c>
      <c r="W1018" s="5">
        <f>Table1[[#This Row],[Quantity]]*Table1[[#This Row],[Price]]*(1-Table1[[#This Row],[Discount %]]/100)</f>
        <v>67334</v>
      </c>
      <c r="X1018">
        <f>Table1[[#This Row],[DeliveryDate]]-Table1[[#This Row],[OrderDate]]</f>
        <v>9</v>
      </c>
      <c r="Y1018" t="str">
        <f>TEXT(Table1[[#This Row],[OrderDate]],"MMMM")</f>
        <v>December</v>
      </c>
      <c r="Z1018" s="5">
        <f>YEAR(Table1[[#This Row],[OrderDate]])</f>
        <v>2023</v>
      </c>
    </row>
    <row r="1019" spans="1:26" x14ac:dyDescent="0.3">
      <c r="A1019" s="1" t="s">
        <v>3031</v>
      </c>
      <c r="B1019" t="s">
        <v>309</v>
      </c>
      <c r="C1019" s="3">
        <v>31</v>
      </c>
      <c r="D1019" s="1" t="s">
        <v>24</v>
      </c>
      <c r="E1019" s="1" t="s">
        <v>99</v>
      </c>
      <c r="F1019" s="1" t="s">
        <v>26</v>
      </c>
      <c r="G1019" s="4">
        <v>45115</v>
      </c>
      <c r="H1019" s="4">
        <v>45122</v>
      </c>
      <c r="I1019" s="1" t="s">
        <v>77</v>
      </c>
      <c r="J1019" s="1" t="s">
        <v>30</v>
      </c>
      <c r="K1019" s="3">
        <v>5</v>
      </c>
      <c r="L1019" s="2">
        <v>5178</v>
      </c>
      <c r="M1019" s="3">
        <v>0</v>
      </c>
      <c r="N1019" s="1" t="s">
        <v>166</v>
      </c>
      <c r="O1019" s="1" t="s">
        <v>281</v>
      </c>
      <c r="P1019" s="1" t="s">
        <v>174</v>
      </c>
      <c r="Q1019" s="1" t="s">
        <v>312</v>
      </c>
      <c r="R1019" s="1" t="s">
        <v>3032</v>
      </c>
      <c r="S1019" s="3">
        <v>3</v>
      </c>
      <c r="T1019" s="1" t="s">
        <v>96</v>
      </c>
      <c r="U1019" s="3">
        <v>102</v>
      </c>
      <c r="V1019" s="1" t="s">
        <v>79</v>
      </c>
      <c r="W1019" s="5">
        <f>Table1[[#This Row],[Quantity]]*Table1[[#This Row],[Price]]*(1-Table1[[#This Row],[Discount %]]/100)</f>
        <v>25890</v>
      </c>
      <c r="X1019">
        <f>Table1[[#This Row],[DeliveryDate]]-Table1[[#This Row],[OrderDate]]</f>
        <v>7</v>
      </c>
      <c r="Y1019" t="str">
        <f>TEXT(Table1[[#This Row],[OrderDate]],"MMMM")</f>
        <v>July</v>
      </c>
      <c r="Z1019" s="5">
        <f>YEAR(Table1[[#This Row],[OrderDate]])</f>
        <v>2023</v>
      </c>
    </row>
    <row r="1020" spans="1:26" x14ac:dyDescent="0.3">
      <c r="A1020" s="1" t="s">
        <v>3033</v>
      </c>
      <c r="B1020" t="s">
        <v>503</v>
      </c>
      <c r="C1020" s="3">
        <v>51</v>
      </c>
      <c r="D1020" s="1" t="s">
        <v>24</v>
      </c>
      <c r="E1020" s="1" t="s">
        <v>142</v>
      </c>
      <c r="F1020" s="1" t="s">
        <v>91</v>
      </c>
      <c r="G1020" s="4">
        <v>45101</v>
      </c>
      <c r="H1020" s="4">
        <v>45108</v>
      </c>
      <c r="I1020" s="1" t="s">
        <v>85</v>
      </c>
      <c r="J1020" s="1" t="s">
        <v>30</v>
      </c>
      <c r="K1020" s="3">
        <v>3</v>
      </c>
      <c r="L1020" s="2">
        <v>68079</v>
      </c>
      <c r="M1020" s="3">
        <v>10</v>
      </c>
      <c r="N1020" s="1" t="s">
        <v>31</v>
      </c>
      <c r="O1020" s="1" t="s">
        <v>86</v>
      </c>
      <c r="P1020" s="1" t="s">
        <v>174</v>
      </c>
      <c r="Q1020" s="1" t="s">
        <v>506</v>
      </c>
      <c r="R1020" s="1" t="s">
        <v>3415</v>
      </c>
      <c r="S1020" s="3">
        <v>3</v>
      </c>
      <c r="T1020" s="1" t="s">
        <v>96</v>
      </c>
      <c r="U1020" s="3">
        <v>232</v>
      </c>
      <c r="V1020" s="1" t="s">
        <v>37</v>
      </c>
      <c r="W1020" s="5">
        <f>Table1[[#This Row],[Quantity]]*Table1[[#This Row],[Price]]*(1-Table1[[#This Row],[Discount %]]/100)</f>
        <v>183813.30000000002</v>
      </c>
      <c r="X1020">
        <f>Table1[[#This Row],[DeliveryDate]]-Table1[[#This Row],[OrderDate]]</f>
        <v>7</v>
      </c>
      <c r="Y1020" t="str">
        <f>TEXT(Table1[[#This Row],[OrderDate]],"MMMM")</f>
        <v>June</v>
      </c>
      <c r="Z1020" s="5">
        <f>YEAR(Table1[[#This Row],[OrderDate]])</f>
        <v>2023</v>
      </c>
    </row>
    <row r="1021" spans="1:26" x14ac:dyDescent="0.3">
      <c r="A1021" s="1" t="s">
        <v>3035</v>
      </c>
      <c r="B1021" t="s">
        <v>440</v>
      </c>
      <c r="C1021" s="3">
        <v>24</v>
      </c>
      <c r="D1021" s="1" t="s">
        <v>51</v>
      </c>
      <c r="E1021" s="1" t="s">
        <v>99</v>
      </c>
      <c r="F1021" s="1" t="s">
        <v>82</v>
      </c>
      <c r="G1021" s="4">
        <v>45599</v>
      </c>
      <c r="H1021" s="4">
        <v>45602</v>
      </c>
      <c r="I1021" s="1" t="s">
        <v>93</v>
      </c>
      <c r="J1021" s="1" t="s">
        <v>44</v>
      </c>
      <c r="K1021" s="3">
        <v>3</v>
      </c>
      <c r="L1021" s="2">
        <v>45070</v>
      </c>
      <c r="M1021" s="3">
        <v>0</v>
      </c>
      <c r="N1021" s="1" t="s">
        <v>166</v>
      </c>
      <c r="O1021" s="1" t="s">
        <v>173</v>
      </c>
      <c r="P1021" s="1" t="s">
        <v>174</v>
      </c>
      <c r="Q1021" s="1" t="s">
        <v>437</v>
      </c>
      <c r="R1021" s="1" t="s">
        <v>3036</v>
      </c>
      <c r="S1021" s="3">
        <v>4</v>
      </c>
      <c r="T1021" s="1" t="s">
        <v>61</v>
      </c>
      <c r="U1021" s="3">
        <v>56</v>
      </c>
      <c r="V1021" s="1" t="s">
        <v>62</v>
      </c>
      <c r="W1021" s="5">
        <f>Table1[[#This Row],[Quantity]]*Table1[[#This Row],[Price]]*(1-Table1[[#This Row],[Discount %]]/100)</f>
        <v>135210</v>
      </c>
      <c r="X1021">
        <f>Table1[[#This Row],[DeliveryDate]]-Table1[[#This Row],[OrderDate]]</f>
        <v>3</v>
      </c>
      <c r="Y1021" t="str">
        <f>TEXT(Table1[[#This Row],[OrderDate]],"MMMM")</f>
        <v>November</v>
      </c>
      <c r="Z1021" s="5">
        <f>YEAR(Table1[[#This Row],[OrderDate]])</f>
        <v>2024</v>
      </c>
    </row>
    <row r="1022" spans="1:26" x14ac:dyDescent="0.3">
      <c r="A1022" s="1" t="s">
        <v>3037</v>
      </c>
      <c r="B1022" t="s">
        <v>397</v>
      </c>
      <c r="C1022" s="3">
        <v>48</v>
      </c>
      <c r="D1022" s="1" t="s">
        <v>24</v>
      </c>
      <c r="E1022" s="1" t="s">
        <v>26</v>
      </c>
      <c r="F1022" s="1" t="s">
        <v>26</v>
      </c>
      <c r="G1022" s="4">
        <v>45206</v>
      </c>
      <c r="H1022" s="4">
        <v>45214</v>
      </c>
      <c r="I1022" s="1" t="s">
        <v>93</v>
      </c>
      <c r="J1022" s="1" t="s">
        <v>30</v>
      </c>
      <c r="K1022" s="3">
        <v>4</v>
      </c>
      <c r="L1022" s="2">
        <v>9637</v>
      </c>
      <c r="M1022" s="3">
        <v>15</v>
      </c>
      <c r="N1022" s="1" t="s">
        <v>31</v>
      </c>
      <c r="O1022" s="1" t="s">
        <v>109</v>
      </c>
      <c r="P1022" s="1" t="s">
        <v>58</v>
      </c>
      <c r="Q1022" s="1" t="s">
        <v>400</v>
      </c>
      <c r="R1022" s="1" t="s">
        <v>3038</v>
      </c>
      <c r="S1022" s="3">
        <v>4</v>
      </c>
      <c r="T1022" s="1" t="s">
        <v>36</v>
      </c>
      <c r="U1022" s="3">
        <v>466</v>
      </c>
      <c r="V1022" s="1" t="s">
        <v>62</v>
      </c>
      <c r="W1022" s="5">
        <f>Table1[[#This Row],[Quantity]]*Table1[[#This Row],[Price]]*(1-Table1[[#This Row],[Discount %]]/100)</f>
        <v>32765.8</v>
      </c>
      <c r="X1022">
        <f>Table1[[#This Row],[DeliveryDate]]-Table1[[#This Row],[OrderDate]]</f>
        <v>8</v>
      </c>
      <c r="Y1022" t="str">
        <f>TEXT(Table1[[#This Row],[OrderDate]],"MMMM")</f>
        <v>October</v>
      </c>
      <c r="Z1022" s="5">
        <f>YEAR(Table1[[#This Row],[OrderDate]])</f>
        <v>2023</v>
      </c>
    </row>
    <row r="1023" spans="1:26" x14ac:dyDescent="0.3">
      <c r="A1023" s="1" t="s">
        <v>3039</v>
      </c>
      <c r="B1023" t="s">
        <v>767</v>
      </c>
      <c r="C1023" s="3">
        <v>39</v>
      </c>
      <c r="D1023" s="1" t="s">
        <v>51</v>
      </c>
      <c r="E1023" s="1" t="s">
        <v>229</v>
      </c>
      <c r="F1023" s="1" t="s">
        <v>26</v>
      </c>
      <c r="G1023" s="4">
        <v>45076</v>
      </c>
      <c r="H1023" s="4">
        <v>45080</v>
      </c>
      <c r="I1023" s="1" t="s">
        <v>93</v>
      </c>
      <c r="J1023" s="1" t="s">
        <v>44</v>
      </c>
      <c r="K1023" s="3">
        <v>1</v>
      </c>
      <c r="L1023" s="2">
        <v>26692</v>
      </c>
      <c r="M1023" s="3">
        <v>15</v>
      </c>
      <c r="N1023" s="1" t="s">
        <v>56</v>
      </c>
      <c r="O1023" s="1" t="s">
        <v>102</v>
      </c>
      <c r="P1023" s="1" t="s">
        <v>58</v>
      </c>
      <c r="Q1023" s="1" t="s">
        <v>769</v>
      </c>
      <c r="R1023" s="1" t="s">
        <v>3415</v>
      </c>
      <c r="S1023" s="3">
        <v>5</v>
      </c>
      <c r="T1023" s="1" t="s">
        <v>61</v>
      </c>
      <c r="U1023" s="3">
        <v>458</v>
      </c>
      <c r="V1023" s="1" t="s">
        <v>37</v>
      </c>
      <c r="W1023" s="5">
        <f>Table1[[#This Row],[Quantity]]*Table1[[#This Row],[Price]]*(1-Table1[[#This Row],[Discount %]]/100)</f>
        <v>22688.2</v>
      </c>
      <c r="X1023">
        <f>Table1[[#This Row],[DeliveryDate]]-Table1[[#This Row],[OrderDate]]</f>
        <v>4</v>
      </c>
      <c r="Y1023" t="str">
        <f>TEXT(Table1[[#This Row],[OrderDate]],"MMMM")</f>
        <v>May</v>
      </c>
      <c r="Z1023" s="5">
        <f>YEAR(Table1[[#This Row],[OrderDate]])</f>
        <v>2023</v>
      </c>
    </row>
    <row r="1024" spans="1:26" x14ac:dyDescent="0.3">
      <c r="A1024" s="1" t="s">
        <v>3040</v>
      </c>
      <c r="B1024" t="s">
        <v>216</v>
      </c>
      <c r="C1024" s="3">
        <v>22</v>
      </c>
      <c r="D1024" s="1" t="s">
        <v>24</v>
      </c>
      <c r="E1024" s="1" t="s">
        <v>142</v>
      </c>
      <c r="F1024" s="1" t="s">
        <v>53</v>
      </c>
      <c r="G1024" s="4">
        <v>44981</v>
      </c>
      <c r="H1024" s="4">
        <v>44991</v>
      </c>
      <c r="I1024" s="1" t="s">
        <v>85</v>
      </c>
      <c r="J1024" s="1" t="s">
        <v>44</v>
      </c>
      <c r="K1024" s="3">
        <v>2</v>
      </c>
      <c r="L1024" s="2">
        <v>57358</v>
      </c>
      <c r="M1024" s="3">
        <v>5</v>
      </c>
      <c r="N1024" s="1" t="s">
        <v>31</v>
      </c>
      <c r="O1024" s="1" t="s">
        <v>133</v>
      </c>
      <c r="P1024" s="1" t="s">
        <v>58</v>
      </c>
      <c r="Q1024" s="1" t="s">
        <v>219</v>
      </c>
      <c r="R1024" s="1" t="s">
        <v>3042</v>
      </c>
      <c r="S1024" s="3">
        <v>4</v>
      </c>
      <c r="T1024" s="1" t="s">
        <v>61</v>
      </c>
      <c r="U1024" s="3">
        <v>312</v>
      </c>
      <c r="V1024" s="1" t="s">
        <v>62</v>
      </c>
      <c r="W1024" s="5">
        <f>Table1[[#This Row],[Quantity]]*Table1[[#This Row],[Price]]*(1-Table1[[#This Row],[Discount %]]/100)</f>
        <v>108980.2</v>
      </c>
      <c r="X1024">
        <f>Table1[[#This Row],[DeliveryDate]]-Table1[[#This Row],[OrderDate]]</f>
        <v>10</v>
      </c>
      <c r="Y1024" t="str">
        <f>TEXT(Table1[[#This Row],[OrderDate]],"MMMM")</f>
        <v>February</v>
      </c>
      <c r="Z1024" s="5">
        <f>YEAR(Table1[[#This Row],[OrderDate]])</f>
        <v>2023</v>
      </c>
    </row>
    <row r="1025" spans="1:26" x14ac:dyDescent="0.3">
      <c r="A1025" s="1" t="s">
        <v>3043</v>
      </c>
      <c r="B1025" t="s">
        <v>1443</v>
      </c>
      <c r="C1025" s="3">
        <v>47</v>
      </c>
      <c r="D1025" s="1" t="s">
        <v>24</v>
      </c>
      <c r="E1025" s="1" t="s">
        <v>131</v>
      </c>
      <c r="F1025" s="1" t="s">
        <v>53</v>
      </c>
      <c r="G1025" s="4">
        <v>45427</v>
      </c>
      <c r="H1025" s="4">
        <v>45436</v>
      </c>
      <c r="I1025" s="1" t="s">
        <v>29</v>
      </c>
      <c r="J1025" s="1" t="s">
        <v>30</v>
      </c>
      <c r="K1025" s="3">
        <v>2</v>
      </c>
      <c r="L1025" s="2">
        <v>42109.716287215415</v>
      </c>
      <c r="M1025" s="3">
        <v>15</v>
      </c>
      <c r="N1025" s="1" t="s">
        <v>166</v>
      </c>
      <c r="O1025" s="1" t="s">
        <v>57</v>
      </c>
      <c r="P1025" s="1" t="s">
        <v>69</v>
      </c>
      <c r="Q1025" s="1" t="s">
        <v>1444</v>
      </c>
      <c r="R1025" s="1" t="s">
        <v>3044</v>
      </c>
      <c r="S1025" s="3">
        <v>2</v>
      </c>
      <c r="T1025" s="1" t="s">
        <v>36</v>
      </c>
      <c r="U1025" s="3">
        <v>452</v>
      </c>
      <c r="V1025" s="1" t="s">
        <v>37</v>
      </c>
      <c r="W1025" s="5">
        <f>Table1[[#This Row],[Quantity]]*Table1[[#This Row],[Price]]*(1-Table1[[#This Row],[Discount %]]/100)</f>
        <v>71586.517688266205</v>
      </c>
      <c r="X1025">
        <f>Table1[[#This Row],[DeliveryDate]]-Table1[[#This Row],[OrderDate]]</f>
        <v>9</v>
      </c>
      <c r="Y1025" t="str">
        <f>TEXT(Table1[[#This Row],[OrderDate]],"MMMM")</f>
        <v>May</v>
      </c>
      <c r="Z1025" s="5">
        <f>YEAR(Table1[[#This Row],[OrderDate]])</f>
        <v>2024</v>
      </c>
    </row>
    <row r="1026" spans="1:26" x14ac:dyDescent="0.3">
      <c r="A1026" s="1" t="s">
        <v>3045</v>
      </c>
      <c r="B1026" t="s">
        <v>440</v>
      </c>
      <c r="C1026" s="3">
        <v>57</v>
      </c>
      <c r="D1026" s="1" t="s">
        <v>51</v>
      </c>
      <c r="E1026" s="1" t="s">
        <v>142</v>
      </c>
      <c r="F1026" s="1" t="s">
        <v>65</v>
      </c>
      <c r="G1026" s="4">
        <v>45198</v>
      </c>
      <c r="H1026" s="4">
        <v>45202</v>
      </c>
      <c r="I1026" s="1" t="s">
        <v>43</v>
      </c>
      <c r="J1026" s="1" t="s">
        <v>44</v>
      </c>
      <c r="K1026" s="3">
        <v>5</v>
      </c>
      <c r="L1026" s="2">
        <v>46777</v>
      </c>
      <c r="M1026" s="3">
        <v>15</v>
      </c>
      <c r="N1026" s="1" t="s">
        <v>45</v>
      </c>
      <c r="O1026" s="1" t="s">
        <v>133</v>
      </c>
      <c r="P1026" s="1" t="s">
        <v>33</v>
      </c>
      <c r="Q1026" s="1" t="s">
        <v>437</v>
      </c>
      <c r="R1026" s="1" t="s">
        <v>3046</v>
      </c>
      <c r="S1026" s="3">
        <v>3</v>
      </c>
      <c r="T1026" s="1" t="s">
        <v>36</v>
      </c>
      <c r="U1026" s="3">
        <v>216</v>
      </c>
      <c r="V1026" s="1" t="s">
        <v>62</v>
      </c>
      <c r="W1026" s="5">
        <f>Table1[[#This Row],[Quantity]]*Table1[[#This Row],[Price]]*(1-Table1[[#This Row],[Discount %]]/100)</f>
        <v>198802.25</v>
      </c>
      <c r="X1026">
        <f>Table1[[#This Row],[DeliveryDate]]-Table1[[#This Row],[OrderDate]]</f>
        <v>4</v>
      </c>
      <c r="Y1026" t="str">
        <f>TEXT(Table1[[#This Row],[OrderDate]],"MMMM")</f>
        <v>September</v>
      </c>
      <c r="Z1026" s="5">
        <f>YEAR(Table1[[#This Row],[OrderDate]])</f>
        <v>2023</v>
      </c>
    </row>
    <row r="1027" spans="1:26" x14ac:dyDescent="0.3">
      <c r="A1027" s="1" t="s">
        <v>3047</v>
      </c>
      <c r="B1027" t="s">
        <v>293</v>
      </c>
      <c r="C1027" s="3">
        <v>22</v>
      </c>
      <c r="D1027" s="1" t="s">
        <v>24</v>
      </c>
      <c r="E1027" s="1" t="s">
        <v>142</v>
      </c>
      <c r="F1027" s="1" t="s">
        <v>91</v>
      </c>
      <c r="G1027" s="4">
        <v>44934</v>
      </c>
      <c r="H1027" s="4">
        <v>44938</v>
      </c>
      <c r="I1027" s="1" t="s">
        <v>77</v>
      </c>
      <c r="J1027" s="1" t="s">
        <v>30</v>
      </c>
      <c r="K1027" s="3">
        <v>1</v>
      </c>
      <c r="L1027" s="2">
        <v>23046</v>
      </c>
      <c r="M1027" s="3">
        <v>15</v>
      </c>
      <c r="N1027" s="1" t="s">
        <v>56</v>
      </c>
      <c r="O1027" s="1" t="s">
        <v>68</v>
      </c>
      <c r="P1027" s="1" t="s">
        <v>58</v>
      </c>
      <c r="Q1027" s="1" t="s">
        <v>1231</v>
      </c>
      <c r="R1027" s="1" t="s">
        <v>3049</v>
      </c>
      <c r="S1027" s="3">
        <v>2</v>
      </c>
      <c r="T1027" s="1" t="s">
        <v>36</v>
      </c>
      <c r="U1027" s="3">
        <v>63</v>
      </c>
      <c r="V1027" s="1" t="s">
        <v>79</v>
      </c>
      <c r="W1027" s="5">
        <f>Table1[[#This Row],[Quantity]]*Table1[[#This Row],[Price]]*(1-Table1[[#This Row],[Discount %]]/100)</f>
        <v>19589.099999999999</v>
      </c>
      <c r="X1027">
        <f>Table1[[#This Row],[DeliveryDate]]-Table1[[#This Row],[OrderDate]]</f>
        <v>4</v>
      </c>
      <c r="Y1027" t="str">
        <f>TEXT(Table1[[#This Row],[OrderDate]],"MMMM")</f>
        <v>January</v>
      </c>
      <c r="Z1027" s="5">
        <f>YEAR(Table1[[#This Row],[OrderDate]])</f>
        <v>2023</v>
      </c>
    </row>
    <row r="1028" spans="1:26" x14ac:dyDescent="0.3">
      <c r="A1028" s="1" t="s">
        <v>3050</v>
      </c>
      <c r="B1028" t="s">
        <v>503</v>
      </c>
      <c r="C1028" s="3">
        <v>24</v>
      </c>
      <c r="D1028" s="1" t="s">
        <v>24</v>
      </c>
      <c r="E1028" s="1" t="s">
        <v>26</v>
      </c>
      <c r="F1028" s="1" t="s">
        <v>91</v>
      </c>
      <c r="G1028" s="4">
        <v>45373</v>
      </c>
      <c r="H1028" s="4">
        <v>45377</v>
      </c>
      <c r="I1028" s="1" t="s">
        <v>29</v>
      </c>
      <c r="J1028" s="1" t="s">
        <v>44</v>
      </c>
      <c r="K1028" s="3">
        <v>4</v>
      </c>
      <c r="L1028" s="2">
        <v>48894</v>
      </c>
      <c r="M1028" s="3">
        <v>5</v>
      </c>
      <c r="N1028" s="1" t="s">
        <v>31</v>
      </c>
      <c r="O1028" s="1" t="s">
        <v>173</v>
      </c>
      <c r="P1028" s="1" t="s">
        <v>69</v>
      </c>
      <c r="Q1028" s="1" t="s">
        <v>506</v>
      </c>
      <c r="R1028" s="1" t="s">
        <v>3051</v>
      </c>
      <c r="S1028" s="3">
        <v>1</v>
      </c>
      <c r="T1028" s="1" t="s">
        <v>36</v>
      </c>
      <c r="U1028" s="3">
        <v>347</v>
      </c>
      <c r="V1028" s="1" t="s">
        <v>62</v>
      </c>
      <c r="W1028" s="5">
        <f>Table1[[#This Row],[Quantity]]*Table1[[#This Row],[Price]]*(1-Table1[[#This Row],[Discount %]]/100)</f>
        <v>185797.19999999998</v>
      </c>
      <c r="X1028">
        <f>Table1[[#This Row],[DeliveryDate]]-Table1[[#This Row],[OrderDate]]</f>
        <v>4</v>
      </c>
      <c r="Y1028" t="str">
        <f>TEXT(Table1[[#This Row],[OrderDate]],"MMMM")</f>
        <v>March</v>
      </c>
      <c r="Z1028" s="5">
        <f>YEAR(Table1[[#This Row],[OrderDate]])</f>
        <v>2024</v>
      </c>
    </row>
    <row r="1029" spans="1:26" x14ac:dyDescent="0.3">
      <c r="A1029" s="1" t="s">
        <v>3052</v>
      </c>
      <c r="B1029" t="s">
        <v>650</v>
      </c>
      <c r="C1029" s="3">
        <v>33</v>
      </c>
      <c r="D1029" s="1" t="s">
        <v>51</v>
      </c>
      <c r="E1029" s="1" t="s">
        <v>229</v>
      </c>
      <c r="F1029" s="1" t="s">
        <v>65</v>
      </c>
      <c r="G1029" s="4">
        <v>44957</v>
      </c>
      <c r="H1029" s="4">
        <v>44966</v>
      </c>
      <c r="I1029" s="1" t="s">
        <v>108</v>
      </c>
      <c r="J1029" s="1" t="s">
        <v>30</v>
      </c>
      <c r="K1029" s="3">
        <v>2</v>
      </c>
      <c r="L1029" s="2">
        <v>22872</v>
      </c>
      <c r="M1029" s="3">
        <v>10</v>
      </c>
      <c r="N1029" s="1" t="s">
        <v>45</v>
      </c>
      <c r="O1029" s="1" t="s">
        <v>46</v>
      </c>
      <c r="P1029" s="1" t="s">
        <v>174</v>
      </c>
      <c r="Q1029" s="1" t="s">
        <v>653</v>
      </c>
      <c r="R1029" s="1" t="s">
        <v>3053</v>
      </c>
      <c r="S1029" s="3">
        <v>5</v>
      </c>
      <c r="T1029" s="1" t="s">
        <v>96</v>
      </c>
      <c r="U1029" s="3">
        <v>337</v>
      </c>
      <c r="V1029" s="1" t="s">
        <v>79</v>
      </c>
      <c r="W1029" s="5">
        <f>Table1[[#This Row],[Quantity]]*Table1[[#This Row],[Price]]*(1-Table1[[#This Row],[Discount %]]/100)</f>
        <v>41169.599999999999</v>
      </c>
      <c r="X1029">
        <f>Table1[[#This Row],[DeliveryDate]]-Table1[[#This Row],[OrderDate]]</f>
        <v>9</v>
      </c>
      <c r="Y1029" t="str">
        <f>TEXT(Table1[[#This Row],[OrderDate]],"MMMM")</f>
        <v>January</v>
      </c>
      <c r="Z1029" s="5">
        <f>YEAR(Table1[[#This Row],[OrderDate]])</f>
        <v>2023</v>
      </c>
    </row>
    <row r="1030" spans="1:26" x14ac:dyDescent="0.3">
      <c r="A1030" s="1" t="s">
        <v>3054</v>
      </c>
      <c r="B1030" t="s">
        <v>162</v>
      </c>
      <c r="C1030" s="3">
        <v>41</v>
      </c>
      <c r="D1030" s="1" t="s">
        <v>51</v>
      </c>
      <c r="E1030" s="1" t="s">
        <v>99</v>
      </c>
      <c r="F1030" s="1" t="s">
        <v>53</v>
      </c>
      <c r="G1030" s="4">
        <v>45562</v>
      </c>
      <c r="H1030" s="4">
        <v>45565</v>
      </c>
      <c r="I1030" s="1" t="s">
        <v>43</v>
      </c>
      <c r="J1030" s="1" t="s">
        <v>30</v>
      </c>
      <c r="K1030" s="3">
        <v>2.9447852760736195</v>
      </c>
      <c r="L1030" s="2">
        <v>36719</v>
      </c>
      <c r="M1030" s="3">
        <v>0</v>
      </c>
      <c r="N1030" s="1" t="s">
        <v>56</v>
      </c>
      <c r="O1030" s="1" t="s">
        <v>68</v>
      </c>
      <c r="P1030" s="1" t="s">
        <v>33</v>
      </c>
      <c r="Q1030" s="1" t="s">
        <v>167</v>
      </c>
      <c r="R1030" s="1" t="s">
        <v>3056</v>
      </c>
      <c r="S1030" s="3">
        <v>1</v>
      </c>
      <c r="T1030" s="1" t="s">
        <v>61</v>
      </c>
      <c r="U1030" s="3">
        <v>419</v>
      </c>
      <c r="V1030" s="1" t="s">
        <v>62</v>
      </c>
      <c r="W1030" s="5">
        <f>Table1[[#This Row],[Quantity]]*Table1[[#This Row],[Price]]*(1-Table1[[#This Row],[Discount %]]/100)</f>
        <v>108129.57055214724</v>
      </c>
      <c r="X1030">
        <f>Table1[[#This Row],[DeliveryDate]]-Table1[[#This Row],[OrderDate]]</f>
        <v>3</v>
      </c>
      <c r="Y1030" t="str">
        <f>TEXT(Table1[[#This Row],[OrderDate]],"MMMM")</f>
        <v>September</v>
      </c>
      <c r="Z1030" s="5">
        <f>YEAR(Table1[[#This Row],[OrderDate]])</f>
        <v>2024</v>
      </c>
    </row>
    <row r="1031" spans="1:26" x14ac:dyDescent="0.3">
      <c r="A1031" s="1" t="s">
        <v>3057</v>
      </c>
      <c r="B1031" t="s">
        <v>457</v>
      </c>
      <c r="C1031" s="3">
        <v>27</v>
      </c>
      <c r="D1031" s="1" t="s">
        <v>24</v>
      </c>
      <c r="E1031" s="1" t="s">
        <v>26</v>
      </c>
      <c r="F1031" s="1" t="s">
        <v>91</v>
      </c>
      <c r="G1031" s="4">
        <v>45283</v>
      </c>
      <c r="H1031" s="4">
        <v>45292</v>
      </c>
      <c r="I1031" s="1" t="s">
        <v>85</v>
      </c>
      <c r="J1031" s="1" t="s">
        <v>30</v>
      </c>
      <c r="K1031" s="3">
        <v>5</v>
      </c>
      <c r="L1031" s="2">
        <v>61767</v>
      </c>
      <c r="M1031" s="3">
        <v>15</v>
      </c>
      <c r="N1031" s="1" t="s">
        <v>56</v>
      </c>
      <c r="O1031" s="1" t="s">
        <v>57</v>
      </c>
      <c r="P1031" s="1" t="s">
        <v>69</v>
      </c>
      <c r="Q1031" s="1" t="s">
        <v>595</v>
      </c>
      <c r="R1031" s="1" t="s">
        <v>3058</v>
      </c>
      <c r="S1031" s="3">
        <v>3</v>
      </c>
      <c r="T1031" s="1" t="s">
        <v>96</v>
      </c>
      <c r="U1031" s="3">
        <v>476</v>
      </c>
      <c r="V1031" s="1" t="s">
        <v>37</v>
      </c>
      <c r="W1031" s="5">
        <f>Table1[[#This Row],[Quantity]]*Table1[[#This Row],[Price]]*(1-Table1[[#This Row],[Discount %]]/100)</f>
        <v>262509.75</v>
      </c>
      <c r="X1031">
        <f>Table1[[#This Row],[DeliveryDate]]-Table1[[#This Row],[OrderDate]]</f>
        <v>9</v>
      </c>
      <c r="Y1031" t="str">
        <f>TEXT(Table1[[#This Row],[OrderDate]],"MMMM")</f>
        <v>December</v>
      </c>
      <c r="Z1031" s="5">
        <f>YEAR(Table1[[#This Row],[OrderDate]])</f>
        <v>2023</v>
      </c>
    </row>
    <row r="1032" spans="1:26" x14ac:dyDescent="0.3">
      <c r="A1032" s="1" t="s">
        <v>3059</v>
      </c>
      <c r="B1032" t="s">
        <v>461</v>
      </c>
      <c r="C1032" s="3">
        <v>55</v>
      </c>
      <c r="D1032" s="1" t="s">
        <v>51</v>
      </c>
      <c r="E1032" s="1" t="s">
        <v>26</v>
      </c>
      <c r="F1032" s="1" t="s">
        <v>82</v>
      </c>
      <c r="G1032" s="4">
        <v>45510</v>
      </c>
      <c r="H1032" s="4">
        <v>45518</v>
      </c>
      <c r="I1032" s="1" t="s">
        <v>93</v>
      </c>
      <c r="J1032" s="1" t="s">
        <v>30</v>
      </c>
      <c r="K1032" s="3">
        <v>2</v>
      </c>
      <c r="L1032" s="2">
        <v>42109.716287215415</v>
      </c>
      <c r="M1032" s="3">
        <v>0</v>
      </c>
      <c r="N1032" s="1" t="s">
        <v>31</v>
      </c>
      <c r="O1032" s="1" t="s">
        <v>133</v>
      </c>
      <c r="P1032" s="1" t="s">
        <v>33</v>
      </c>
      <c r="Q1032" s="1" t="s">
        <v>3415</v>
      </c>
      <c r="R1032" s="1" t="s">
        <v>3415</v>
      </c>
      <c r="S1032" s="3">
        <v>5</v>
      </c>
      <c r="T1032" s="1" t="s">
        <v>96</v>
      </c>
      <c r="U1032" s="3">
        <v>116</v>
      </c>
      <c r="V1032" s="1" t="s">
        <v>79</v>
      </c>
      <c r="W1032" s="5">
        <f>Table1[[#This Row],[Quantity]]*Table1[[#This Row],[Price]]*(1-Table1[[#This Row],[Discount %]]/100)</f>
        <v>84219.43257443083</v>
      </c>
      <c r="X1032">
        <f>Table1[[#This Row],[DeliveryDate]]-Table1[[#This Row],[OrderDate]]</f>
        <v>8</v>
      </c>
      <c r="Y1032" t="str">
        <f>TEXT(Table1[[#This Row],[OrderDate]],"MMMM")</f>
        <v>August</v>
      </c>
      <c r="Z1032" s="5">
        <f>YEAR(Table1[[#This Row],[OrderDate]])</f>
        <v>2024</v>
      </c>
    </row>
    <row r="1033" spans="1:26" x14ac:dyDescent="0.3">
      <c r="A1033" s="1" t="s">
        <v>3060</v>
      </c>
      <c r="B1033" t="s">
        <v>64</v>
      </c>
      <c r="C1033" s="3">
        <v>57</v>
      </c>
      <c r="D1033" s="1" t="s">
        <v>51</v>
      </c>
      <c r="E1033" s="1" t="s">
        <v>131</v>
      </c>
      <c r="F1033" s="1" t="s">
        <v>65</v>
      </c>
      <c r="G1033" s="4">
        <v>45246</v>
      </c>
      <c r="H1033" s="4">
        <v>45252</v>
      </c>
      <c r="I1033" s="1" t="s">
        <v>108</v>
      </c>
      <c r="J1033" s="1" t="s">
        <v>30</v>
      </c>
      <c r="K1033" s="3">
        <v>1</v>
      </c>
      <c r="L1033" s="2">
        <v>41740</v>
      </c>
      <c r="M1033" s="3">
        <v>10</v>
      </c>
      <c r="N1033" s="1" t="s">
        <v>31</v>
      </c>
      <c r="O1033" s="1" t="s">
        <v>281</v>
      </c>
      <c r="P1033" s="1" t="s">
        <v>33</v>
      </c>
      <c r="Q1033" s="1" t="s">
        <v>70</v>
      </c>
      <c r="R1033" s="1" t="s">
        <v>3415</v>
      </c>
      <c r="S1033" s="3">
        <v>3</v>
      </c>
      <c r="T1033" s="1" t="s">
        <v>96</v>
      </c>
      <c r="U1033" s="3">
        <v>225</v>
      </c>
      <c r="V1033" s="1" t="s">
        <v>37</v>
      </c>
      <c r="W1033" s="5">
        <f>Table1[[#This Row],[Quantity]]*Table1[[#This Row],[Price]]*(1-Table1[[#This Row],[Discount %]]/100)</f>
        <v>37566</v>
      </c>
      <c r="X1033">
        <f>Table1[[#This Row],[DeliveryDate]]-Table1[[#This Row],[OrderDate]]</f>
        <v>6</v>
      </c>
      <c r="Y1033" t="str">
        <f>TEXT(Table1[[#This Row],[OrderDate]],"MMMM")</f>
        <v>November</v>
      </c>
      <c r="Z1033" s="5">
        <f>YEAR(Table1[[#This Row],[OrderDate]])</f>
        <v>2023</v>
      </c>
    </row>
    <row r="1034" spans="1:26" x14ac:dyDescent="0.3">
      <c r="A1034" s="1" t="s">
        <v>3061</v>
      </c>
      <c r="B1034" t="s">
        <v>1045</v>
      </c>
      <c r="C1034" s="3">
        <v>58</v>
      </c>
      <c r="D1034" s="1" t="s">
        <v>24</v>
      </c>
      <c r="E1034" s="1" t="s">
        <v>142</v>
      </c>
      <c r="F1034" s="1" t="s">
        <v>53</v>
      </c>
      <c r="G1034" s="4">
        <v>45472</v>
      </c>
      <c r="H1034" s="4">
        <v>45479</v>
      </c>
      <c r="I1034" s="1" t="s">
        <v>29</v>
      </c>
      <c r="J1034" s="1" t="s">
        <v>44</v>
      </c>
      <c r="K1034" s="3">
        <v>2</v>
      </c>
      <c r="L1034" s="2">
        <v>77971</v>
      </c>
      <c r="M1034" s="3">
        <v>15</v>
      </c>
      <c r="N1034" s="1" t="s">
        <v>45</v>
      </c>
      <c r="O1034" s="1" t="s">
        <v>133</v>
      </c>
      <c r="P1034" s="1" t="s">
        <v>58</v>
      </c>
      <c r="Q1034" s="1" t="s">
        <v>1048</v>
      </c>
      <c r="R1034" s="1" t="s">
        <v>3062</v>
      </c>
      <c r="S1034" s="3">
        <v>5</v>
      </c>
      <c r="T1034" s="1" t="s">
        <v>36</v>
      </c>
      <c r="U1034" s="3">
        <v>194</v>
      </c>
      <c r="V1034" s="1" t="s">
        <v>37</v>
      </c>
      <c r="W1034" s="5">
        <f>Table1[[#This Row],[Quantity]]*Table1[[#This Row],[Price]]*(1-Table1[[#This Row],[Discount %]]/100)</f>
        <v>132550.69999999998</v>
      </c>
      <c r="X1034">
        <f>Table1[[#This Row],[DeliveryDate]]-Table1[[#This Row],[OrderDate]]</f>
        <v>7</v>
      </c>
      <c r="Y1034" t="str">
        <f>TEXT(Table1[[#This Row],[OrderDate]],"MMMM")</f>
        <v>June</v>
      </c>
      <c r="Z1034" s="5">
        <f>YEAR(Table1[[#This Row],[OrderDate]])</f>
        <v>2024</v>
      </c>
    </row>
    <row r="1035" spans="1:26" x14ac:dyDescent="0.3">
      <c r="A1035" s="1" t="s">
        <v>3063</v>
      </c>
      <c r="B1035" t="s">
        <v>803</v>
      </c>
      <c r="C1035" s="3">
        <v>21</v>
      </c>
      <c r="D1035" s="1" t="s">
        <v>24</v>
      </c>
      <c r="E1035" s="1" t="s">
        <v>99</v>
      </c>
      <c r="F1035" s="1" t="s">
        <v>26</v>
      </c>
      <c r="G1035" s="4">
        <v>45051</v>
      </c>
      <c r="H1035" s="4">
        <v>45057</v>
      </c>
      <c r="I1035" s="1" t="s">
        <v>43</v>
      </c>
      <c r="J1035" s="1" t="s">
        <v>44</v>
      </c>
      <c r="K1035" s="3">
        <v>2.9447852760736195</v>
      </c>
      <c r="L1035" s="2">
        <v>52114</v>
      </c>
      <c r="M1035" s="3">
        <v>15</v>
      </c>
      <c r="N1035" s="1" t="s">
        <v>166</v>
      </c>
      <c r="O1035" s="1" t="s">
        <v>86</v>
      </c>
      <c r="P1035" s="1" t="s">
        <v>33</v>
      </c>
      <c r="Q1035" s="1" t="s">
        <v>805</v>
      </c>
      <c r="R1035" s="1" t="s">
        <v>3065</v>
      </c>
      <c r="S1035" s="3">
        <v>5</v>
      </c>
      <c r="T1035" s="1" t="s">
        <v>96</v>
      </c>
      <c r="U1035" s="3">
        <v>336</v>
      </c>
      <c r="V1035" s="1" t="s">
        <v>37</v>
      </c>
      <c r="W1035" s="5">
        <f>Table1[[#This Row],[Quantity]]*Table1[[#This Row],[Price]]*(1-Table1[[#This Row],[Discount %]]/100)</f>
        <v>130444.85889570552</v>
      </c>
      <c r="X1035">
        <f>Table1[[#This Row],[DeliveryDate]]-Table1[[#This Row],[OrderDate]]</f>
        <v>6</v>
      </c>
      <c r="Y1035" t="str">
        <f>TEXT(Table1[[#This Row],[OrderDate]],"MMMM")</f>
        <v>May</v>
      </c>
      <c r="Z1035" s="5">
        <f>YEAR(Table1[[#This Row],[OrderDate]])</f>
        <v>2023</v>
      </c>
    </row>
    <row r="1036" spans="1:26" x14ac:dyDescent="0.3">
      <c r="A1036" s="1" t="s">
        <v>3066</v>
      </c>
      <c r="B1036" t="s">
        <v>645</v>
      </c>
      <c r="C1036" s="3">
        <v>20</v>
      </c>
      <c r="D1036" s="1" t="s">
        <v>51</v>
      </c>
      <c r="E1036" s="1" t="s">
        <v>131</v>
      </c>
      <c r="F1036" s="1" t="s">
        <v>53</v>
      </c>
      <c r="G1036" s="4">
        <v>45372</v>
      </c>
      <c r="H1036" s="4">
        <v>45381</v>
      </c>
      <c r="I1036" s="1" t="s">
        <v>77</v>
      </c>
      <c r="J1036" s="1" t="s">
        <v>30</v>
      </c>
      <c r="K1036" s="3">
        <v>5</v>
      </c>
      <c r="L1036" s="2">
        <v>53752</v>
      </c>
      <c r="M1036" s="3">
        <v>0</v>
      </c>
      <c r="N1036" s="1" t="s">
        <v>45</v>
      </c>
      <c r="O1036" s="1" t="s">
        <v>281</v>
      </c>
      <c r="P1036" s="1" t="s">
        <v>58</v>
      </c>
      <c r="Q1036" s="1" t="s">
        <v>647</v>
      </c>
      <c r="R1036" s="1" t="s">
        <v>3068</v>
      </c>
      <c r="S1036" s="3">
        <v>4</v>
      </c>
      <c r="T1036" s="1" t="s">
        <v>61</v>
      </c>
      <c r="U1036" s="3">
        <v>142</v>
      </c>
      <c r="V1036" s="1" t="s">
        <v>62</v>
      </c>
      <c r="W1036" s="5">
        <f>Table1[[#This Row],[Quantity]]*Table1[[#This Row],[Price]]*(1-Table1[[#This Row],[Discount %]]/100)</f>
        <v>268760</v>
      </c>
      <c r="X1036">
        <f>Table1[[#This Row],[DeliveryDate]]-Table1[[#This Row],[OrderDate]]</f>
        <v>9</v>
      </c>
      <c r="Y1036" t="str">
        <f>TEXT(Table1[[#This Row],[OrderDate]],"MMMM")</f>
        <v>March</v>
      </c>
      <c r="Z1036" s="5">
        <f>YEAR(Table1[[#This Row],[OrderDate]])</f>
        <v>2024</v>
      </c>
    </row>
    <row r="1037" spans="1:26" x14ac:dyDescent="0.3">
      <c r="A1037" s="1" t="s">
        <v>3069</v>
      </c>
      <c r="B1037" t="s">
        <v>130</v>
      </c>
      <c r="C1037" s="3">
        <v>49</v>
      </c>
      <c r="D1037" s="1" t="s">
        <v>51</v>
      </c>
      <c r="E1037" s="1" t="s">
        <v>229</v>
      </c>
      <c r="F1037" s="1" t="s">
        <v>82</v>
      </c>
      <c r="G1037" s="4">
        <v>45447</v>
      </c>
      <c r="H1037" s="4">
        <v>45453</v>
      </c>
      <c r="I1037" s="1" t="s">
        <v>108</v>
      </c>
      <c r="J1037" s="1" t="s">
        <v>30</v>
      </c>
      <c r="K1037" s="3">
        <v>4</v>
      </c>
      <c r="L1037" s="2">
        <v>61972</v>
      </c>
      <c r="M1037" s="3">
        <v>15</v>
      </c>
      <c r="N1037" s="1" t="s">
        <v>31</v>
      </c>
      <c r="O1037" s="1" t="s">
        <v>86</v>
      </c>
      <c r="P1037" s="1" t="s">
        <v>69</v>
      </c>
      <c r="Q1037" s="1" t="s">
        <v>1355</v>
      </c>
      <c r="R1037" s="1" t="s">
        <v>3070</v>
      </c>
      <c r="S1037" s="3">
        <v>3</v>
      </c>
      <c r="T1037" s="1" t="s">
        <v>61</v>
      </c>
      <c r="U1037" s="3">
        <v>140</v>
      </c>
      <c r="V1037" s="1" t="s">
        <v>62</v>
      </c>
      <c r="W1037" s="5">
        <f>Table1[[#This Row],[Quantity]]*Table1[[#This Row],[Price]]*(1-Table1[[#This Row],[Discount %]]/100)</f>
        <v>210704.8</v>
      </c>
      <c r="X1037">
        <f>Table1[[#This Row],[DeliveryDate]]-Table1[[#This Row],[OrderDate]]</f>
        <v>6</v>
      </c>
      <c r="Y1037" t="str">
        <f>TEXT(Table1[[#This Row],[OrderDate]],"MMMM")</f>
        <v>June</v>
      </c>
      <c r="Z1037" s="5">
        <f>YEAR(Table1[[#This Row],[OrderDate]])</f>
        <v>2024</v>
      </c>
    </row>
    <row r="1038" spans="1:26" x14ac:dyDescent="0.3">
      <c r="A1038" s="1" t="s">
        <v>3071</v>
      </c>
      <c r="B1038" t="s">
        <v>249</v>
      </c>
      <c r="C1038" s="3">
        <v>26</v>
      </c>
      <c r="D1038" s="1" t="s">
        <v>24</v>
      </c>
      <c r="E1038" s="1" t="s">
        <v>26</v>
      </c>
      <c r="F1038" s="1" t="s">
        <v>26</v>
      </c>
      <c r="G1038" s="4">
        <v>45579</v>
      </c>
      <c r="H1038" s="4">
        <v>45585</v>
      </c>
      <c r="I1038" s="1" t="s">
        <v>43</v>
      </c>
      <c r="J1038" s="1" t="s">
        <v>30</v>
      </c>
      <c r="K1038" s="3">
        <v>1</v>
      </c>
      <c r="L1038" s="2">
        <v>41294</v>
      </c>
      <c r="M1038" s="3">
        <v>15</v>
      </c>
      <c r="N1038" s="1" t="s">
        <v>56</v>
      </c>
      <c r="O1038" s="1" t="s">
        <v>32</v>
      </c>
      <c r="P1038" s="1" t="s">
        <v>174</v>
      </c>
      <c r="Q1038" s="1" t="s">
        <v>252</v>
      </c>
      <c r="R1038" s="1" t="s">
        <v>3072</v>
      </c>
      <c r="S1038" s="3">
        <v>5</v>
      </c>
      <c r="T1038" s="1" t="s">
        <v>36</v>
      </c>
      <c r="U1038" s="3">
        <v>460</v>
      </c>
      <c r="V1038" s="1" t="s">
        <v>79</v>
      </c>
      <c r="W1038" s="5">
        <f>Table1[[#This Row],[Quantity]]*Table1[[#This Row],[Price]]*(1-Table1[[#This Row],[Discount %]]/100)</f>
        <v>35099.9</v>
      </c>
      <c r="X1038">
        <f>Table1[[#This Row],[DeliveryDate]]-Table1[[#This Row],[OrderDate]]</f>
        <v>6</v>
      </c>
      <c r="Y1038" t="str">
        <f>TEXT(Table1[[#This Row],[OrderDate]],"MMMM")</f>
        <v>October</v>
      </c>
      <c r="Z1038" s="5">
        <f>YEAR(Table1[[#This Row],[OrderDate]])</f>
        <v>2024</v>
      </c>
    </row>
    <row r="1039" spans="1:26" x14ac:dyDescent="0.3">
      <c r="A1039" s="1" t="s">
        <v>3073</v>
      </c>
      <c r="B1039" t="s">
        <v>457</v>
      </c>
      <c r="C1039" s="3">
        <v>53</v>
      </c>
      <c r="D1039" s="1" t="s">
        <v>51</v>
      </c>
      <c r="E1039" s="1" t="s">
        <v>99</v>
      </c>
      <c r="F1039" s="1" t="s">
        <v>91</v>
      </c>
      <c r="G1039" s="4">
        <v>44969</v>
      </c>
      <c r="H1039" s="4">
        <v>44971</v>
      </c>
      <c r="I1039" s="1" t="s">
        <v>43</v>
      </c>
      <c r="J1039" s="1" t="s">
        <v>44</v>
      </c>
      <c r="K1039" s="3">
        <v>2</v>
      </c>
      <c r="L1039" s="2">
        <v>20853</v>
      </c>
      <c r="M1039" s="3">
        <v>10</v>
      </c>
      <c r="N1039" s="1" t="s">
        <v>56</v>
      </c>
      <c r="O1039" s="1" t="s">
        <v>32</v>
      </c>
      <c r="P1039" s="1" t="s">
        <v>33</v>
      </c>
      <c r="Q1039" s="1" t="s">
        <v>595</v>
      </c>
      <c r="R1039" s="1" t="s">
        <v>3074</v>
      </c>
      <c r="S1039" s="3">
        <v>1</v>
      </c>
      <c r="T1039" s="1" t="s">
        <v>96</v>
      </c>
      <c r="U1039" s="3">
        <v>135</v>
      </c>
      <c r="V1039" s="1" t="s">
        <v>37</v>
      </c>
      <c r="W1039" s="5">
        <f>Table1[[#This Row],[Quantity]]*Table1[[#This Row],[Price]]*(1-Table1[[#This Row],[Discount %]]/100)</f>
        <v>37535.4</v>
      </c>
      <c r="X1039">
        <f>Table1[[#This Row],[DeliveryDate]]-Table1[[#This Row],[OrderDate]]</f>
        <v>2</v>
      </c>
      <c r="Y1039" t="str">
        <f>TEXT(Table1[[#This Row],[OrderDate]],"MMMM")</f>
        <v>February</v>
      </c>
      <c r="Z1039" s="5">
        <f>YEAR(Table1[[#This Row],[OrderDate]])</f>
        <v>2023</v>
      </c>
    </row>
    <row r="1040" spans="1:26" x14ac:dyDescent="0.3">
      <c r="A1040" s="1" t="s">
        <v>3075</v>
      </c>
      <c r="B1040" t="s">
        <v>193</v>
      </c>
      <c r="C1040" s="3">
        <v>59</v>
      </c>
      <c r="D1040" s="1" t="s">
        <v>24</v>
      </c>
      <c r="E1040" s="1" t="s">
        <v>25</v>
      </c>
      <c r="F1040" s="1" t="s">
        <v>82</v>
      </c>
      <c r="G1040" s="4">
        <v>45346</v>
      </c>
      <c r="H1040" s="4">
        <v>45353</v>
      </c>
      <c r="I1040" s="1" t="s">
        <v>29</v>
      </c>
      <c r="J1040" s="1" t="s">
        <v>30</v>
      </c>
      <c r="K1040" s="3">
        <v>3</v>
      </c>
      <c r="L1040" s="2">
        <v>43617</v>
      </c>
      <c r="M1040" s="3">
        <v>10</v>
      </c>
      <c r="N1040" s="1" t="s">
        <v>166</v>
      </c>
      <c r="O1040" s="1" t="s">
        <v>32</v>
      </c>
      <c r="P1040" s="1" t="s">
        <v>58</v>
      </c>
      <c r="Q1040" s="1" t="s">
        <v>3415</v>
      </c>
      <c r="R1040" s="1" t="s">
        <v>3076</v>
      </c>
      <c r="S1040" s="3">
        <v>4</v>
      </c>
      <c r="T1040" s="1" t="s">
        <v>61</v>
      </c>
      <c r="U1040" s="3">
        <v>448</v>
      </c>
      <c r="V1040" s="1" t="s">
        <v>62</v>
      </c>
      <c r="W1040" s="5">
        <f>Table1[[#This Row],[Quantity]]*Table1[[#This Row],[Price]]*(1-Table1[[#This Row],[Discount %]]/100)</f>
        <v>117765.90000000001</v>
      </c>
      <c r="X1040">
        <f>Table1[[#This Row],[DeliveryDate]]-Table1[[#This Row],[OrderDate]]</f>
        <v>7</v>
      </c>
      <c r="Y1040" t="str">
        <f>TEXT(Table1[[#This Row],[OrderDate]],"MMMM")</f>
        <v>February</v>
      </c>
      <c r="Z1040" s="5">
        <f>YEAR(Table1[[#This Row],[OrderDate]])</f>
        <v>2024</v>
      </c>
    </row>
    <row r="1041" spans="1:26" x14ac:dyDescent="0.3">
      <c r="A1041" s="1" t="s">
        <v>3077</v>
      </c>
      <c r="B1041" t="s">
        <v>235</v>
      </c>
      <c r="C1041" s="3">
        <v>54</v>
      </c>
      <c r="D1041" s="1" t="s">
        <v>24</v>
      </c>
      <c r="E1041" s="1" t="s">
        <v>229</v>
      </c>
      <c r="F1041" s="1" t="s">
        <v>26</v>
      </c>
      <c r="G1041" s="4">
        <v>45473</v>
      </c>
      <c r="H1041" s="4">
        <v>45478</v>
      </c>
      <c r="I1041" s="1" t="s">
        <v>108</v>
      </c>
      <c r="J1041" s="1" t="s">
        <v>44</v>
      </c>
      <c r="K1041" s="3">
        <v>4</v>
      </c>
      <c r="L1041" s="2">
        <v>19888</v>
      </c>
      <c r="M1041" s="3">
        <v>10</v>
      </c>
      <c r="N1041" s="1" t="s">
        <v>45</v>
      </c>
      <c r="O1041" s="1" t="s">
        <v>133</v>
      </c>
      <c r="P1041" s="1" t="s">
        <v>33</v>
      </c>
      <c r="Q1041" s="1" t="s">
        <v>871</v>
      </c>
      <c r="R1041" s="1" t="s">
        <v>3078</v>
      </c>
      <c r="S1041" s="3">
        <v>2</v>
      </c>
      <c r="T1041" s="1" t="s">
        <v>96</v>
      </c>
      <c r="U1041" s="3">
        <v>452</v>
      </c>
      <c r="V1041" s="1" t="s">
        <v>37</v>
      </c>
      <c r="W1041" s="5">
        <f>Table1[[#This Row],[Quantity]]*Table1[[#This Row],[Price]]*(1-Table1[[#This Row],[Discount %]]/100)</f>
        <v>71596.800000000003</v>
      </c>
      <c r="X1041">
        <f>Table1[[#This Row],[DeliveryDate]]-Table1[[#This Row],[OrderDate]]</f>
        <v>5</v>
      </c>
      <c r="Y1041" t="str">
        <f>TEXT(Table1[[#This Row],[OrderDate]],"MMMM")</f>
        <v>June</v>
      </c>
      <c r="Z1041" s="5">
        <f>YEAR(Table1[[#This Row],[OrderDate]])</f>
        <v>2024</v>
      </c>
    </row>
    <row r="1042" spans="1:26" x14ac:dyDescent="0.3">
      <c r="A1042" s="1" t="s">
        <v>3079</v>
      </c>
      <c r="B1042" t="s">
        <v>156</v>
      </c>
      <c r="C1042" s="3">
        <v>42</v>
      </c>
      <c r="D1042" s="1" t="s">
        <v>51</v>
      </c>
      <c r="E1042" s="1" t="s">
        <v>99</v>
      </c>
      <c r="F1042" s="1" t="s">
        <v>91</v>
      </c>
      <c r="G1042" s="4">
        <v>45134</v>
      </c>
      <c r="H1042" s="4">
        <v>45143</v>
      </c>
      <c r="I1042" s="1" t="s">
        <v>93</v>
      </c>
      <c r="J1042" s="1" t="s">
        <v>44</v>
      </c>
      <c r="K1042" s="3">
        <v>4</v>
      </c>
      <c r="L1042" s="2">
        <v>29751</v>
      </c>
      <c r="M1042" s="3">
        <v>10</v>
      </c>
      <c r="N1042" s="1" t="s">
        <v>31</v>
      </c>
      <c r="O1042" s="1" t="s">
        <v>86</v>
      </c>
      <c r="P1042" s="1" t="s">
        <v>58</v>
      </c>
      <c r="Q1042" s="1" t="s">
        <v>159</v>
      </c>
      <c r="R1042" s="1" t="s">
        <v>3080</v>
      </c>
      <c r="S1042" s="3">
        <v>2</v>
      </c>
      <c r="T1042" s="1" t="s">
        <v>96</v>
      </c>
      <c r="U1042" s="3">
        <v>378</v>
      </c>
      <c r="V1042" s="1" t="s">
        <v>37</v>
      </c>
      <c r="W1042" s="5">
        <f>Table1[[#This Row],[Quantity]]*Table1[[#This Row],[Price]]*(1-Table1[[#This Row],[Discount %]]/100)</f>
        <v>107103.6</v>
      </c>
      <c r="X1042">
        <f>Table1[[#This Row],[DeliveryDate]]-Table1[[#This Row],[OrderDate]]</f>
        <v>9</v>
      </c>
      <c r="Y1042" t="str">
        <f>TEXT(Table1[[#This Row],[OrderDate]],"MMMM")</f>
        <v>July</v>
      </c>
      <c r="Z1042" s="5">
        <f>YEAR(Table1[[#This Row],[OrderDate]])</f>
        <v>2023</v>
      </c>
    </row>
    <row r="1043" spans="1:26" x14ac:dyDescent="0.3">
      <c r="A1043" s="1" t="s">
        <v>3081</v>
      </c>
      <c r="B1043" t="s">
        <v>309</v>
      </c>
      <c r="C1043" s="3">
        <v>59</v>
      </c>
      <c r="D1043" s="1" t="s">
        <v>51</v>
      </c>
      <c r="E1043" s="1" t="s">
        <v>26</v>
      </c>
      <c r="F1043" s="1" t="s">
        <v>53</v>
      </c>
      <c r="G1043" s="4">
        <v>45244</v>
      </c>
      <c r="H1043" s="4">
        <v>45254</v>
      </c>
      <c r="I1043" s="1" t="s">
        <v>29</v>
      </c>
      <c r="J1043" s="1" t="s">
        <v>44</v>
      </c>
      <c r="K1043" s="3">
        <v>5</v>
      </c>
      <c r="L1043" s="2">
        <v>72908</v>
      </c>
      <c r="M1043" s="3">
        <v>10</v>
      </c>
      <c r="N1043" s="1" t="s">
        <v>166</v>
      </c>
      <c r="O1043" s="1" t="s">
        <v>281</v>
      </c>
      <c r="P1043" s="1" t="s">
        <v>33</v>
      </c>
      <c r="Q1043" s="1" t="s">
        <v>312</v>
      </c>
      <c r="R1043" s="1" t="s">
        <v>3415</v>
      </c>
      <c r="S1043" s="3">
        <v>4</v>
      </c>
      <c r="T1043" s="1" t="s">
        <v>36</v>
      </c>
      <c r="U1043" s="3">
        <v>135</v>
      </c>
      <c r="V1043" s="1" t="s">
        <v>62</v>
      </c>
      <c r="W1043" s="5">
        <f>Table1[[#This Row],[Quantity]]*Table1[[#This Row],[Price]]*(1-Table1[[#This Row],[Discount %]]/100)</f>
        <v>328086</v>
      </c>
      <c r="X1043">
        <f>Table1[[#This Row],[DeliveryDate]]-Table1[[#This Row],[OrderDate]]</f>
        <v>10</v>
      </c>
      <c r="Y1043" t="str">
        <f>TEXT(Table1[[#This Row],[OrderDate]],"MMMM")</f>
        <v>November</v>
      </c>
      <c r="Z1043" s="5">
        <f>YEAR(Table1[[#This Row],[OrderDate]])</f>
        <v>2023</v>
      </c>
    </row>
    <row r="1044" spans="1:26" x14ac:dyDescent="0.3">
      <c r="A1044" s="1" t="s">
        <v>3082</v>
      </c>
      <c r="B1044" t="s">
        <v>684</v>
      </c>
      <c r="C1044" s="3">
        <v>49</v>
      </c>
      <c r="D1044" s="1" t="s">
        <v>24</v>
      </c>
      <c r="E1044" s="1" t="s">
        <v>142</v>
      </c>
      <c r="F1044" s="1" t="s">
        <v>91</v>
      </c>
      <c r="G1044" s="4">
        <v>44974</v>
      </c>
      <c r="H1044" s="4">
        <v>44978</v>
      </c>
      <c r="I1044" s="1" t="s">
        <v>93</v>
      </c>
      <c r="J1044" s="1" t="s">
        <v>44</v>
      </c>
      <c r="K1044" s="3">
        <v>2.9447852760736195</v>
      </c>
      <c r="L1044" s="2">
        <v>67071</v>
      </c>
      <c r="M1044" s="3">
        <v>10</v>
      </c>
      <c r="N1044" s="1" t="s">
        <v>45</v>
      </c>
      <c r="O1044" s="1" t="s">
        <v>133</v>
      </c>
      <c r="P1044" s="1" t="s">
        <v>58</v>
      </c>
      <c r="Q1044" s="1" t="s">
        <v>785</v>
      </c>
      <c r="R1044" s="1" t="s">
        <v>3083</v>
      </c>
      <c r="S1044" s="3">
        <v>1</v>
      </c>
      <c r="T1044" s="1" t="s">
        <v>36</v>
      </c>
      <c r="U1044" s="3">
        <v>451</v>
      </c>
      <c r="V1044" s="1" t="s">
        <v>37</v>
      </c>
      <c r="W1044" s="5">
        <f>Table1[[#This Row],[Quantity]]*Table1[[#This Row],[Price]]*(1-Table1[[#This Row],[Discount %]]/100)</f>
        <v>177758.72392638036</v>
      </c>
      <c r="X1044">
        <f>Table1[[#This Row],[DeliveryDate]]-Table1[[#This Row],[OrderDate]]</f>
        <v>4</v>
      </c>
      <c r="Y1044" t="str">
        <f>TEXT(Table1[[#This Row],[OrderDate]],"MMMM")</f>
        <v>February</v>
      </c>
      <c r="Z1044" s="5">
        <f>YEAR(Table1[[#This Row],[OrderDate]])</f>
        <v>2023</v>
      </c>
    </row>
    <row r="1045" spans="1:26" x14ac:dyDescent="0.3">
      <c r="A1045" s="1" t="s">
        <v>3084</v>
      </c>
      <c r="B1045" t="s">
        <v>1876</v>
      </c>
      <c r="C1045" s="3">
        <v>46</v>
      </c>
      <c r="D1045" s="1" t="s">
        <v>24</v>
      </c>
      <c r="E1045" s="1" t="s">
        <v>25</v>
      </c>
      <c r="F1045" s="1" t="s">
        <v>82</v>
      </c>
      <c r="G1045" s="4">
        <v>45216</v>
      </c>
      <c r="H1045" s="4">
        <v>45217</v>
      </c>
      <c r="I1045" s="1" t="s">
        <v>93</v>
      </c>
      <c r="J1045" s="1" t="s">
        <v>44</v>
      </c>
      <c r="K1045" s="3">
        <v>5</v>
      </c>
      <c r="L1045" s="2">
        <v>57817</v>
      </c>
      <c r="M1045" s="3">
        <v>15</v>
      </c>
      <c r="N1045" s="1" t="s">
        <v>166</v>
      </c>
      <c r="O1045" s="1" t="s">
        <v>32</v>
      </c>
      <c r="P1045" s="1" t="s">
        <v>174</v>
      </c>
      <c r="Q1045" s="1" t="s">
        <v>1427</v>
      </c>
      <c r="R1045" s="1" t="s">
        <v>3085</v>
      </c>
      <c r="S1045" s="3">
        <v>1</v>
      </c>
      <c r="T1045" s="1" t="s">
        <v>72</v>
      </c>
      <c r="U1045" s="3">
        <v>460</v>
      </c>
      <c r="V1045" s="1" t="s">
        <v>79</v>
      </c>
      <c r="W1045" s="5">
        <f>Table1[[#This Row],[Quantity]]*Table1[[#This Row],[Price]]*(1-Table1[[#This Row],[Discount %]]/100)</f>
        <v>245722.25</v>
      </c>
      <c r="X1045">
        <f>Table1[[#This Row],[DeliveryDate]]-Table1[[#This Row],[OrderDate]]</f>
        <v>1</v>
      </c>
      <c r="Y1045" t="str">
        <f>TEXT(Table1[[#This Row],[OrderDate]],"MMMM")</f>
        <v>October</v>
      </c>
      <c r="Z1045" s="5">
        <f>YEAR(Table1[[#This Row],[OrderDate]])</f>
        <v>2023</v>
      </c>
    </row>
    <row r="1046" spans="1:26" x14ac:dyDescent="0.3">
      <c r="A1046" s="1" t="s">
        <v>3086</v>
      </c>
      <c r="B1046" t="s">
        <v>216</v>
      </c>
      <c r="C1046" s="3">
        <v>58</v>
      </c>
      <c r="D1046" s="1" t="s">
        <v>51</v>
      </c>
      <c r="E1046" s="1" t="s">
        <v>229</v>
      </c>
      <c r="F1046" s="1" t="s">
        <v>26</v>
      </c>
      <c r="G1046" s="4">
        <v>44995</v>
      </c>
      <c r="H1046" s="4">
        <v>44996</v>
      </c>
      <c r="I1046" s="1" t="s">
        <v>85</v>
      </c>
      <c r="J1046" s="1" t="s">
        <v>30</v>
      </c>
      <c r="K1046" s="3">
        <v>4</v>
      </c>
      <c r="L1046" s="2">
        <v>76724</v>
      </c>
      <c r="M1046" s="3">
        <v>5</v>
      </c>
      <c r="N1046" s="1" t="s">
        <v>56</v>
      </c>
      <c r="O1046" s="1" t="s">
        <v>109</v>
      </c>
      <c r="P1046" s="1" t="s">
        <v>69</v>
      </c>
      <c r="Q1046" s="1" t="s">
        <v>219</v>
      </c>
      <c r="R1046" s="1" t="s">
        <v>3087</v>
      </c>
      <c r="S1046" s="3">
        <v>1</v>
      </c>
      <c r="T1046" s="1" t="s">
        <v>96</v>
      </c>
      <c r="U1046" s="3">
        <v>310</v>
      </c>
      <c r="V1046" s="1" t="s">
        <v>62</v>
      </c>
      <c r="W1046" s="5">
        <f>Table1[[#This Row],[Quantity]]*Table1[[#This Row],[Price]]*(1-Table1[[#This Row],[Discount %]]/100)</f>
        <v>291551.2</v>
      </c>
      <c r="X1046">
        <f>Table1[[#This Row],[DeliveryDate]]-Table1[[#This Row],[OrderDate]]</f>
        <v>1</v>
      </c>
      <c r="Y1046" t="str">
        <f>TEXT(Table1[[#This Row],[OrderDate]],"MMMM")</f>
        <v>March</v>
      </c>
      <c r="Z1046" s="5">
        <f>YEAR(Table1[[#This Row],[OrderDate]])</f>
        <v>2023</v>
      </c>
    </row>
    <row r="1047" spans="1:26" x14ac:dyDescent="0.3">
      <c r="A1047" s="1" t="s">
        <v>3088</v>
      </c>
      <c r="B1047" t="s">
        <v>589</v>
      </c>
      <c r="C1047" s="3">
        <v>52</v>
      </c>
      <c r="D1047" s="1" t="s">
        <v>24</v>
      </c>
      <c r="E1047" s="1" t="s">
        <v>142</v>
      </c>
      <c r="F1047" s="1" t="s">
        <v>26</v>
      </c>
      <c r="G1047" s="4">
        <v>44935</v>
      </c>
      <c r="H1047" s="4">
        <v>44938</v>
      </c>
      <c r="I1047" s="1" t="s">
        <v>43</v>
      </c>
      <c r="J1047" s="1" t="s">
        <v>44</v>
      </c>
      <c r="K1047" s="3">
        <v>5</v>
      </c>
      <c r="L1047" s="2">
        <v>5924</v>
      </c>
      <c r="M1047" s="3">
        <v>15</v>
      </c>
      <c r="N1047" s="1" t="s">
        <v>166</v>
      </c>
      <c r="O1047" s="1" t="s">
        <v>102</v>
      </c>
      <c r="P1047" s="1" t="s">
        <v>33</v>
      </c>
      <c r="Q1047" s="1" t="s">
        <v>591</v>
      </c>
      <c r="R1047" s="1" t="s">
        <v>3089</v>
      </c>
      <c r="S1047" s="3">
        <v>4</v>
      </c>
      <c r="T1047" s="1" t="s">
        <v>61</v>
      </c>
      <c r="U1047" s="3">
        <v>439</v>
      </c>
      <c r="V1047" s="1" t="s">
        <v>79</v>
      </c>
      <c r="W1047" s="5">
        <f>Table1[[#This Row],[Quantity]]*Table1[[#This Row],[Price]]*(1-Table1[[#This Row],[Discount %]]/100)</f>
        <v>25177</v>
      </c>
      <c r="X1047">
        <f>Table1[[#This Row],[DeliveryDate]]-Table1[[#This Row],[OrderDate]]</f>
        <v>3</v>
      </c>
      <c r="Y1047" t="str">
        <f>TEXT(Table1[[#This Row],[OrderDate]],"MMMM")</f>
        <v>January</v>
      </c>
      <c r="Z1047" s="5">
        <f>YEAR(Table1[[#This Row],[OrderDate]])</f>
        <v>2023</v>
      </c>
    </row>
    <row r="1048" spans="1:26" x14ac:dyDescent="0.3">
      <c r="A1048" s="1" t="s">
        <v>3090</v>
      </c>
      <c r="B1048" t="s">
        <v>411</v>
      </c>
      <c r="C1048" s="3">
        <v>51</v>
      </c>
      <c r="D1048" s="1" t="s">
        <v>51</v>
      </c>
      <c r="E1048" s="1" t="s">
        <v>142</v>
      </c>
      <c r="F1048" s="1" t="s">
        <v>65</v>
      </c>
      <c r="G1048" s="4">
        <v>45624</v>
      </c>
      <c r="H1048" s="4">
        <v>45633</v>
      </c>
      <c r="I1048" s="1" t="s">
        <v>29</v>
      </c>
      <c r="J1048" s="1" t="s">
        <v>30</v>
      </c>
      <c r="K1048" s="3">
        <v>2</v>
      </c>
      <c r="L1048" s="2">
        <v>56663</v>
      </c>
      <c r="M1048" s="3">
        <v>15</v>
      </c>
      <c r="N1048" s="1" t="s">
        <v>166</v>
      </c>
      <c r="O1048" s="1" t="s">
        <v>173</v>
      </c>
      <c r="P1048" s="1" t="s">
        <v>69</v>
      </c>
      <c r="Q1048" s="1" t="s">
        <v>414</v>
      </c>
      <c r="R1048" s="1" t="s">
        <v>3415</v>
      </c>
      <c r="S1048" s="3">
        <v>5</v>
      </c>
      <c r="T1048" s="1" t="s">
        <v>96</v>
      </c>
      <c r="U1048" s="3">
        <v>155</v>
      </c>
      <c r="V1048" s="1" t="s">
        <v>79</v>
      </c>
      <c r="W1048" s="5">
        <f>Table1[[#This Row],[Quantity]]*Table1[[#This Row],[Price]]*(1-Table1[[#This Row],[Discount %]]/100)</f>
        <v>96327.099999999991</v>
      </c>
      <c r="X1048">
        <f>Table1[[#This Row],[DeliveryDate]]-Table1[[#This Row],[OrderDate]]</f>
        <v>9</v>
      </c>
      <c r="Y1048" t="str">
        <f>TEXT(Table1[[#This Row],[OrderDate]],"MMMM")</f>
        <v>November</v>
      </c>
      <c r="Z1048" s="5">
        <f>YEAR(Table1[[#This Row],[OrderDate]])</f>
        <v>2024</v>
      </c>
    </row>
    <row r="1049" spans="1:26" x14ac:dyDescent="0.3">
      <c r="A1049" s="1" t="s">
        <v>3092</v>
      </c>
      <c r="B1049" t="s">
        <v>617</v>
      </c>
      <c r="C1049" s="3">
        <v>49</v>
      </c>
      <c r="D1049" s="1" t="s">
        <v>51</v>
      </c>
      <c r="E1049" s="1" t="s">
        <v>99</v>
      </c>
      <c r="F1049" s="1" t="s">
        <v>65</v>
      </c>
      <c r="G1049" s="4">
        <v>45623</v>
      </c>
      <c r="H1049" s="4">
        <v>45629</v>
      </c>
      <c r="I1049" s="1" t="s">
        <v>108</v>
      </c>
      <c r="J1049" s="1" t="s">
        <v>30</v>
      </c>
      <c r="K1049" s="3">
        <v>4</v>
      </c>
      <c r="L1049" s="2">
        <v>37462</v>
      </c>
      <c r="M1049" s="3">
        <v>10</v>
      </c>
      <c r="N1049" s="1" t="s">
        <v>45</v>
      </c>
      <c r="O1049" s="1" t="s">
        <v>281</v>
      </c>
      <c r="P1049" s="1" t="s">
        <v>69</v>
      </c>
      <c r="Q1049" s="1" t="s">
        <v>620</v>
      </c>
      <c r="R1049" s="1" t="s">
        <v>3094</v>
      </c>
      <c r="S1049" s="3">
        <v>4</v>
      </c>
      <c r="T1049" s="1" t="s">
        <v>61</v>
      </c>
      <c r="U1049" s="3">
        <v>94</v>
      </c>
      <c r="V1049" s="1" t="s">
        <v>79</v>
      </c>
      <c r="W1049" s="5">
        <f>Table1[[#This Row],[Quantity]]*Table1[[#This Row],[Price]]*(1-Table1[[#This Row],[Discount %]]/100)</f>
        <v>134863.20000000001</v>
      </c>
      <c r="X1049">
        <f>Table1[[#This Row],[DeliveryDate]]-Table1[[#This Row],[OrderDate]]</f>
        <v>6</v>
      </c>
      <c r="Y1049" t="str">
        <f>TEXT(Table1[[#This Row],[OrderDate]],"MMMM")</f>
        <v>November</v>
      </c>
      <c r="Z1049" s="5">
        <f>YEAR(Table1[[#This Row],[OrderDate]])</f>
        <v>2024</v>
      </c>
    </row>
    <row r="1050" spans="1:26" x14ac:dyDescent="0.3">
      <c r="A1050" s="1" t="s">
        <v>3095</v>
      </c>
      <c r="B1050" t="s">
        <v>946</v>
      </c>
      <c r="C1050" s="3">
        <v>60</v>
      </c>
      <c r="D1050" s="1" t="s">
        <v>51</v>
      </c>
      <c r="E1050" s="1" t="s">
        <v>52</v>
      </c>
      <c r="F1050" s="1" t="s">
        <v>26</v>
      </c>
      <c r="G1050" s="4">
        <v>45610</v>
      </c>
      <c r="H1050" s="4">
        <v>45618</v>
      </c>
      <c r="I1050" s="1" t="s">
        <v>108</v>
      </c>
      <c r="J1050" s="1" t="s">
        <v>44</v>
      </c>
      <c r="K1050" s="3">
        <v>3</v>
      </c>
      <c r="L1050" s="2">
        <v>60143</v>
      </c>
      <c r="M1050" s="3">
        <v>0</v>
      </c>
      <c r="N1050" s="1" t="s">
        <v>56</v>
      </c>
      <c r="O1050" s="1" t="s">
        <v>68</v>
      </c>
      <c r="P1050" s="1" t="s">
        <v>58</v>
      </c>
      <c r="Q1050" s="1" t="s">
        <v>983</v>
      </c>
      <c r="R1050" s="1" t="s">
        <v>3097</v>
      </c>
      <c r="S1050" s="3">
        <v>2</v>
      </c>
      <c r="T1050" s="1" t="s">
        <v>36</v>
      </c>
      <c r="U1050" s="3">
        <v>214</v>
      </c>
      <c r="V1050" s="1" t="s">
        <v>79</v>
      </c>
      <c r="W1050" s="5">
        <f>Table1[[#This Row],[Quantity]]*Table1[[#This Row],[Price]]*(1-Table1[[#This Row],[Discount %]]/100)</f>
        <v>180429</v>
      </c>
      <c r="X1050">
        <f>Table1[[#This Row],[DeliveryDate]]-Table1[[#This Row],[OrderDate]]</f>
        <v>8</v>
      </c>
      <c r="Y1050" t="str">
        <f>TEXT(Table1[[#This Row],[OrderDate]],"MMMM")</f>
        <v>November</v>
      </c>
      <c r="Z1050" s="5">
        <f>YEAR(Table1[[#This Row],[OrderDate]])</f>
        <v>2024</v>
      </c>
    </row>
    <row r="1051" spans="1:26" x14ac:dyDescent="0.3">
      <c r="A1051" s="1" t="s">
        <v>3098</v>
      </c>
      <c r="B1051" t="s">
        <v>309</v>
      </c>
      <c r="C1051" s="3">
        <v>50</v>
      </c>
      <c r="D1051" s="1" t="s">
        <v>51</v>
      </c>
      <c r="E1051" s="1" t="s">
        <v>40</v>
      </c>
      <c r="F1051" s="1" t="s">
        <v>53</v>
      </c>
      <c r="G1051" s="4">
        <v>45232</v>
      </c>
      <c r="H1051" s="4">
        <v>45241</v>
      </c>
      <c r="I1051" s="1" t="s">
        <v>77</v>
      </c>
      <c r="J1051" s="1" t="s">
        <v>44</v>
      </c>
      <c r="K1051" s="3">
        <v>4</v>
      </c>
      <c r="L1051" s="2">
        <v>78176</v>
      </c>
      <c r="M1051" s="3">
        <v>10</v>
      </c>
      <c r="N1051" s="1" t="s">
        <v>31</v>
      </c>
      <c r="O1051" s="1" t="s">
        <v>173</v>
      </c>
      <c r="P1051" s="1" t="s">
        <v>58</v>
      </c>
      <c r="Q1051" s="1" t="s">
        <v>312</v>
      </c>
      <c r="R1051" s="1" t="s">
        <v>3099</v>
      </c>
      <c r="S1051" s="3">
        <v>3</v>
      </c>
      <c r="T1051" s="1" t="s">
        <v>72</v>
      </c>
      <c r="U1051" s="3">
        <v>187</v>
      </c>
      <c r="V1051" s="1" t="s">
        <v>79</v>
      </c>
      <c r="W1051" s="5">
        <f>Table1[[#This Row],[Quantity]]*Table1[[#This Row],[Price]]*(1-Table1[[#This Row],[Discount %]]/100)</f>
        <v>281433.60000000003</v>
      </c>
      <c r="X1051">
        <f>Table1[[#This Row],[DeliveryDate]]-Table1[[#This Row],[OrderDate]]</f>
        <v>9</v>
      </c>
      <c r="Y1051" t="str">
        <f>TEXT(Table1[[#This Row],[OrderDate]],"MMMM")</f>
        <v>November</v>
      </c>
      <c r="Z1051" s="5">
        <f>YEAR(Table1[[#This Row],[OrderDate]])</f>
        <v>2023</v>
      </c>
    </row>
    <row r="1052" spans="1:26" x14ac:dyDescent="0.3">
      <c r="A1052" s="1" t="s">
        <v>3100</v>
      </c>
      <c r="B1052" t="s">
        <v>261</v>
      </c>
      <c r="C1052" s="3">
        <v>47</v>
      </c>
      <c r="D1052" s="1" t="s">
        <v>51</v>
      </c>
      <c r="E1052" s="1" t="s">
        <v>52</v>
      </c>
      <c r="F1052" s="1" t="s">
        <v>26</v>
      </c>
      <c r="G1052" s="4">
        <v>45525</v>
      </c>
      <c r="H1052" s="4">
        <v>45528</v>
      </c>
      <c r="I1052" s="1" t="s">
        <v>29</v>
      </c>
      <c r="J1052" s="1" t="s">
        <v>44</v>
      </c>
      <c r="K1052" s="3">
        <v>1</v>
      </c>
      <c r="L1052" s="2">
        <v>46906</v>
      </c>
      <c r="M1052" s="3">
        <v>10</v>
      </c>
      <c r="N1052" s="1" t="s">
        <v>45</v>
      </c>
      <c r="O1052" s="1" t="s">
        <v>173</v>
      </c>
      <c r="P1052" s="1" t="s">
        <v>69</v>
      </c>
      <c r="Q1052" s="1" t="s">
        <v>264</v>
      </c>
      <c r="R1052" s="1" t="s">
        <v>3101</v>
      </c>
      <c r="S1052" s="3">
        <v>4</v>
      </c>
      <c r="T1052" s="1" t="s">
        <v>36</v>
      </c>
      <c r="U1052" s="3">
        <v>173</v>
      </c>
      <c r="V1052" s="1" t="s">
        <v>79</v>
      </c>
      <c r="W1052" s="5">
        <f>Table1[[#This Row],[Quantity]]*Table1[[#This Row],[Price]]*(1-Table1[[#This Row],[Discount %]]/100)</f>
        <v>42215.4</v>
      </c>
      <c r="X1052">
        <f>Table1[[#This Row],[DeliveryDate]]-Table1[[#This Row],[OrderDate]]</f>
        <v>3</v>
      </c>
      <c r="Y1052" t="str">
        <f>TEXT(Table1[[#This Row],[OrderDate]],"MMMM")</f>
        <v>August</v>
      </c>
      <c r="Z1052" s="5">
        <f>YEAR(Table1[[#This Row],[OrderDate]])</f>
        <v>2024</v>
      </c>
    </row>
    <row r="1053" spans="1:26" x14ac:dyDescent="0.3">
      <c r="A1053" s="1" t="s">
        <v>3102</v>
      </c>
      <c r="B1053" t="s">
        <v>2016</v>
      </c>
      <c r="C1053" s="3">
        <v>33</v>
      </c>
      <c r="D1053" s="1" t="s">
        <v>24</v>
      </c>
      <c r="E1053" s="1" t="s">
        <v>142</v>
      </c>
      <c r="F1053" s="1" t="s">
        <v>82</v>
      </c>
      <c r="G1053" s="4">
        <v>45035</v>
      </c>
      <c r="H1053" s="4">
        <v>45041</v>
      </c>
      <c r="I1053" s="1" t="s">
        <v>93</v>
      </c>
      <c r="J1053" s="1" t="s">
        <v>44</v>
      </c>
      <c r="K1053" s="3">
        <v>2</v>
      </c>
      <c r="L1053" s="2">
        <v>36085</v>
      </c>
      <c r="M1053" s="3">
        <v>10</v>
      </c>
      <c r="N1053" s="1" t="s">
        <v>31</v>
      </c>
      <c r="O1053" s="1" t="s">
        <v>173</v>
      </c>
      <c r="P1053" s="1" t="s">
        <v>174</v>
      </c>
      <c r="Q1053" s="1" t="s">
        <v>1792</v>
      </c>
      <c r="R1053" s="1" t="s">
        <v>3104</v>
      </c>
      <c r="S1053" s="3">
        <v>5</v>
      </c>
      <c r="T1053" s="1" t="s">
        <v>36</v>
      </c>
      <c r="U1053" s="3">
        <v>85</v>
      </c>
      <c r="V1053" s="1" t="s">
        <v>37</v>
      </c>
      <c r="W1053" s="5">
        <f>Table1[[#This Row],[Quantity]]*Table1[[#This Row],[Price]]*(1-Table1[[#This Row],[Discount %]]/100)</f>
        <v>64953</v>
      </c>
      <c r="X1053">
        <f>Table1[[#This Row],[DeliveryDate]]-Table1[[#This Row],[OrderDate]]</f>
        <v>6</v>
      </c>
      <c r="Y1053" t="str">
        <f>TEXT(Table1[[#This Row],[OrderDate]],"MMMM")</f>
        <v>April</v>
      </c>
      <c r="Z1053" s="5">
        <f>YEAR(Table1[[#This Row],[OrderDate]])</f>
        <v>2023</v>
      </c>
    </row>
    <row r="1054" spans="1:26" x14ac:dyDescent="0.3">
      <c r="A1054" s="1" t="s">
        <v>3105</v>
      </c>
      <c r="B1054" t="s">
        <v>249</v>
      </c>
      <c r="C1054" s="3">
        <v>36</v>
      </c>
      <c r="D1054" s="1" t="s">
        <v>24</v>
      </c>
      <c r="E1054" s="1" t="s">
        <v>142</v>
      </c>
      <c r="F1054" s="1" t="s">
        <v>82</v>
      </c>
      <c r="G1054" s="4">
        <v>45369</v>
      </c>
      <c r="H1054" s="4">
        <v>45371</v>
      </c>
      <c r="I1054" s="1" t="s">
        <v>93</v>
      </c>
      <c r="J1054" s="1" t="s">
        <v>44</v>
      </c>
      <c r="K1054" s="3">
        <v>5</v>
      </c>
      <c r="L1054" s="2">
        <v>9689</v>
      </c>
      <c r="M1054" s="3">
        <v>10</v>
      </c>
      <c r="N1054" s="1" t="s">
        <v>45</v>
      </c>
      <c r="O1054" s="1" t="s">
        <v>86</v>
      </c>
      <c r="P1054" s="1" t="s">
        <v>69</v>
      </c>
      <c r="Q1054" s="1" t="s">
        <v>252</v>
      </c>
      <c r="R1054" s="1" t="s">
        <v>3107</v>
      </c>
      <c r="S1054" s="3">
        <v>2</v>
      </c>
      <c r="T1054" s="1" t="s">
        <v>96</v>
      </c>
      <c r="U1054" s="3">
        <v>480</v>
      </c>
      <c r="V1054" s="1" t="s">
        <v>79</v>
      </c>
      <c r="W1054" s="5">
        <f>Table1[[#This Row],[Quantity]]*Table1[[#This Row],[Price]]*(1-Table1[[#This Row],[Discount %]]/100)</f>
        <v>43600.5</v>
      </c>
      <c r="X1054">
        <f>Table1[[#This Row],[DeliveryDate]]-Table1[[#This Row],[OrderDate]]</f>
        <v>2</v>
      </c>
      <c r="Y1054" t="str">
        <f>TEXT(Table1[[#This Row],[OrderDate]],"MMMM")</f>
        <v>March</v>
      </c>
      <c r="Z1054" s="5">
        <f>YEAR(Table1[[#This Row],[OrderDate]])</f>
        <v>2024</v>
      </c>
    </row>
    <row r="1055" spans="1:26" x14ac:dyDescent="0.3">
      <c r="A1055" s="1" t="s">
        <v>3108</v>
      </c>
      <c r="B1055" t="s">
        <v>440</v>
      </c>
      <c r="C1055" s="3">
        <v>46</v>
      </c>
      <c r="D1055" s="1" t="s">
        <v>51</v>
      </c>
      <c r="E1055" s="1" t="s">
        <v>52</v>
      </c>
      <c r="F1055" s="1" t="s">
        <v>65</v>
      </c>
      <c r="G1055" s="4">
        <v>45344</v>
      </c>
      <c r="H1055" s="4">
        <v>45352</v>
      </c>
      <c r="I1055" s="1" t="s">
        <v>108</v>
      </c>
      <c r="J1055" s="1" t="s">
        <v>44</v>
      </c>
      <c r="K1055" s="3">
        <v>1</v>
      </c>
      <c r="L1055" s="2">
        <v>74962</v>
      </c>
      <c r="M1055" s="3">
        <v>0</v>
      </c>
      <c r="N1055" s="1" t="s">
        <v>56</v>
      </c>
      <c r="O1055" s="1" t="s">
        <v>46</v>
      </c>
      <c r="P1055" s="1" t="s">
        <v>58</v>
      </c>
      <c r="Q1055" s="1" t="s">
        <v>437</v>
      </c>
      <c r="R1055" s="1" t="s">
        <v>3110</v>
      </c>
      <c r="S1055" s="3">
        <v>4</v>
      </c>
      <c r="T1055" s="1" t="s">
        <v>61</v>
      </c>
      <c r="U1055" s="3">
        <v>476</v>
      </c>
      <c r="V1055" s="1" t="s">
        <v>79</v>
      </c>
      <c r="W1055" s="5">
        <f>Table1[[#This Row],[Quantity]]*Table1[[#This Row],[Price]]*(1-Table1[[#This Row],[Discount %]]/100)</f>
        <v>74962</v>
      </c>
      <c r="X1055">
        <f>Table1[[#This Row],[DeliveryDate]]-Table1[[#This Row],[OrderDate]]</f>
        <v>8</v>
      </c>
      <c r="Y1055" t="str">
        <f>TEXT(Table1[[#This Row],[OrderDate]],"MMMM")</f>
        <v>February</v>
      </c>
      <c r="Z1055" s="5">
        <f>YEAR(Table1[[#This Row],[OrderDate]])</f>
        <v>2024</v>
      </c>
    </row>
    <row r="1056" spans="1:26" x14ac:dyDescent="0.3">
      <c r="A1056" s="1" t="s">
        <v>3111</v>
      </c>
      <c r="B1056" t="s">
        <v>707</v>
      </c>
      <c r="C1056" s="3">
        <v>48</v>
      </c>
      <c r="D1056" s="1" t="s">
        <v>51</v>
      </c>
      <c r="E1056" s="1" t="s">
        <v>52</v>
      </c>
      <c r="F1056" s="1" t="s">
        <v>65</v>
      </c>
      <c r="G1056" s="4">
        <v>45445</v>
      </c>
      <c r="H1056" s="4">
        <v>45455</v>
      </c>
      <c r="I1056" s="1" t="s">
        <v>108</v>
      </c>
      <c r="J1056" s="1" t="s">
        <v>44</v>
      </c>
      <c r="K1056" s="3">
        <v>2</v>
      </c>
      <c r="L1056" s="2">
        <v>53719</v>
      </c>
      <c r="M1056" s="3">
        <v>5</v>
      </c>
      <c r="N1056" s="1" t="s">
        <v>31</v>
      </c>
      <c r="O1056" s="1" t="s">
        <v>86</v>
      </c>
      <c r="P1056" s="1" t="s">
        <v>69</v>
      </c>
      <c r="Q1056" s="1" t="s">
        <v>709</v>
      </c>
      <c r="R1056" s="1" t="s">
        <v>3113</v>
      </c>
      <c r="S1056" s="3">
        <v>3</v>
      </c>
      <c r="T1056" s="1" t="s">
        <v>96</v>
      </c>
      <c r="U1056" s="3">
        <v>279</v>
      </c>
      <c r="V1056" s="1" t="s">
        <v>79</v>
      </c>
      <c r="W1056" s="5">
        <f>Table1[[#This Row],[Quantity]]*Table1[[#This Row],[Price]]*(1-Table1[[#This Row],[Discount %]]/100)</f>
        <v>102066.09999999999</v>
      </c>
      <c r="X1056">
        <f>Table1[[#This Row],[DeliveryDate]]-Table1[[#This Row],[OrderDate]]</f>
        <v>10</v>
      </c>
      <c r="Y1056" t="str">
        <f>TEXT(Table1[[#This Row],[OrderDate]],"MMMM")</f>
        <v>June</v>
      </c>
      <c r="Z1056" s="5">
        <f>YEAR(Table1[[#This Row],[OrderDate]])</f>
        <v>2024</v>
      </c>
    </row>
    <row r="1057" spans="1:26" x14ac:dyDescent="0.3">
      <c r="A1057" s="1" t="s">
        <v>3114</v>
      </c>
      <c r="B1057" t="s">
        <v>50</v>
      </c>
      <c r="C1057" s="3">
        <v>50</v>
      </c>
      <c r="D1057" s="1" t="s">
        <v>51</v>
      </c>
      <c r="E1057" s="1" t="s">
        <v>99</v>
      </c>
      <c r="F1057" s="1" t="s">
        <v>53</v>
      </c>
      <c r="G1057" s="4">
        <v>45040</v>
      </c>
      <c r="H1057" s="4">
        <v>45050</v>
      </c>
      <c r="I1057" s="1" t="s">
        <v>93</v>
      </c>
      <c r="J1057" s="1" t="s">
        <v>30</v>
      </c>
      <c r="K1057" s="3">
        <v>4</v>
      </c>
      <c r="L1057" s="2">
        <v>32464</v>
      </c>
      <c r="M1057" s="3">
        <v>5</v>
      </c>
      <c r="N1057" s="1" t="s">
        <v>45</v>
      </c>
      <c r="O1057" s="1" t="s">
        <v>68</v>
      </c>
      <c r="P1057" s="1" t="s">
        <v>58</v>
      </c>
      <c r="Q1057" s="1" t="s">
        <v>59</v>
      </c>
      <c r="R1057" s="1" t="s">
        <v>3115</v>
      </c>
      <c r="S1057" s="3">
        <v>3</v>
      </c>
      <c r="T1057" s="1" t="s">
        <v>61</v>
      </c>
      <c r="U1057" s="3">
        <v>123</v>
      </c>
      <c r="V1057" s="1" t="s">
        <v>62</v>
      </c>
      <c r="W1057" s="5">
        <f>Table1[[#This Row],[Quantity]]*Table1[[#This Row],[Price]]*(1-Table1[[#This Row],[Discount %]]/100)</f>
        <v>123363.2</v>
      </c>
      <c r="X1057">
        <f>Table1[[#This Row],[DeliveryDate]]-Table1[[#This Row],[OrderDate]]</f>
        <v>10</v>
      </c>
      <c r="Y1057" t="str">
        <f>TEXT(Table1[[#This Row],[OrderDate]],"MMMM")</f>
        <v>April</v>
      </c>
      <c r="Z1057" s="5">
        <f>YEAR(Table1[[#This Row],[OrderDate]])</f>
        <v>2023</v>
      </c>
    </row>
    <row r="1058" spans="1:26" x14ac:dyDescent="0.3">
      <c r="A1058" s="1" t="s">
        <v>3116</v>
      </c>
      <c r="B1058" t="s">
        <v>623</v>
      </c>
      <c r="C1058" s="3">
        <v>51</v>
      </c>
      <c r="D1058" s="1" t="s">
        <v>51</v>
      </c>
      <c r="E1058" s="1" t="s">
        <v>25</v>
      </c>
      <c r="F1058" s="1" t="s">
        <v>65</v>
      </c>
      <c r="G1058" s="4">
        <v>45620</v>
      </c>
      <c r="H1058" s="4">
        <v>45621</v>
      </c>
      <c r="I1058" s="1" t="s">
        <v>77</v>
      </c>
      <c r="J1058" s="1" t="s">
        <v>44</v>
      </c>
      <c r="K1058" s="3">
        <v>2</v>
      </c>
      <c r="L1058" s="2">
        <v>26298</v>
      </c>
      <c r="M1058" s="3">
        <v>5</v>
      </c>
      <c r="N1058" s="1" t="s">
        <v>31</v>
      </c>
      <c r="O1058" s="1" t="s">
        <v>32</v>
      </c>
      <c r="P1058" s="1" t="s">
        <v>174</v>
      </c>
      <c r="Q1058" s="1" t="s">
        <v>3415</v>
      </c>
      <c r="R1058" s="1" t="s">
        <v>3117</v>
      </c>
      <c r="S1058" s="3">
        <v>4</v>
      </c>
      <c r="T1058" s="1" t="s">
        <v>72</v>
      </c>
      <c r="U1058" s="3">
        <v>205</v>
      </c>
      <c r="V1058" s="1" t="s">
        <v>37</v>
      </c>
      <c r="W1058" s="5">
        <f>Table1[[#This Row],[Quantity]]*Table1[[#This Row],[Price]]*(1-Table1[[#This Row],[Discount %]]/100)</f>
        <v>49966.2</v>
      </c>
      <c r="X1058">
        <f>Table1[[#This Row],[DeliveryDate]]-Table1[[#This Row],[OrderDate]]</f>
        <v>1</v>
      </c>
      <c r="Y1058" t="str">
        <f>TEXT(Table1[[#This Row],[OrderDate]],"MMMM")</f>
        <v>November</v>
      </c>
      <c r="Z1058" s="5">
        <f>YEAR(Table1[[#This Row],[OrderDate]])</f>
        <v>2024</v>
      </c>
    </row>
    <row r="1059" spans="1:26" x14ac:dyDescent="0.3">
      <c r="A1059" s="1" t="s">
        <v>3118</v>
      </c>
      <c r="B1059" t="s">
        <v>637</v>
      </c>
      <c r="C1059" s="3">
        <v>32</v>
      </c>
      <c r="D1059" s="1" t="s">
        <v>51</v>
      </c>
      <c r="E1059" s="1" t="s">
        <v>52</v>
      </c>
      <c r="F1059" s="1" t="s">
        <v>53</v>
      </c>
      <c r="G1059" s="4">
        <v>45543</v>
      </c>
      <c r="H1059" s="4">
        <v>45544</v>
      </c>
      <c r="I1059" s="1" t="s">
        <v>77</v>
      </c>
      <c r="J1059" s="1" t="s">
        <v>30</v>
      </c>
      <c r="K1059" s="3">
        <v>2</v>
      </c>
      <c r="L1059" s="2">
        <v>71806</v>
      </c>
      <c r="M1059" s="3">
        <v>10</v>
      </c>
      <c r="N1059" s="1" t="s">
        <v>45</v>
      </c>
      <c r="O1059" s="1" t="s">
        <v>102</v>
      </c>
      <c r="P1059" s="1" t="s">
        <v>33</v>
      </c>
      <c r="Q1059" s="1" t="s">
        <v>2248</v>
      </c>
      <c r="R1059" s="1" t="s">
        <v>3119</v>
      </c>
      <c r="S1059" s="3">
        <v>5</v>
      </c>
      <c r="T1059" s="1" t="s">
        <v>72</v>
      </c>
      <c r="U1059" s="3">
        <v>244</v>
      </c>
      <c r="V1059" s="1" t="s">
        <v>79</v>
      </c>
      <c r="W1059" s="5">
        <f>Table1[[#This Row],[Quantity]]*Table1[[#This Row],[Price]]*(1-Table1[[#This Row],[Discount %]]/100)</f>
        <v>129250.8</v>
      </c>
      <c r="X1059">
        <f>Table1[[#This Row],[DeliveryDate]]-Table1[[#This Row],[OrderDate]]</f>
        <v>1</v>
      </c>
      <c r="Y1059" t="str">
        <f>TEXT(Table1[[#This Row],[OrderDate]],"MMMM")</f>
        <v>September</v>
      </c>
      <c r="Z1059" s="5">
        <f>YEAR(Table1[[#This Row],[OrderDate]])</f>
        <v>2024</v>
      </c>
    </row>
    <row r="1060" spans="1:26" x14ac:dyDescent="0.3">
      <c r="A1060" s="1" t="s">
        <v>3120</v>
      </c>
      <c r="B1060" t="s">
        <v>527</v>
      </c>
      <c r="C1060" s="3">
        <v>28</v>
      </c>
      <c r="D1060" s="1" t="s">
        <v>24</v>
      </c>
      <c r="E1060" s="1" t="s">
        <v>25</v>
      </c>
      <c r="F1060" s="1" t="s">
        <v>82</v>
      </c>
      <c r="G1060" s="4">
        <v>45431</v>
      </c>
      <c r="H1060" s="4">
        <v>45435</v>
      </c>
      <c r="I1060" s="1" t="s">
        <v>77</v>
      </c>
      <c r="J1060" s="1" t="s">
        <v>44</v>
      </c>
      <c r="K1060" s="3">
        <v>3</v>
      </c>
      <c r="L1060" s="2">
        <v>42109.716287215415</v>
      </c>
      <c r="M1060" s="3">
        <v>5</v>
      </c>
      <c r="N1060" s="1" t="s">
        <v>56</v>
      </c>
      <c r="O1060" s="1" t="s">
        <v>133</v>
      </c>
      <c r="P1060" s="1" t="s">
        <v>69</v>
      </c>
      <c r="Q1060" s="1" t="s">
        <v>530</v>
      </c>
      <c r="R1060" s="1" t="s">
        <v>3121</v>
      </c>
      <c r="S1060" s="3">
        <v>4</v>
      </c>
      <c r="T1060" s="1" t="s">
        <v>96</v>
      </c>
      <c r="U1060" s="3">
        <v>418</v>
      </c>
      <c r="V1060" s="1" t="s">
        <v>62</v>
      </c>
      <c r="W1060" s="5">
        <f>Table1[[#This Row],[Quantity]]*Table1[[#This Row],[Price]]*(1-Table1[[#This Row],[Discount %]]/100)</f>
        <v>120012.69141856393</v>
      </c>
      <c r="X1060">
        <f>Table1[[#This Row],[DeliveryDate]]-Table1[[#This Row],[OrderDate]]</f>
        <v>4</v>
      </c>
      <c r="Y1060" t="str">
        <f>TEXT(Table1[[#This Row],[OrderDate]],"MMMM")</f>
        <v>May</v>
      </c>
      <c r="Z1060" s="5">
        <f>YEAR(Table1[[#This Row],[OrderDate]])</f>
        <v>2024</v>
      </c>
    </row>
    <row r="1061" spans="1:26" x14ac:dyDescent="0.3">
      <c r="A1061" s="1" t="s">
        <v>3122</v>
      </c>
      <c r="B1061" t="s">
        <v>601</v>
      </c>
      <c r="C1061" s="3">
        <v>18</v>
      </c>
      <c r="D1061" s="1" t="s">
        <v>24</v>
      </c>
      <c r="E1061" s="1" t="s">
        <v>25</v>
      </c>
      <c r="F1061" s="1" t="s">
        <v>53</v>
      </c>
      <c r="G1061" s="4">
        <v>44984</v>
      </c>
      <c r="H1061" s="4">
        <v>44987</v>
      </c>
      <c r="I1061" s="1" t="s">
        <v>77</v>
      </c>
      <c r="J1061" s="1" t="s">
        <v>30</v>
      </c>
      <c r="K1061" s="3">
        <v>2</v>
      </c>
      <c r="L1061" s="2">
        <v>29769</v>
      </c>
      <c r="M1061" s="3">
        <v>10</v>
      </c>
      <c r="N1061" s="1" t="s">
        <v>56</v>
      </c>
      <c r="O1061" s="1" t="s">
        <v>32</v>
      </c>
      <c r="P1061" s="1" t="s">
        <v>69</v>
      </c>
      <c r="Q1061" s="1" t="s">
        <v>603</v>
      </c>
      <c r="R1061" s="1" t="s">
        <v>3124</v>
      </c>
      <c r="S1061" s="3">
        <v>2</v>
      </c>
      <c r="T1061" s="1" t="s">
        <v>36</v>
      </c>
      <c r="U1061" s="3">
        <v>284</v>
      </c>
      <c r="V1061" s="1" t="s">
        <v>37</v>
      </c>
      <c r="W1061" s="5">
        <f>Table1[[#This Row],[Quantity]]*Table1[[#This Row],[Price]]*(1-Table1[[#This Row],[Discount %]]/100)</f>
        <v>53584.200000000004</v>
      </c>
      <c r="X1061">
        <f>Table1[[#This Row],[DeliveryDate]]-Table1[[#This Row],[OrderDate]]</f>
        <v>3</v>
      </c>
      <c r="Y1061" t="str">
        <f>TEXT(Table1[[#This Row],[OrderDate]],"MMMM")</f>
        <v>February</v>
      </c>
      <c r="Z1061" s="5">
        <f>YEAR(Table1[[#This Row],[OrderDate]])</f>
        <v>2023</v>
      </c>
    </row>
    <row r="1062" spans="1:26" x14ac:dyDescent="0.3">
      <c r="A1062" s="1" t="s">
        <v>3125</v>
      </c>
      <c r="B1062" t="s">
        <v>235</v>
      </c>
      <c r="C1062" s="3">
        <v>52</v>
      </c>
      <c r="D1062" s="1" t="s">
        <v>51</v>
      </c>
      <c r="E1062" s="1" t="s">
        <v>229</v>
      </c>
      <c r="F1062" s="1" t="s">
        <v>53</v>
      </c>
      <c r="G1062" s="4">
        <v>45186</v>
      </c>
      <c r="H1062" s="4">
        <v>45195</v>
      </c>
      <c r="I1062" s="1" t="s">
        <v>29</v>
      </c>
      <c r="J1062" s="1" t="s">
        <v>30</v>
      </c>
      <c r="K1062" s="3">
        <v>1</v>
      </c>
      <c r="L1062" s="2">
        <v>75718</v>
      </c>
      <c r="M1062" s="3">
        <v>0</v>
      </c>
      <c r="N1062" s="1" t="s">
        <v>166</v>
      </c>
      <c r="O1062" s="1" t="s">
        <v>133</v>
      </c>
      <c r="P1062" s="1" t="s">
        <v>33</v>
      </c>
      <c r="Q1062" s="1" t="s">
        <v>871</v>
      </c>
      <c r="R1062" s="1" t="s">
        <v>3126</v>
      </c>
      <c r="S1062" s="3">
        <v>1</v>
      </c>
      <c r="T1062" s="1" t="s">
        <v>96</v>
      </c>
      <c r="U1062" s="3">
        <v>472</v>
      </c>
      <c r="V1062" s="1" t="s">
        <v>62</v>
      </c>
      <c r="W1062" s="5">
        <f>Table1[[#This Row],[Quantity]]*Table1[[#This Row],[Price]]*(1-Table1[[#This Row],[Discount %]]/100)</f>
        <v>75718</v>
      </c>
      <c r="X1062">
        <f>Table1[[#This Row],[DeliveryDate]]-Table1[[#This Row],[OrderDate]]</f>
        <v>9</v>
      </c>
      <c r="Y1062" t="str">
        <f>TEXT(Table1[[#This Row],[OrderDate]],"MMMM")</f>
        <v>September</v>
      </c>
      <c r="Z1062" s="5">
        <f>YEAR(Table1[[#This Row],[OrderDate]])</f>
        <v>2023</v>
      </c>
    </row>
    <row r="1063" spans="1:26" x14ac:dyDescent="0.3">
      <c r="A1063" s="1" t="s">
        <v>3127</v>
      </c>
      <c r="B1063" t="s">
        <v>461</v>
      </c>
      <c r="C1063" s="3">
        <v>39</v>
      </c>
      <c r="D1063" s="1" t="s">
        <v>24</v>
      </c>
      <c r="E1063" s="1" t="s">
        <v>52</v>
      </c>
      <c r="F1063" s="1" t="s">
        <v>82</v>
      </c>
      <c r="G1063" s="4">
        <v>45518</v>
      </c>
      <c r="H1063" s="4">
        <v>45522</v>
      </c>
      <c r="I1063" s="1" t="s">
        <v>108</v>
      </c>
      <c r="J1063" s="1" t="s">
        <v>44</v>
      </c>
      <c r="K1063" s="3">
        <v>1</v>
      </c>
      <c r="L1063" s="2">
        <v>37148</v>
      </c>
      <c r="M1063" s="3">
        <v>15</v>
      </c>
      <c r="N1063" s="1" t="s">
        <v>166</v>
      </c>
      <c r="O1063" s="1" t="s">
        <v>57</v>
      </c>
      <c r="P1063" s="1" t="s">
        <v>33</v>
      </c>
      <c r="Q1063" s="1" t="s">
        <v>563</v>
      </c>
      <c r="R1063" s="1" t="s">
        <v>3128</v>
      </c>
      <c r="S1063" s="3">
        <v>4</v>
      </c>
      <c r="T1063" s="1" t="s">
        <v>96</v>
      </c>
      <c r="U1063" s="3">
        <v>323</v>
      </c>
      <c r="V1063" s="1" t="s">
        <v>79</v>
      </c>
      <c r="W1063" s="5">
        <f>Table1[[#This Row],[Quantity]]*Table1[[#This Row],[Price]]*(1-Table1[[#This Row],[Discount %]]/100)</f>
        <v>31575.8</v>
      </c>
      <c r="X1063">
        <f>Table1[[#This Row],[DeliveryDate]]-Table1[[#This Row],[OrderDate]]</f>
        <v>4</v>
      </c>
      <c r="Y1063" t="str">
        <f>TEXT(Table1[[#This Row],[OrderDate]],"MMMM")</f>
        <v>August</v>
      </c>
      <c r="Z1063" s="5">
        <f>YEAR(Table1[[#This Row],[OrderDate]])</f>
        <v>2024</v>
      </c>
    </row>
    <row r="1064" spans="1:26" x14ac:dyDescent="0.3">
      <c r="A1064" s="1" t="s">
        <v>3129</v>
      </c>
      <c r="B1064" t="s">
        <v>125</v>
      </c>
      <c r="C1064" s="3">
        <v>45</v>
      </c>
      <c r="D1064" s="1" t="s">
        <v>24</v>
      </c>
      <c r="E1064" s="1" t="s">
        <v>131</v>
      </c>
      <c r="F1064" s="1" t="s">
        <v>53</v>
      </c>
      <c r="G1064" s="4">
        <v>45568</v>
      </c>
      <c r="H1064" s="4">
        <v>45569</v>
      </c>
      <c r="I1064" s="1" t="s">
        <v>77</v>
      </c>
      <c r="J1064" s="1" t="s">
        <v>30</v>
      </c>
      <c r="K1064" s="3">
        <v>1</v>
      </c>
      <c r="L1064" s="2">
        <v>64713</v>
      </c>
      <c r="M1064" s="3">
        <v>15</v>
      </c>
      <c r="N1064" s="1" t="s">
        <v>56</v>
      </c>
      <c r="O1064" s="1" t="s">
        <v>68</v>
      </c>
      <c r="P1064" s="1" t="s">
        <v>69</v>
      </c>
      <c r="Q1064" s="1" t="s">
        <v>3415</v>
      </c>
      <c r="R1064" s="1" t="s">
        <v>3130</v>
      </c>
      <c r="S1064" s="3">
        <v>2</v>
      </c>
      <c r="T1064" s="1" t="s">
        <v>96</v>
      </c>
      <c r="U1064" s="3">
        <v>349</v>
      </c>
      <c r="V1064" s="1" t="s">
        <v>79</v>
      </c>
      <c r="W1064" s="5">
        <f>Table1[[#This Row],[Quantity]]*Table1[[#This Row],[Price]]*(1-Table1[[#This Row],[Discount %]]/100)</f>
        <v>55006.049999999996</v>
      </c>
      <c r="X1064">
        <f>Table1[[#This Row],[DeliveryDate]]-Table1[[#This Row],[OrderDate]]</f>
        <v>1</v>
      </c>
      <c r="Y1064" t="str">
        <f>TEXT(Table1[[#This Row],[OrderDate]],"MMMM")</f>
        <v>October</v>
      </c>
      <c r="Z1064" s="5">
        <f>YEAR(Table1[[#This Row],[OrderDate]])</f>
        <v>2024</v>
      </c>
    </row>
    <row r="1065" spans="1:26" x14ac:dyDescent="0.3">
      <c r="A1065" s="1" t="s">
        <v>3131</v>
      </c>
      <c r="B1065" t="s">
        <v>541</v>
      </c>
      <c r="C1065" s="3">
        <v>36</v>
      </c>
      <c r="D1065" s="1" t="s">
        <v>24</v>
      </c>
      <c r="E1065" s="1" t="s">
        <v>52</v>
      </c>
      <c r="F1065" s="1" t="s">
        <v>26</v>
      </c>
      <c r="G1065" s="4">
        <v>45067</v>
      </c>
      <c r="H1065" s="4">
        <v>45077</v>
      </c>
      <c r="I1065" s="1" t="s">
        <v>29</v>
      </c>
      <c r="J1065" s="1" t="s">
        <v>30</v>
      </c>
      <c r="K1065" s="3">
        <v>5</v>
      </c>
      <c r="L1065" s="2">
        <v>37678</v>
      </c>
      <c r="M1065" s="3">
        <v>15</v>
      </c>
      <c r="N1065" s="1" t="s">
        <v>166</v>
      </c>
      <c r="O1065" s="1" t="s">
        <v>32</v>
      </c>
      <c r="P1065" s="1" t="s">
        <v>33</v>
      </c>
      <c r="Q1065" s="1" t="s">
        <v>544</v>
      </c>
      <c r="R1065" s="1" t="s">
        <v>3132</v>
      </c>
      <c r="S1065" s="3">
        <v>2</v>
      </c>
      <c r="T1065" s="1" t="s">
        <v>36</v>
      </c>
      <c r="U1065" s="3">
        <v>176</v>
      </c>
      <c r="V1065" s="1" t="s">
        <v>62</v>
      </c>
      <c r="W1065" s="5">
        <f>Table1[[#This Row],[Quantity]]*Table1[[#This Row],[Price]]*(1-Table1[[#This Row],[Discount %]]/100)</f>
        <v>160131.5</v>
      </c>
      <c r="X1065">
        <f>Table1[[#This Row],[DeliveryDate]]-Table1[[#This Row],[OrderDate]]</f>
        <v>10</v>
      </c>
      <c r="Y1065" t="str">
        <f>TEXT(Table1[[#This Row],[OrderDate]],"MMMM")</f>
        <v>May</v>
      </c>
      <c r="Z1065" s="5">
        <f>YEAR(Table1[[#This Row],[OrderDate]])</f>
        <v>2023</v>
      </c>
    </row>
    <row r="1066" spans="1:26" x14ac:dyDescent="0.3">
      <c r="A1066" s="1" t="s">
        <v>3133</v>
      </c>
      <c r="B1066" t="s">
        <v>209</v>
      </c>
      <c r="C1066" s="3">
        <v>33</v>
      </c>
      <c r="D1066" s="1" t="s">
        <v>51</v>
      </c>
      <c r="E1066" s="1" t="s">
        <v>229</v>
      </c>
      <c r="F1066" s="1" t="s">
        <v>82</v>
      </c>
      <c r="G1066" s="4">
        <v>45525</v>
      </c>
      <c r="H1066" s="4">
        <v>45533</v>
      </c>
      <c r="I1066" s="1" t="s">
        <v>93</v>
      </c>
      <c r="J1066" s="1" t="s">
        <v>44</v>
      </c>
      <c r="K1066" s="3">
        <v>2</v>
      </c>
      <c r="L1066" s="2">
        <v>26489</v>
      </c>
      <c r="M1066" s="3">
        <v>5</v>
      </c>
      <c r="N1066" s="1" t="s">
        <v>56</v>
      </c>
      <c r="O1066" s="1" t="s">
        <v>57</v>
      </c>
      <c r="P1066" s="1" t="s">
        <v>174</v>
      </c>
      <c r="Q1066" s="1" t="s">
        <v>1001</v>
      </c>
      <c r="R1066" s="1" t="s">
        <v>3134</v>
      </c>
      <c r="S1066" s="3">
        <v>2</v>
      </c>
      <c r="T1066" s="1" t="s">
        <v>36</v>
      </c>
      <c r="U1066" s="3">
        <v>199</v>
      </c>
      <c r="V1066" s="1" t="s">
        <v>37</v>
      </c>
      <c r="W1066" s="5">
        <f>Table1[[#This Row],[Quantity]]*Table1[[#This Row],[Price]]*(1-Table1[[#This Row],[Discount %]]/100)</f>
        <v>50329.1</v>
      </c>
      <c r="X1066">
        <f>Table1[[#This Row],[DeliveryDate]]-Table1[[#This Row],[OrderDate]]</f>
        <v>8</v>
      </c>
      <c r="Y1066" t="str">
        <f>TEXT(Table1[[#This Row],[OrderDate]],"MMMM")</f>
        <v>August</v>
      </c>
      <c r="Z1066" s="5">
        <f>YEAR(Table1[[#This Row],[OrderDate]])</f>
        <v>2024</v>
      </c>
    </row>
    <row r="1067" spans="1:26" x14ac:dyDescent="0.3">
      <c r="A1067" s="1" t="s">
        <v>3135</v>
      </c>
      <c r="B1067" t="s">
        <v>702</v>
      </c>
      <c r="C1067" s="3">
        <v>49</v>
      </c>
      <c r="D1067" s="1" t="s">
        <v>24</v>
      </c>
      <c r="E1067" s="1" t="s">
        <v>25</v>
      </c>
      <c r="F1067" s="1" t="s">
        <v>82</v>
      </c>
      <c r="G1067" s="4">
        <v>45522</v>
      </c>
      <c r="H1067" s="4">
        <v>45524</v>
      </c>
      <c r="I1067" s="1" t="s">
        <v>85</v>
      </c>
      <c r="J1067" s="1" t="s">
        <v>44</v>
      </c>
      <c r="K1067" s="3">
        <v>1</v>
      </c>
      <c r="L1067" s="2">
        <v>18897</v>
      </c>
      <c r="M1067" s="3">
        <v>10</v>
      </c>
      <c r="N1067" s="1" t="s">
        <v>166</v>
      </c>
      <c r="O1067" s="1" t="s">
        <v>57</v>
      </c>
      <c r="P1067" s="1" t="s">
        <v>174</v>
      </c>
      <c r="Q1067" s="1" t="s">
        <v>916</v>
      </c>
      <c r="R1067" s="1" t="s">
        <v>3136</v>
      </c>
      <c r="S1067" s="3">
        <v>3</v>
      </c>
      <c r="T1067" s="1" t="s">
        <v>96</v>
      </c>
      <c r="U1067" s="3">
        <v>199</v>
      </c>
      <c r="V1067" s="1" t="s">
        <v>79</v>
      </c>
      <c r="W1067" s="5">
        <f>Table1[[#This Row],[Quantity]]*Table1[[#This Row],[Price]]*(1-Table1[[#This Row],[Discount %]]/100)</f>
        <v>17007.3</v>
      </c>
      <c r="X1067">
        <f>Table1[[#This Row],[DeliveryDate]]-Table1[[#This Row],[OrderDate]]</f>
        <v>2</v>
      </c>
      <c r="Y1067" t="str">
        <f>TEXT(Table1[[#This Row],[OrderDate]],"MMMM")</f>
        <v>August</v>
      </c>
      <c r="Z1067" s="5">
        <f>YEAR(Table1[[#This Row],[OrderDate]])</f>
        <v>2024</v>
      </c>
    </row>
    <row r="1068" spans="1:26" x14ac:dyDescent="0.3">
      <c r="A1068" s="1" t="s">
        <v>3137</v>
      </c>
      <c r="B1068" t="s">
        <v>141</v>
      </c>
      <c r="C1068" s="3">
        <v>20</v>
      </c>
      <c r="D1068" s="1" t="s">
        <v>24</v>
      </c>
      <c r="E1068" s="1" t="s">
        <v>26</v>
      </c>
      <c r="F1068" s="1" t="s">
        <v>65</v>
      </c>
      <c r="G1068" s="4">
        <v>45100</v>
      </c>
      <c r="H1068" s="4">
        <v>45104</v>
      </c>
      <c r="I1068" s="1" t="s">
        <v>29</v>
      </c>
      <c r="J1068" s="1" t="s">
        <v>30</v>
      </c>
      <c r="K1068" s="3">
        <v>4</v>
      </c>
      <c r="L1068" s="2">
        <v>59436</v>
      </c>
      <c r="M1068" s="3">
        <v>0</v>
      </c>
      <c r="N1068" s="1" t="s">
        <v>31</v>
      </c>
      <c r="O1068" s="1" t="s">
        <v>109</v>
      </c>
      <c r="P1068" s="1" t="s">
        <v>58</v>
      </c>
      <c r="Q1068" s="1" t="s">
        <v>3415</v>
      </c>
      <c r="R1068" s="1" t="s">
        <v>3138</v>
      </c>
      <c r="S1068" s="3">
        <v>2</v>
      </c>
      <c r="T1068" s="1" t="s">
        <v>96</v>
      </c>
      <c r="U1068" s="3">
        <v>339</v>
      </c>
      <c r="V1068" s="1" t="s">
        <v>62</v>
      </c>
      <c r="W1068" s="5">
        <f>Table1[[#This Row],[Quantity]]*Table1[[#This Row],[Price]]*(1-Table1[[#This Row],[Discount %]]/100)</f>
        <v>237744</v>
      </c>
      <c r="X1068">
        <f>Table1[[#This Row],[DeliveryDate]]-Table1[[#This Row],[OrderDate]]</f>
        <v>4</v>
      </c>
      <c r="Y1068" t="str">
        <f>TEXT(Table1[[#This Row],[OrderDate]],"MMMM")</f>
        <v>June</v>
      </c>
      <c r="Z1068" s="5">
        <f>YEAR(Table1[[#This Row],[OrderDate]])</f>
        <v>2023</v>
      </c>
    </row>
    <row r="1069" spans="1:26" x14ac:dyDescent="0.3">
      <c r="A1069" s="1" t="s">
        <v>3139</v>
      </c>
      <c r="B1069" t="s">
        <v>484</v>
      </c>
      <c r="C1069" s="3">
        <v>46</v>
      </c>
      <c r="D1069" s="1" t="s">
        <v>51</v>
      </c>
      <c r="E1069" s="1" t="s">
        <v>26</v>
      </c>
      <c r="F1069" s="1" t="s">
        <v>65</v>
      </c>
      <c r="G1069" s="4">
        <v>45005</v>
      </c>
      <c r="H1069" s="4">
        <v>45011</v>
      </c>
      <c r="I1069" s="1" t="s">
        <v>29</v>
      </c>
      <c r="J1069" s="1" t="s">
        <v>44</v>
      </c>
      <c r="K1069" s="3">
        <v>1</v>
      </c>
      <c r="L1069" s="2">
        <v>65563</v>
      </c>
      <c r="M1069" s="3">
        <v>5</v>
      </c>
      <c r="N1069" s="1" t="s">
        <v>166</v>
      </c>
      <c r="O1069" s="1" t="s">
        <v>173</v>
      </c>
      <c r="P1069" s="1" t="s">
        <v>33</v>
      </c>
      <c r="Q1069" s="1" t="s">
        <v>487</v>
      </c>
      <c r="R1069" s="1" t="s">
        <v>3140</v>
      </c>
      <c r="S1069" s="3">
        <v>2</v>
      </c>
      <c r="T1069" s="1" t="s">
        <v>72</v>
      </c>
      <c r="U1069" s="3">
        <v>293</v>
      </c>
      <c r="V1069" s="1" t="s">
        <v>62</v>
      </c>
      <c r="W1069" s="5">
        <f>Table1[[#This Row],[Quantity]]*Table1[[#This Row],[Price]]*(1-Table1[[#This Row],[Discount %]]/100)</f>
        <v>62284.85</v>
      </c>
      <c r="X1069">
        <f>Table1[[#This Row],[DeliveryDate]]-Table1[[#This Row],[OrderDate]]</f>
        <v>6</v>
      </c>
      <c r="Y1069" t="str">
        <f>TEXT(Table1[[#This Row],[OrderDate]],"MMMM")</f>
        <v>March</v>
      </c>
      <c r="Z1069" s="5">
        <f>YEAR(Table1[[#This Row],[OrderDate]])</f>
        <v>2023</v>
      </c>
    </row>
    <row r="1070" spans="1:26" x14ac:dyDescent="0.3">
      <c r="A1070" s="1" t="s">
        <v>3141</v>
      </c>
      <c r="B1070" t="s">
        <v>216</v>
      </c>
      <c r="C1070" s="3">
        <v>51</v>
      </c>
      <c r="D1070" s="1" t="s">
        <v>51</v>
      </c>
      <c r="E1070" s="1" t="s">
        <v>99</v>
      </c>
      <c r="F1070" s="1" t="s">
        <v>82</v>
      </c>
      <c r="G1070" s="4">
        <v>45126</v>
      </c>
      <c r="H1070" s="4">
        <v>45129</v>
      </c>
      <c r="I1070" s="1" t="s">
        <v>85</v>
      </c>
      <c r="J1070" s="1" t="s">
        <v>30</v>
      </c>
      <c r="K1070" s="3">
        <v>5</v>
      </c>
      <c r="L1070" s="2">
        <v>39279</v>
      </c>
      <c r="M1070" s="3">
        <v>10</v>
      </c>
      <c r="N1070" s="1" t="s">
        <v>31</v>
      </c>
      <c r="O1070" s="1" t="s">
        <v>109</v>
      </c>
      <c r="P1070" s="1" t="s">
        <v>33</v>
      </c>
      <c r="Q1070" s="1" t="s">
        <v>219</v>
      </c>
      <c r="R1070" s="1" t="s">
        <v>3143</v>
      </c>
      <c r="S1070" s="3">
        <v>5</v>
      </c>
      <c r="T1070" s="1" t="s">
        <v>96</v>
      </c>
      <c r="U1070" s="3">
        <v>174</v>
      </c>
      <c r="V1070" s="1" t="s">
        <v>37</v>
      </c>
      <c r="W1070" s="5">
        <f>Table1[[#This Row],[Quantity]]*Table1[[#This Row],[Price]]*(1-Table1[[#This Row],[Discount %]]/100)</f>
        <v>176755.5</v>
      </c>
      <c r="X1070">
        <f>Table1[[#This Row],[DeliveryDate]]-Table1[[#This Row],[OrderDate]]</f>
        <v>3</v>
      </c>
      <c r="Y1070" t="str">
        <f>TEXT(Table1[[#This Row],[OrderDate]],"MMMM")</f>
        <v>July</v>
      </c>
      <c r="Z1070" s="5">
        <f>YEAR(Table1[[#This Row],[OrderDate]])</f>
        <v>2023</v>
      </c>
    </row>
    <row r="1071" spans="1:26" x14ac:dyDescent="0.3">
      <c r="A1071" s="1" t="s">
        <v>3144</v>
      </c>
      <c r="B1071" t="s">
        <v>589</v>
      </c>
      <c r="C1071" s="3">
        <v>41</v>
      </c>
      <c r="D1071" s="1" t="s">
        <v>24</v>
      </c>
      <c r="E1071" s="1" t="s">
        <v>26</v>
      </c>
      <c r="F1071" s="1" t="s">
        <v>91</v>
      </c>
      <c r="G1071" s="4">
        <v>45235</v>
      </c>
      <c r="H1071" s="4">
        <v>45236</v>
      </c>
      <c r="I1071" s="1" t="s">
        <v>108</v>
      </c>
      <c r="J1071" s="1" t="s">
        <v>30</v>
      </c>
      <c r="K1071" s="3">
        <v>3</v>
      </c>
      <c r="L1071" s="2">
        <v>72534</v>
      </c>
      <c r="M1071" s="3">
        <v>15</v>
      </c>
      <c r="N1071" s="1" t="s">
        <v>31</v>
      </c>
      <c r="O1071" s="1" t="s">
        <v>68</v>
      </c>
      <c r="P1071" s="1" t="s">
        <v>69</v>
      </c>
      <c r="Q1071" s="1" t="s">
        <v>591</v>
      </c>
      <c r="R1071" s="1" t="s">
        <v>3146</v>
      </c>
      <c r="S1071" s="3">
        <v>5</v>
      </c>
      <c r="T1071" s="1" t="s">
        <v>61</v>
      </c>
      <c r="U1071" s="3">
        <v>495</v>
      </c>
      <c r="V1071" s="1" t="s">
        <v>37</v>
      </c>
      <c r="W1071" s="5">
        <f>Table1[[#This Row],[Quantity]]*Table1[[#This Row],[Price]]*(1-Table1[[#This Row],[Discount %]]/100)</f>
        <v>184961.69999999998</v>
      </c>
      <c r="X1071">
        <f>Table1[[#This Row],[DeliveryDate]]-Table1[[#This Row],[OrderDate]]</f>
        <v>1</v>
      </c>
      <c r="Y1071" t="str">
        <f>TEXT(Table1[[#This Row],[OrderDate]],"MMMM")</f>
        <v>November</v>
      </c>
      <c r="Z1071" s="5">
        <f>YEAR(Table1[[#This Row],[OrderDate]])</f>
        <v>2023</v>
      </c>
    </row>
    <row r="1072" spans="1:26" x14ac:dyDescent="0.3">
      <c r="A1072" s="1" t="s">
        <v>3147</v>
      </c>
      <c r="B1072" t="s">
        <v>249</v>
      </c>
      <c r="C1072" s="3">
        <v>41</v>
      </c>
      <c r="D1072" s="1" t="s">
        <v>51</v>
      </c>
      <c r="E1072" s="1" t="s">
        <v>52</v>
      </c>
      <c r="F1072" s="1" t="s">
        <v>65</v>
      </c>
      <c r="G1072" s="4">
        <v>45000</v>
      </c>
      <c r="H1072" s="4">
        <v>45007</v>
      </c>
      <c r="I1072" s="1" t="s">
        <v>108</v>
      </c>
      <c r="J1072" s="1" t="s">
        <v>30</v>
      </c>
      <c r="K1072" s="3">
        <v>3</v>
      </c>
      <c r="L1072" s="2">
        <v>40962</v>
      </c>
      <c r="M1072" s="3">
        <v>0</v>
      </c>
      <c r="N1072" s="1" t="s">
        <v>166</v>
      </c>
      <c r="O1072" s="1" t="s">
        <v>86</v>
      </c>
      <c r="P1072" s="1" t="s">
        <v>174</v>
      </c>
      <c r="Q1072" s="1" t="s">
        <v>3415</v>
      </c>
      <c r="R1072" s="1" t="s">
        <v>3415</v>
      </c>
      <c r="S1072" s="3">
        <v>3</v>
      </c>
      <c r="T1072" s="1" t="s">
        <v>61</v>
      </c>
      <c r="U1072" s="3">
        <v>326</v>
      </c>
      <c r="V1072" s="1" t="s">
        <v>37</v>
      </c>
      <c r="W1072" s="5">
        <f>Table1[[#This Row],[Quantity]]*Table1[[#This Row],[Price]]*(1-Table1[[#This Row],[Discount %]]/100)</f>
        <v>122886</v>
      </c>
      <c r="X1072">
        <f>Table1[[#This Row],[DeliveryDate]]-Table1[[#This Row],[OrderDate]]</f>
        <v>7</v>
      </c>
      <c r="Y1072" t="str">
        <f>TEXT(Table1[[#This Row],[OrderDate]],"MMMM")</f>
        <v>March</v>
      </c>
      <c r="Z1072" s="5">
        <f>YEAR(Table1[[#This Row],[OrderDate]])</f>
        <v>2023</v>
      </c>
    </row>
    <row r="1073" spans="1:26" x14ac:dyDescent="0.3">
      <c r="A1073" s="1" t="s">
        <v>3149</v>
      </c>
      <c r="B1073" t="s">
        <v>645</v>
      </c>
      <c r="C1073" s="3">
        <v>44</v>
      </c>
      <c r="D1073" s="1" t="s">
        <v>24</v>
      </c>
      <c r="E1073" s="1" t="s">
        <v>229</v>
      </c>
      <c r="F1073" s="1" t="s">
        <v>82</v>
      </c>
      <c r="G1073" s="4">
        <v>45524</v>
      </c>
      <c r="H1073" s="4">
        <v>45525</v>
      </c>
      <c r="I1073" s="1" t="s">
        <v>93</v>
      </c>
      <c r="J1073" s="1" t="s">
        <v>30</v>
      </c>
      <c r="K1073" s="3">
        <v>2</v>
      </c>
      <c r="L1073" s="2">
        <v>42109.716287215415</v>
      </c>
      <c r="M1073" s="3">
        <v>15</v>
      </c>
      <c r="N1073" s="1" t="s">
        <v>166</v>
      </c>
      <c r="O1073" s="1" t="s">
        <v>133</v>
      </c>
      <c r="P1073" s="1" t="s">
        <v>69</v>
      </c>
      <c r="Q1073" s="1" t="s">
        <v>647</v>
      </c>
      <c r="R1073" s="1" t="s">
        <v>3150</v>
      </c>
      <c r="S1073" s="3">
        <v>1</v>
      </c>
      <c r="T1073" s="1" t="s">
        <v>72</v>
      </c>
      <c r="U1073" s="3">
        <v>99</v>
      </c>
      <c r="V1073" s="1" t="s">
        <v>62</v>
      </c>
      <c r="W1073" s="5">
        <f>Table1[[#This Row],[Quantity]]*Table1[[#This Row],[Price]]*(1-Table1[[#This Row],[Discount %]]/100)</f>
        <v>71586.517688266205</v>
      </c>
      <c r="X1073">
        <f>Table1[[#This Row],[DeliveryDate]]-Table1[[#This Row],[OrderDate]]</f>
        <v>1</v>
      </c>
      <c r="Y1073" t="str">
        <f>TEXT(Table1[[#This Row],[OrderDate]],"MMMM")</f>
        <v>August</v>
      </c>
      <c r="Z1073" s="5">
        <f>YEAR(Table1[[#This Row],[OrderDate]])</f>
        <v>2024</v>
      </c>
    </row>
    <row r="1074" spans="1:26" x14ac:dyDescent="0.3">
      <c r="A1074" s="1" t="s">
        <v>3151</v>
      </c>
      <c r="B1074" t="s">
        <v>1443</v>
      </c>
      <c r="C1074" s="3">
        <v>26</v>
      </c>
      <c r="D1074" s="1" t="s">
        <v>51</v>
      </c>
      <c r="E1074" s="1" t="s">
        <v>142</v>
      </c>
      <c r="F1074" s="1" t="s">
        <v>26</v>
      </c>
      <c r="G1074" s="4">
        <v>45454</v>
      </c>
      <c r="H1074" s="4">
        <v>45462</v>
      </c>
      <c r="I1074" s="1" t="s">
        <v>93</v>
      </c>
      <c r="J1074" s="1" t="s">
        <v>44</v>
      </c>
      <c r="K1074" s="3">
        <v>5</v>
      </c>
      <c r="L1074" s="2">
        <v>60402</v>
      </c>
      <c r="M1074" s="3">
        <v>5</v>
      </c>
      <c r="N1074" s="1" t="s">
        <v>166</v>
      </c>
      <c r="O1074" s="1" t="s">
        <v>109</v>
      </c>
      <c r="P1074" s="1" t="s">
        <v>33</v>
      </c>
      <c r="Q1074" s="1" t="s">
        <v>1444</v>
      </c>
      <c r="R1074" s="1" t="s">
        <v>3152</v>
      </c>
      <c r="S1074" s="3">
        <v>2</v>
      </c>
      <c r="T1074" s="1" t="s">
        <v>36</v>
      </c>
      <c r="U1074" s="3">
        <v>336</v>
      </c>
      <c r="V1074" s="1" t="s">
        <v>62</v>
      </c>
      <c r="W1074" s="5">
        <f>Table1[[#This Row],[Quantity]]*Table1[[#This Row],[Price]]*(1-Table1[[#This Row],[Discount %]]/100)</f>
        <v>286909.5</v>
      </c>
      <c r="X1074">
        <f>Table1[[#This Row],[DeliveryDate]]-Table1[[#This Row],[OrderDate]]</f>
        <v>8</v>
      </c>
      <c r="Y1074" t="str">
        <f>TEXT(Table1[[#This Row],[OrderDate]],"MMMM")</f>
        <v>June</v>
      </c>
      <c r="Z1074" s="5">
        <f>YEAR(Table1[[#This Row],[OrderDate]])</f>
        <v>2024</v>
      </c>
    </row>
    <row r="1075" spans="1:26" x14ac:dyDescent="0.3">
      <c r="A1075" s="1" t="s">
        <v>3153</v>
      </c>
      <c r="B1075" t="s">
        <v>1080</v>
      </c>
      <c r="C1075" s="3">
        <v>56</v>
      </c>
      <c r="D1075" s="1" t="s">
        <v>24</v>
      </c>
      <c r="E1075" s="1" t="s">
        <v>131</v>
      </c>
      <c r="F1075" s="1" t="s">
        <v>65</v>
      </c>
      <c r="G1075" s="4">
        <v>44978</v>
      </c>
      <c r="H1075" s="4">
        <v>44988</v>
      </c>
      <c r="I1075" s="1" t="s">
        <v>108</v>
      </c>
      <c r="J1075" s="1" t="s">
        <v>30</v>
      </c>
      <c r="K1075" s="3">
        <v>5</v>
      </c>
      <c r="L1075" s="2">
        <v>22101</v>
      </c>
      <c r="M1075" s="3">
        <v>0</v>
      </c>
      <c r="N1075" s="1" t="s">
        <v>56</v>
      </c>
      <c r="O1075" s="1" t="s">
        <v>46</v>
      </c>
      <c r="P1075" s="1" t="s">
        <v>69</v>
      </c>
      <c r="Q1075" s="1" t="s">
        <v>3415</v>
      </c>
      <c r="R1075" s="1" t="s">
        <v>3154</v>
      </c>
      <c r="S1075" s="3">
        <v>5</v>
      </c>
      <c r="T1075" s="1" t="s">
        <v>61</v>
      </c>
      <c r="U1075" s="3">
        <v>443</v>
      </c>
      <c r="V1075" s="1" t="s">
        <v>37</v>
      </c>
      <c r="W1075" s="5">
        <f>Table1[[#This Row],[Quantity]]*Table1[[#This Row],[Price]]*(1-Table1[[#This Row],[Discount %]]/100)</f>
        <v>110505</v>
      </c>
      <c r="X1075">
        <f>Table1[[#This Row],[DeliveryDate]]-Table1[[#This Row],[OrderDate]]</f>
        <v>10</v>
      </c>
      <c r="Y1075" t="str">
        <f>TEXT(Table1[[#This Row],[OrderDate]],"MMMM")</f>
        <v>February</v>
      </c>
      <c r="Z1075" s="5">
        <f>YEAR(Table1[[#This Row],[OrderDate]])</f>
        <v>2023</v>
      </c>
    </row>
    <row r="1076" spans="1:26" x14ac:dyDescent="0.3">
      <c r="A1076" s="1" t="s">
        <v>3155</v>
      </c>
      <c r="B1076" t="s">
        <v>617</v>
      </c>
      <c r="C1076" s="3">
        <v>37</v>
      </c>
      <c r="D1076" s="1" t="s">
        <v>51</v>
      </c>
      <c r="E1076" s="1" t="s">
        <v>52</v>
      </c>
      <c r="F1076" s="1" t="s">
        <v>65</v>
      </c>
      <c r="G1076" s="4">
        <v>45330</v>
      </c>
      <c r="H1076" s="4">
        <v>45331</v>
      </c>
      <c r="I1076" s="1" t="s">
        <v>108</v>
      </c>
      <c r="J1076" s="1" t="s">
        <v>44</v>
      </c>
      <c r="K1076" s="3">
        <v>2</v>
      </c>
      <c r="L1076" s="2">
        <v>37317</v>
      </c>
      <c r="M1076" s="3">
        <v>0</v>
      </c>
      <c r="N1076" s="1" t="s">
        <v>166</v>
      </c>
      <c r="O1076" s="1" t="s">
        <v>102</v>
      </c>
      <c r="P1076" s="1" t="s">
        <v>174</v>
      </c>
      <c r="Q1076" s="1" t="s">
        <v>3415</v>
      </c>
      <c r="R1076" s="1" t="s">
        <v>3157</v>
      </c>
      <c r="S1076" s="3">
        <v>3</v>
      </c>
      <c r="T1076" s="1" t="s">
        <v>36</v>
      </c>
      <c r="U1076" s="3">
        <v>394</v>
      </c>
      <c r="V1076" s="1" t="s">
        <v>79</v>
      </c>
      <c r="W1076" s="5">
        <f>Table1[[#This Row],[Quantity]]*Table1[[#This Row],[Price]]*(1-Table1[[#This Row],[Discount %]]/100)</f>
        <v>74634</v>
      </c>
      <c r="X1076">
        <f>Table1[[#This Row],[DeliveryDate]]-Table1[[#This Row],[OrderDate]]</f>
        <v>1</v>
      </c>
      <c r="Y1076" t="str">
        <f>TEXT(Table1[[#This Row],[OrderDate]],"MMMM")</f>
        <v>February</v>
      </c>
      <c r="Z1076" s="5">
        <f>YEAR(Table1[[#This Row],[OrderDate]])</f>
        <v>2024</v>
      </c>
    </row>
    <row r="1077" spans="1:26" x14ac:dyDescent="0.3">
      <c r="A1077" s="1" t="s">
        <v>3158</v>
      </c>
      <c r="B1077" t="s">
        <v>1309</v>
      </c>
      <c r="C1077" s="3">
        <v>22</v>
      </c>
      <c r="D1077" s="1" t="s">
        <v>51</v>
      </c>
      <c r="E1077" s="1" t="s">
        <v>26</v>
      </c>
      <c r="F1077" s="1" t="s">
        <v>26</v>
      </c>
      <c r="G1077" s="4">
        <v>45562</v>
      </c>
      <c r="H1077" s="4">
        <v>45571</v>
      </c>
      <c r="I1077" s="1" t="s">
        <v>29</v>
      </c>
      <c r="J1077" s="1" t="s">
        <v>30</v>
      </c>
      <c r="K1077" s="3">
        <v>4</v>
      </c>
      <c r="L1077" s="2">
        <v>42109.716287215415</v>
      </c>
      <c r="M1077" s="3">
        <v>5</v>
      </c>
      <c r="N1077" s="1" t="s">
        <v>45</v>
      </c>
      <c r="O1077" s="1" t="s">
        <v>86</v>
      </c>
      <c r="P1077" s="1" t="s">
        <v>174</v>
      </c>
      <c r="Q1077" s="1" t="s">
        <v>1311</v>
      </c>
      <c r="R1077" s="1" t="s">
        <v>3159</v>
      </c>
      <c r="S1077" s="3">
        <v>3</v>
      </c>
      <c r="T1077" s="1" t="s">
        <v>96</v>
      </c>
      <c r="U1077" s="3">
        <v>284</v>
      </c>
      <c r="V1077" s="1" t="s">
        <v>79</v>
      </c>
      <c r="W1077" s="5">
        <f>Table1[[#This Row],[Quantity]]*Table1[[#This Row],[Price]]*(1-Table1[[#This Row],[Discount %]]/100)</f>
        <v>160016.92189141858</v>
      </c>
      <c r="X1077">
        <f>Table1[[#This Row],[DeliveryDate]]-Table1[[#This Row],[OrderDate]]</f>
        <v>9</v>
      </c>
      <c r="Y1077" t="str">
        <f>TEXT(Table1[[#This Row],[OrderDate]],"MMMM")</f>
        <v>September</v>
      </c>
      <c r="Z1077" s="5">
        <f>YEAR(Table1[[#This Row],[OrderDate]])</f>
        <v>2024</v>
      </c>
    </row>
    <row r="1078" spans="1:26" x14ac:dyDescent="0.3">
      <c r="A1078" s="1" t="s">
        <v>3160</v>
      </c>
      <c r="B1078" t="s">
        <v>424</v>
      </c>
      <c r="C1078" s="3">
        <v>31</v>
      </c>
      <c r="D1078" s="1" t="s">
        <v>24</v>
      </c>
      <c r="E1078" s="1" t="s">
        <v>99</v>
      </c>
      <c r="F1078" s="1" t="s">
        <v>65</v>
      </c>
      <c r="G1078" s="4">
        <v>45548</v>
      </c>
      <c r="H1078" s="4">
        <v>45557</v>
      </c>
      <c r="I1078" s="1" t="s">
        <v>108</v>
      </c>
      <c r="J1078" s="1" t="s">
        <v>30</v>
      </c>
      <c r="K1078" s="3">
        <v>1</v>
      </c>
      <c r="L1078" s="2">
        <v>53064</v>
      </c>
      <c r="M1078" s="3">
        <v>10</v>
      </c>
      <c r="N1078" s="1" t="s">
        <v>166</v>
      </c>
      <c r="O1078" s="1" t="s">
        <v>86</v>
      </c>
      <c r="P1078" s="1" t="s">
        <v>69</v>
      </c>
      <c r="Q1078" s="1" t="s">
        <v>427</v>
      </c>
      <c r="R1078" s="1" t="s">
        <v>3161</v>
      </c>
      <c r="S1078" s="3">
        <v>4</v>
      </c>
      <c r="T1078" s="1" t="s">
        <v>96</v>
      </c>
      <c r="U1078" s="3">
        <v>452</v>
      </c>
      <c r="V1078" s="1" t="s">
        <v>79</v>
      </c>
      <c r="W1078" s="5">
        <f>Table1[[#This Row],[Quantity]]*Table1[[#This Row],[Price]]*(1-Table1[[#This Row],[Discount %]]/100)</f>
        <v>47757.599999999999</v>
      </c>
      <c r="X1078">
        <f>Table1[[#This Row],[DeliveryDate]]-Table1[[#This Row],[OrderDate]]</f>
        <v>9</v>
      </c>
      <c r="Y1078" t="str">
        <f>TEXT(Table1[[#This Row],[OrderDate]],"MMMM")</f>
        <v>September</v>
      </c>
      <c r="Z1078" s="5">
        <f>YEAR(Table1[[#This Row],[OrderDate]])</f>
        <v>2024</v>
      </c>
    </row>
    <row r="1079" spans="1:26" x14ac:dyDescent="0.3">
      <c r="A1079" s="1" t="s">
        <v>3162</v>
      </c>
      <c r="B1079" t="s">
        <v>1876</v>
      </c>
      <c r="C1079" s="3">
        <v>54</v>
      </c>
      <c r="D1079" s="1" t="s">
        <v>51</v>
      </c>
      <c r="E1079" s="1" t="s">
        <v>142</v>
      </c>
      <c r="F1079" s="1" t="s">
        <v>65</v>
      </c>
      <c r="G1079" s="4">
        <v>45432</v>
      </c>
      <c r="H1079" s="4">
        <v>45441</v>
      </c>
      <c r="I1079" s="1" t="s">
        <v>93</v>
      </c>
      <c r="J1079" s="1" t="s">
        <v>30</v>
      </c>
      <c r="K1079" s="3">
        <v>2</v>
      </c>
      <c r="L1079" s="2">
        <v>65933</v>
      </c>
      <c r="M1079" s="3">
        <v>5</v>
      </c>
      <c r="N1079" s="1" t="s">
        <v>31</v>
      </c>
      <c r="O1079" s="1" t="s">
        <v>109</v>
      </c>
      <c r="P1079" s="1" t="s">
        <v>174</v>
      </c>
      <c r="Q1079" s="1" t="s">
        <v>1427</v>
      </c>
      <c r="R1079" s="1" t="s">
        <v>3163</v>
      </c>
      <c r="S1079" s="3">
        <v>1</v>
      </c>
      <c r="T1079" s="1" t="s">
        <v>72</v>
      </c>
      <c r="U1079" s="3">
        <v>51</v>
      </c>
      <c r="V1079" s="1" t="s">
        <v>37</v>
      </c>
      <c r="W1079" s="5">
        <f>Table1[[#This Row],[Quantity]]*Table1[[#This Row],[Price]]*(1-Table1[[#This Row],[Discount %]]/100)</f>
        <v>125272.7</v>
      </c>
      <c r="X1079">
        <f>Table1[[#This Row],[DeliveryDate]]-Table1[[#This Row],[OrderDate]]</f>
        <v>9</v>
      </c>
      <c r="Y1079" t="str">
        <f>TEXT(Table1[[#This Row],[OrderDate]],"MMMM")</f>
        <v>May</v>
      </c>
      <c r="Z1079" s="5">
        <f>YEAR(Table1[[#This Row],[OrderDate]])</f>
        <v>2024</v>
      </c>
    </row>
    <row r="1080" spans="1:26" x14ac:dyDescent="0.3">
      <c r="A1080" s="1" t="s">
        <v>3164</v>
      </c>
      <c r="B1080" t="s">
        <v>684</v>
      </c>
      <c r="C1080" s="3">
        <v>50</v>
      </c>
      <c r="D1080" s="1" t="s">
        <v>51</v>
      </c>
      <c r="E1080" s="1" t="s">
        <v>142</v>
      </c>
      <c r="F1080" s="1" t="s">
        <v>91</v>
      </c>
      <c r="G1080" s="4">
        <v>45004</v>
      </c>
      <c r="H1080" s="4">
        <v>45008</v>
      </c>
      <c r="I1080" s="1" t="s">
        <v>29</v>
      </c>
      <c r="J1080" s="1" t="s">
        <v>30</v>
      </c>
      <c r="K1080" s="3">
        <v>1</v>
      </c>
      <c r="L1080" s="2">
        <v>40624</v>
      </c>
      <c r="M1080" s="3">
        <v>0</v>
      </c>
      <c r="N1080" s="1" t="s">
        <v>166</v>
      </c>
      <c r="O1080" s="1" t="s">
        <v>57</v>
      </c>
      <c r="P1080" s="1" t="s">
        <v>174</v>
      </c>
      <c r="Q1080" s="1" t="s">
        <v>785</v>
      </c>
      <c r="R1080" s="1" t="s">
        <v>3166</v>
      </c>
      <c r="S1080" s="3">
        <v>5</v>
      </c>
      <c r="T1080" s="1" t="s">
        <v>61</v>
      </c>
      <c r="U1080" s="3">
        <v>433</v>
      </c>
      <c r="V1080" s="1" t="s">
        <v>62</v>
      </c>
      <c r="W1080" s="5">
        <f>Table1[[#This Row],[Quantity]]*Table1[[#This Row],[Price]]*(1-Table1[[#This Row],[Discount %]]/100)</f>
        <v>40624</v>
      </c>
      <c r="X1080">
        <f>Table1[[#This Row],[DeliveryDate]]-Table1[[#This Row],[OrderDate]]</f>
        <v>4</v>
      </c>
      <c r="Y1080" t="str">
        <f>TEXT(Table1[[#This Row],[OrderDate]],"MMMM")</f>
        <v>March</v>
      </c>
      <c r="Z1080" s="5">
        <f>YEAR(Table1[[#This Row],[OrderDate]])</f>
        <v>2023</v>
      </c>
    </row>
    <row r="1081" spans="1:26" x14ac:dyDescent="0.3">
      <c r="A1081" s="1" t="s">
        <v>3167</v>
      </c>
      <c r="B1081" t="s">
        <v>272</v>
      </c>
      <c r="C1081" s="3">
        <v>55</v>
      </c>
      <c r="D1081" s="1" t="s">
        <v>51</v>
      </c>
      <c r="E1081" s="1" t="s">
        <v>40</v>
      </c>
      <c r="F1081" s="1" t="s">
        <v>82</v>
      </c>
      <c r="G1081" s="4">
        <v>45077</v>
      </c>
      <c r="H1081" s="4">
        <v>45083</v>
      </c>
      <c r="I1081" s="1" t="s">
        <v>93</v>
      </c>
      <c r="J1081" s="1" t="s">
        <v>44</v>
      </c>
      <c r="K1081" s="3">
        <v>5</v>
      </c>
      <c r="L1081" s="2">
        <v>13112</v>
      </c>
      <c r="M1081" s="3">
        <v>10</v>
      </c>
      <c r="N1081" s="1" t="s">
        <v>45</v>
      </c>
      <c r="O1081" s="1" t="s">
        <v>102</v>
      </c>
      <c r="P1081" s="1" t="s">
        <v>33</v>
      </c>
      <c r="Q1081" s="1" t="s">
        <v>3415</v>
      </c>
      <c r="R1081" s="1" t="s">
        <v>3168</v>
      </c>
      <c r="S1081" s="3">
        <v>1</v>
      </c>
      <c r="T1081" s="1" t="s">
        <v>36</v>
      </c>
      <c r="U1081" s="3">
        <v>275</v>
      </c>
      <c r="V1081" s="1" t="s">
        <v>79</v>
      </c>
      <c r="W1081" s="5">
        <f>Table1[[#This Row],[Quantity]]*Table1[[#This Row],[Price]]*(1-Table1[[#This Row],[Discount %]]/100)</f>
        <v>59004</v>
      </c>
      <c r="X1081">
        <f>Table1[[#This Row],[DeliveryDate]]-Table1[[#This Row],[OrderDate]]</f>
        <v>6</v>
      </c>
      <c r="Y1081" t="str">
        <f>TEXT(Table1[[#This Row],[OrderDate]],"MMMM")</f>
        <v>May</v>
      </c>
      <c r="Z1081" s="5">
        <f>YEAR(Table1[[#This Row],[OrderDate]])</f>
        <v>2023</v>
      </c>
    </row>
    <row r="1082" spans="1:26" x14ac:dyDescent="0.3">
      <c r="A1082" s="1" t="s">
        <v>3169</v>
      </c>
      <c r="B1082" t="s">
        <v>119</v>
      </c>
      <c r="C1082" s="3">
        <v>29</v>
      </c>
      <c r="D1082" s="1" t="s">
        <v>24</v>
      </c>
      <c r="E1082" s="1" t="s">
        <v>99</v>
      </c>
      <c r="F1082" s="1" t="s">
        <v>91</v>
      </c>
      <c r="G1082" s="4">
        <v>45008</v>
      </c>
      <c r="H1082" s="4">
        <v>45016</v>
      </c>
      <c r="I1082" s="1" t="s">
        <v>108</v>
      </c>
      <c r="J1082" s="1" t="s">
        <v>30</v>
      </c>
      <c r="K1082" s="3">
        <v>3</v>
      </c>
      <c r="L1082" s="2">
        <v>31937</v>
      </c>
      <c r="M1082" s="3">
        <v>0</v>
      </c>
      <c r="N1082" s="1" t="s">
        <v>56</v>
      </c>
      <c r="O1082" s="1" t="s">
        <v>86</v>
      </c>
      <c r="P1082" s="1" t="s">
        <v>58</v>
      </c>
      <c r="Q1082" s="1" t="s">
        <v>3415</v>
      </c>
      <c r="R1082" s="1" t="s">
        <v>3170</v>
      </c>
      <c r="S1082" s="3">
        <v>1</v>
      </c>
      <c r="T1082" s="1" t="s">
        <v>96</v>
      </c>
      <c r="U1082" s="3">
        <v>301</v>
      </c>
      <c r="V1082" s="1" t="s">
        <v>79</v>
      </c>
      <c r="W1082" s="5">
        <f>Table1[[#This Row],[Quantity]]*Table1[[#This Row],[Price]]*(1-Table1[[#This Row],[Discount %]]/100)</f>
        <v>95811</v>
      </c>
      <c r="X1082">
        <f>Table1[[#This Row],[DeliveryDate]]-Table1[[#This Row],[OrderDate]]</f>
        <v>8</v>
      </c>
      <c r="Y1082" t="str">
        <f>TEXT(Table1[[#This Row],[OrderDate]],"MMMM")</f>
        <v>March</v>
      </c>
      <c r="Z1082" s="5">
        <f>YEAR(Table1[[#This Row],[OrderDate]])</f>
        <v>2023</v>
      </c>
    </row>
    <row r="1083" spans="1:26" x14ac:dyDescent="0.3">
      <c r="A1083" s="1" t="s">
        <v>3171</v>
      </c>
      <c r="B1083" t="s">
        <v>803</v>
      </c>
      <c r="C1083" s="3">
        <v>32</v>
      </c>
      <c r="D1083" s="1" t="s">
        <v>51</v>
      </c>
      <c r="E1083" s="1" t="s">
        <v>229</v>
      </c>
      <c r="F1083" s="1" t="s">
        <v>26</v>
      </c>
      <c r="G1083" s="4">
        <v>45375</v>
      </c>
      <c r="H1083" s="4">
        <v>45380</v>
      </c>
      <c r="I1083" s="1" t="s">
        <v>85</v>
      </c>
      <c r="J1083" s="1" t="s">
        <v>30</v>
      </c>
      <c r="K1083" s="3">
        <v>4</v>
      </c>
      <c r="L1083" s="2">
        <v>34431</v>
      </c>
      <c r="M1083" s="3">
        <v>0</v>
      </c>
      <c r="N1083" s="1" t="s">
        <v>31</v>
      </c>
      <c r="O1083" s="1" t="s">
        <v>281</v>
      </c>
      <c r="P1083" s="1" t="s">
        <v>174</v>
      </c>
      <c r="Q1083" s="1" t="s">
        <v>805</v>
      </c>
      <c r="R1083" s="1" t="s">
        <v>3172</v>
      </c>
      <c r="S1083" s="3">
        <v>5</v>
      </c>
      <c r="T1083" s="1" t="s">
        <v>36</v>
      </c>
      <c r="U1083" s="3">
        <v>244</v>
      </c>
      <c r="V1083" s="1" t="s">
        <v>62</v>
      </c>
      <c r="W1083" s="5">
        <f>Table1[[#This Row],[Quantity]]*Table1[[#This Row],[Price]]*(1-Table1[[#This Row],[Discount %]]/100)</f>
        <v>137724</v>
      </c>
      <c r="X1083">
        <f>Table1[[#This Row],[DeliveryDate]]-Table1[[#This Row],[OrderDate]]</f>
        <v>5</v>
      </c>
      <c r="Y1083" t="str">
        <f>TEXT(Table1[[#This Row],[OrderDate]],"MMMM")</f>
        <v>March</v>
      </c>
      <c r="Z1083" s="5">
        <f>YEAR(Table1[[#This Row],[OrderDate]])</f>
        <v>2024</v>
      </c>
    </row>
    <row r="1084" spans="1:26" x14ac:dyDescent="0.3">
      <c r="A1084" s="1" t="s">
        <v>3173</v>
      </c>
      <c r="B1084" t="s">
        <v>840</v>
      </c>
      <c r="C1084" s="3">
        <v>44</v>
      </c>
      <c r="D1084" s="1" t="s">
        <v>51</v>
      </c>
      <c r="E1084" s="1" t="s">
        <v>40</v>
      </c>
      <c r="F1084" s="1" t="s">
        <v>82</v>
      </c>
      <c r="G1084" s="4">
        <v>45079</v>
      </c>
      <c r="H1084" s="4">
        <v>45081</v>
      </c>
      <c r="I1084" s="1" t="s">
        <v>77</v>
      </c>
      <c r="J1084" s="1" t="s">
        <v>30</v>
      </c>
      <c r="K1084" s="3">
        <v>2</v>
      </c>
      <c r="L1084" s="2">
        <v>79002</v>
      </c>
      <c r="M1084" s="3">
        <v>15</v>
      </c>
      <c r="N1084" s="1" t="s">
        <v>45</v>
      </c>
      <c r="O1084" s="1" t="s">
        <v>109</v>
      </c>
      <c r="P1084" s="1" t="s">
        <v>174</v>
      </c>
      <c r="Q1084" s="1" t="s">
        <v>1147</v>
      </c>
      <c r="R1084" s="1" t="s">
        <v>3174</v>
      </c>
      <c r="S1084" s="3">
        <v>5</v>
      </c>
      <c r="T1084" s="1" t="s">
        <v>72</v>
      </c>
      <c r="U1084" s="3">
        <v>181</v>
      </c>
      <c r="V1084" s="1" t="s">
        <v>37</v>
      </c>
      <c r="W1084" s="5">
        <f>Table1[[#This Row],[Quantity]]*Table1[[#This Row],[Price]]*(1-Table1[[#This Row],[Discount %]]/100)</f>
        <v>134303.4</v>
      </c>
      <c r="X1084">
        <f>Table1[[#This Row],[DeliveryDate]]-Table1[[#This Row],[OrderDate]]</f>
        <v>2</v>
      </c>
      <c r="Y1084" t="str">
        <f>TEXT(Table1[[#This Row],[OrderDate]],"MMMM")</f>
        <v>June</v>
      </c>
      <c r="Z1084" s="5">
        <f>YEAR(Table1[[#This Row],[OrderDate]])</f>
        <v>2023</v>
      </c>
    </row>
    <row r="1085" spans="1:26" x14ac:dyDescent="0.3">
      <c r="A1085" s="1" t="s">
        <v>3175</v>
      </c>
      <c r="B1085" t="s">
        <v>98</v>
      </c>
      <c r="C1085" s="3">
        <v>30</v>
      </c>
      <c r="D1085" s="1" t="s">
        <v>24</v>
      </c>
      <c r="E1085" s="1" t="s">
        <v>229</v>
      </c>
      <c r="F1085" s="1" t="s">
        <v>26</v>
      </c>
      <c r="G1085" s="4">
        <v>45213</v>
      </c>
      <c r="H1085" s="4">
        <v>45219</v>
      </c>
      <c r="I1085" s="1" t="s">
        <v>108</v>
      </c>
      <c r="J1085" s="1" t="s">
        <v>30</v>
      </c>
      <c r="K1085" s="3">
        <v>2.9447852760736195</v>
      </c>
      <c r="L1085" s="2">
        <v>19019</v>
      </c>
      <c r="M1085" s="3">
        <v>0</v>
      </c>
      <c r="N1085" s="1" t="s">
        <v>56</v>
      </c>
      <c r="O1085" s="1" t="s">
        <v>46</v>
      </c>
      <c r="P1085" s="1" t="s">
        <v>58</v>
      </c>
      <c r="Q1085" s="1" t="s">
        <v>103</v>
      </c>
      <c r="R1085" s="1" t="s">
        <v>3177</v>
      </c>
      <c r="S1085" s="3">
        <v>3</v>
      </c>
      <c r="T1085" s="1" t="s">
        <v>72</v>
      </c>
      <c r="U1085" s="3">
        <v>239</v>
      </c>
      <c r="V1085" s="1" t="s">
        <v>37</v>
      </c>
      <c r="W1085" s="5">
        <f>Table1[[#This Row],[Quantity]]*Table1[[#This Row],[Price]]*(1-Table1[[#This Row],[Discount %]]/100)</f>
        <v>56006.871165644166</v>
      </c>
      <c r="X1085">
        <f>Table1[[#This Row],[DeliveryDate]]-Table1[[#This Row],[OrderDate]]</f>
        <v>6</v>
      </c>
      <c r="Y1085" t="str">
        <f>TEXT(Table1[[#This Row],[OrderDate]],"MMMM")</f>
        <v>October</v>
      </c>
      <c r="Z1085" s="5">
        <f>YEAR(Table1[[#This Row],[OrderDate]])</f>
        <v>2023</v>
      </c>
    </row>
    <row r="1086" spans="1:26" x14ac:dyDescent="0.3">
      <c r="A1086" s="1" t="s">
        <v>3178</v>
      </c>
      <c r="B1086" t="s">
        <v>333</v>
      </c>
      <c r="C1086" s="3">
        <v>18</v>
      </c>
      <c r="D1086" s="1" t="s">
        <v>51</v>
      </c>
      <c r="E1086" s="1" t="s">
        <v>229</v>
      </c>
      <c r="F1086" s="1" t="s">
        <v>91</v>
      </c>
      <c r="G1086" s="4">
        <v>45492</v>
      </c>
      <c r="H1086" s="4">
        <v>45498</v>
      </c>
      <c r="I1086" s="1" t="s">
        <v>85</v>
      </c>
      <c r="J1086" s="1" t="s">
        <v>44</v>
      </c>
      <c r="K1086" s="3">
        <v>1</v>
      </c>
      <c r="L1086" s="2">
        <v>59059</v>
      </c>
      <c r="M1086" s="3">
        <v>10</v>
      </c>
      <c r="N1086" s="1" t="s">
        <v>166</v>
      </c>
      <c r="O1086" s="1" t="s">
        <v>68</v>
      </c>
      <c r="P1086" s="1" t="s">
        <v>33</v>
      </c>
      <c r="Q1086" s="1" t="s">
        <v>336</v>
      </c>
      <c r="R1086" s="1" t="s">
        <v>3179</v>
      </c>
      <c r="S1086" s="3">
        <v>3</v>
      </c>
      <c r="T1086" s="1" t="s">
        <v>36</v>
      </c>
      <c r="U1086" s="3">
        <v>391</v>
      </c>
      <c r="V1086" s="1" t="s">
        <v>37</v>
      </c>
      <c r="W1086" s="5">
        <f>Table1[[#This Row],[Quantity]]*Table1[[#This Row],[Price]]*(1-Table1[[#This Row],[Discount %]]/100)</f>
        <v>53153.1</v>
      </c>
      <c r="X1086">
        <f>Table1[[#This Row],[DeliveryDate]]-Table1[[#This Row],[OrderDate]]</f>
        <v>6</v>
      </c>
      <c r="Y1086" t="str">
        <f>TEXT(Table1[[#This Row],[OrderDate]],"MMMM")</f>
        <v>July</v>
      </c>
      <c r="Z1086" s="5">
        <f>YEAR(Table1[[#This Row],[OrderDate]])</f>
        <v>2024</v>
      </c>
    </row>
    <row r="1087" spans="1:26" x14ac:dyDescent="0.3">
      <c r="A1087" s="1" t="s">
        <v>3180</v>
      </c>
      <c r="B1087" t="s">
        <v>509</v>
      </c>
      <c r="C1087" s="3">
        <v>25</v>
      </c>
      <c r="D1087" s="1" t="s">
        <v>51</v>
      </c>
      <c r="E1087" s="1" t="s">
        <v>26</v>
      </c>
      <c r="F1087" s="1" t="s">
        <v>53</v>
      </c>
      <c r="G1087" s="4">
        <v>45431</v>
      </c>
      <c r="H1087" s="4">
        <v>45433</v>
      </c>
      <c r="I1087" s="1" t="s">
        <v>108</v>
      </c>
      <c r="J1087" s="1" t="s">
        <v>30</v>
      </c>
      <c r="K1087" s="3">
        <v>2.9447852760736195</v>
      </c>
      <c r="L1087" s="2">
        <v>13517</v>
      </c>
      <c r="M1087" s="3">
        <v>10</v>
      </c>
      <c r="N1087" s="1" t="s">
        <v>56</v>
      </c>
      <c r="O1087" s="1" t="s">
        <v>102</v>
      </c>
      <c r="P1087" s="1" t="s">
        <v>69</v>
      </c>
      <c r="Q1087" s="1" t="s">
        <v>512</v>
      </c>
      <c r="R1087" s="1" t="s">
        <v>3181</v>
      </c>
      <c r="S1087" s="3">
        <v>1</v>
      </c>
      <c r="T1087" s="1" t="s">
        <v>61</v>
      </c>
      <c r="U1087" s="3">
        <v>372</v>
      </c>
      <c r="V1087" s="1" t="s">
        <v>37</v>
      </c>
      <c r="W1087" s="5">
        <f>Table1[[#This Row],[Quantity]]*Table1[[#This Row],[Price]]*(1-Table1[[#This Row],[Discount %]]/100)</f>
        <v>35824.196319018403</v>
      </c>
      <c r="X1087">
        <f>Table1[[#This Row],[DeliveryDate]]-Table1[[#This Row],[OrderDate]]</f>
        <v>2</v>
      </c>
      <c r="Y1087" t="str">
        <f>TEXT(Table1[[#This Row],[OrderDate]],"MMMM")</f>
        <v>May</v>
      </c>
      <c r="Z1087" s="5">
        <f>YEAR(Table1[[#This Row],[OrderDate]])</f>
        <v>2024</v>
      </c>
    </row>
    <row r="1088" spans="1:26" x14ac:dyDescent="0.3">
      <c r="A1088" s="1" t="s">
        <v>3182</v>
      </c>
      <c r="B1088" t="s">
        <v>1876</v>
      </c>
      <c r="C1088" s="3">
        <v>53</v>
      </c>
      <c r="D1088" s="1" t="s">
        <v>51</v>
      </c>
      <c r="E1088" s="1" t="s">
        <v>52</v>
      </c>
      <c r="F1088" s="1" t="s">
        <v>26</v>
      </c>
      <c r="G1088" s="4">
        <v>45460</v>
      </c>
      <c r="H1088" s="4">
        <v>45469</v>
      </c>
      <c r="I1088" s="1" t="s">
        <v>85</v>
      </c>
      <c r="J1088" s="1" t="s">
        <v>30</v>
      </c>
      <c r="K1088" s="3">
        <v>5</v>
      </c>
      <c r="L1088" s="2">
        <v>43073</v>
      </c>
      <c r="M1088" s="3">
        <v>10</v>
      </c>
      <c r="N1088" s="1" t="s">
        <v>45</v>
      </c>
      <c r="O1088" s="1" t="s">
        <v>68</v>
      </c>
      <c r="P1088" s="1" t="s">
        <v>58</v>
      </c>
      <c r="Q1088" s="1" t="s">
        <v>1427</v>
      </c>
      <c r="R1088" s="1" t="s">
        <v>3183</v>
      </c>
      <c r="S1088" s="3">
        <v>3</v>
      </c>
      <c r="T1088" s="1" t="s">
        <v>36</v>
      </c>
      <c r="U1088" s="3">
        <v>415</v>
      </c>
      <c r="V1088" s="1" t="s">
        <v>37</v>
      </c>
      <c r="W1088" s="5">
        <f>Table1[[#This Row],[Quantity]]*Table1[[#This Row],[Price]]*(1-Table1[[#This Row],[Discount %]]/100)</f>
        <v>193828.5</v>
      </c>
      <c r="X1088">
        <f>Table1[[#This Row],[DeliveryDate]]-Table1[[#This Row],[OrderDate]]</f>
        <v>9</v>
      </c>
      <c r="Y1088" t="str">
        <f>TEXT(Table1[[#This Row],[OrderDate]],"MMMM")</f>
        <v>June</v>
      </c>
      <c r="Z1088" s="5">
        <f>YEAR(Table1[[#This Row],[OrderDate]])</f>
        <v>2024</v>
      </c>
    </row>
    <row r="1089" spans="1:26" x14ac:dyDescent="0.3">
      <c r="A1089" s="1" t="s">
        <v>3184</v>
      </c>
      <c r="B1089" t="s">
        <v>702</v>
      </c>
      <c r="C1089" s="3">
        <v>29</v>
      </c>
      <c r="D1089" s="1" t="s">
        <v>24</v>
      </c>
      <c r="E1089" s="1" t="s">
        <v>26</v>
      </c>
      <c r="F1089" s="1" t="s">
        <v>82</v>
      </c>
      <c r="G1089" s="4">
        <v>45447</v>
      </c>
      <c r="H1089" s="4">
        <v>45457</v>
      </c>
      <c r="I1089" s="1" t="s">
        <v>93</v>
      </c>
      <c r="J1089" s="1" t="s">
        <v>30</v>
      </c>
      <c r="K1089" s="3">
        <v>1</v>
      </c>
      <c r="L1089" s="2">
        <v>63076</v>
      </c>
      <c r="M1089" s="3">
        <v>10</v>
      </c>
      <c r="N1089" s="1" t="s">
        <v>31</v>
      </c>
      <c r="O1089" s="1" t="s">
        <v>133</v>
      </c>
      <c r="P1089" s="1" t="s">
        <v>33</v>
      </c>
      <c r="Q1089" s="1" t="s">
        <v>916</v>
      </c>
      <c r="R1089" s="1" t="s">
        <v>3186</v>
      </c>
      <c r="S1089" s="3">
        <v>2</v>
      </c>
      <c r="T1089" s="1" t="s">
        <v>36</v>
      </c>
      <c r="U1089" s="3">
        <v>422</v>
      </c>
      <c r="V1089" s="1" t="s">
        <v>79</v>
      </c>
      <c r="W1089" s="5">
        <f>Table1[[#This Row],[Quantity]]*Table1[[#This Row],[Price]]*(1-Table1[[#This Row],[Discount %]]/100)</f>
        <v>56768.4</v>
      </c>
      <c r="X1089">
        <f>Table1[[#This Row],[DeliveryDate]]-Table1[[#This Row],[OrderDate]]</f>
        <v>10</v>
      </c>
      <c r="Y1089" t="str">
        <f>TEXT(Table1[[#This Row],[OrderDate]],"MMMM")</f>
        <v>June</v>
      </c>
      <c r="Z1089" s="5">
        <f>YEAR(Table1[[#This Row],[OrderDate]])</f>
        <v>2024</v>
      </c>
    </row>
    <row r="1090" spans="1:26" x14ac:dyDescent="0.3">
      <c r="A1090" s="1" t="s">
        <v>3187</v>
      </c>
      <c r="B1090" t="s">
        <v>361</v>
      </c>
      <c r="C1090" s="3">
        <v>29</v>
      </c>
      <c r="D1090" s="1" t="s">
        <v>51</v>
      </c>
      <c r="E1090" s="1" t="s">
        <v>131</v>
      </c>
      <c r="F1090" s="1" t="s">
        <v>53</v>
      </c>
      <c r="G1090" s="4">
        <v>45276</v>
      </c>
      <c r="H1090" s="4">
        <v>45285</v>
      </c>
      <c r="I1090" s="1" t="s">
        <v>43</v>
      </c>
      <c r="J1090" s="1" t="s">
        <v>44</v>
      </c>
      <c r="K1090" s="3">
        <v>1</v>
      </c>
      <c r="L1090" s="2">
        <v>44545</v>
      </c>
      <c r="M1090" s="3">
        <v>15</v>
      </c>
      <c r="N1090" s="1" t="s">
        <v>31</v>
      </c>
      <c r="O1090" s="1" t="s">
        <v>68</v>
      </c>
      <c r="P1090" s="1" t="s">
        <v>33</v>
      </c>
      <c r="Q1090" s="1" t="s">
        <v>364</v>
      </c>
      <c r="R1090" s="1" t="s">
        <v>3188</v>
      </c>
      <c r="S1090" s="3">
        <v>5</v>
      </c>
      <c r="T1090" s="1" t="s">
        <v>36</v>
      </c>
      <c r="U1090" s="3">
        <v>110</v>
      </c>
      <c r="V1090" s="1" t="s">
        <v>37</v>
      </c>
      <c r="W1090" s="5">
        <f>Table1[[#This Row],[Quantity]]*Table1[[#This Row],[Price]]*(1-Table1[[#This Row],[Discount %]]/100)</f>
        <v>37863.25</v>
      </c>
      <c r="X1090">
        <f>Table1[[#This Row],[DeliveryDate]]-Table1[[#This Row],[OrderDate]]</f>
        <v>9</v>
      </c>
      <c r="Y1090" t="str">
        <f>TEXT(Table1[[#This Row],[OrderDate]],"MMMM")</f>
        <v>December</v>
      </c>
      <c r="Z1090" s="5">
        <f>YEAR(Table1[[#This Row],[OrderDate]])</f>
        <v>2023</v>
      </c>
    </row>
    <row r="1091" spans="1:26" x14ac:dyDescent="0.3">
      <c r="A1091" s="1" t="s">
        <v>3189</v>
      </c>
      <c r="B1091" t="s">
        <v>1309</v>
      </c>
      <c r="C1091" s="3">
        <v>52</v>
      </c>
      <c r="D1091" s="1" t="s">
        <v>51</v>
      </c>
      <c r="E1091" s="1" t="s">
        <v>26</v>
      </c>
      <c r="F1091" s="1" t="s">
        <v>53</v>
      </c>
      <c r="G1091" s="4">
        <v>44976</v>
      </c>
      <c r="H1091" s="4">
        <v>44986</v>
      </c>
      <c r="I1091" s="1" t="s">
        <v>29</v>
      </c>
      <c r="J1091" s="1" t="s">
        <v>44</v>
      </c>
      <c r="K1091" s="3">
        <v>4</v>
      </c>
      <c r="L1091" s="2">
        <v>79670</v>
      </c>
      <c r="M1091" s="3">
        <v>10</v>
      </c>
      <c r="N1091" s="1" t="s">
        <v>56</v>
      </c>
      <c r="O1091" s="1" t="s">
        <v>281</v>
      </c>
      <c r="P1091" s="1" t="s">
        <v>174</v>
      </c>
      <c r="Q1091" s="1" t="s">
        <v>1311</v>
      </c>
      <c r="R1091" s="1" t="s">
        <v>3190</v>
      </c>
      <c r="S1091" s="3">
        <v>5</v>
      </c>
      <c r="T1091" s="1" t="s">
        <v>36</v>
      </c>
      <c r="U1091" s="3">
        <v>218</v>
      </c>
      <c r="V1091" s="1" t="s">
        <v>79</v>
      </c>
      <c r="W1091" s="5">
        <f>Table1[[#This Row],[Quantity]]*Table1[[#This Row],[Price]]*(1-Table1[[#This Row],[Discount %]]/100)</f>
        <v>286812</v>
      </c>
      <c r="X1091">
        <f>Table1[[#This Row],[DeliveryDate]]-Table1[[#This Row],[OrderDate]]</f>
        <v>10</v>
      </c>
      <c r="Y1091" t="str">
        <f>TEXT(Table1[[#This Row],[OrderDate]],"MMMM")</f>
        <v>February</v>
      </c>
      <c r="Z1091" s="5">
        <f>YEAR(Table1[[#This Row],[OrderDate]])</f>
        <v>2023</v>
      </c>
    </row>
    <row r="1092" spans="1:26" x14ac:dyDescent="0.3">
      <c r="A1092" s="1" t="s">
        <v>3191</v>
      </c>
      <c r="B1092" t="s">
        <v>503</v>
      </c>
      <c r="C1092" s="3">
        <v>24</v>
      </c>
      <c r="D1092" s="1" t="s">
        <v>24</v>
      </c>
      <c r="E1092" s="1" t="s">
        <v>142</v>
      </c>
      <c r="F1092" s="1" t="s">
        <v>53</v>
      </c>
      <c r="G1092" s="4">
        <v>45488</v>
      </c>
      <c r="H1092" s="4">
        <v>45497</v>
      </c>
      <c r="I1092" s="1" t="s">
        <v>77</v>
      </c>
      <c r="J1092" s="1" t="s">
        <v>30</v>
      </c>
      <c r="K1092" s="3">
        <v>5</v>
      </c>
      <c r="L1092" s="2">
        <v>16037</v>
      </c>
      <c r="M1092" s="3">
        <v>15</v>
      </c>
      <c r="N1092" s="1" t="s">
        <v>45</v>
      </c>
      <c r="O1092" s="1" t="s">
        <v>102</v>
      </c>
      <c r="P1092" s="1" t="s">
        <v>33</v>
      </c>
      <c r="Q1092" s="1" t="s">
        <v>506</v>
      </c>
      <c r="R1092" s="1" t="s">
        <v>3192</v>
      </c>
      <c r="S1092" s="3">
        <v>3</v>
      </c>
      <c r="T1092" s="1" t="s">
        <v>36</v>
      </c>
      <c r="U1092" s="3">
        <v>390</v>
      </c>
      <c r="V1092" s="1" t="s">
        <v>37</v>
      </c>
      <c r="W1092" s="5">
        <f>Table1[[#This Row],[Quantity]]*Table1[[#This Row],[Price]]*(1-Table1[[#This Row],[Discount %]]/100)</f>
        <v>68157.25</v>
      </c>
      <c r="X1092">
        <f>Table1[[#This Row],[DeliveryDate]]-Table1[[#This Row],[OrderDate]]</f>
        <v>9</v>
      </c>
      <c r="Y1092" t="str">
        <f>TEXT(Table1[[#This Row],[OrderDate]],"MMMM")</f>
        <v>July</v>
      </c>
      <c r="Z1092" s="5">
        <f>YEAR(Table1[[#This Row],[OrderDate]])</f>
        <v>2024</v>
      </c>
    </row>
    <row r="1093" spans="1:26" x14ac:dyDescent="0.3">
      <c r="A1093" s="1" t="s">
        <v>3193</v>
      </c>
      <c r="B1093" t="s">
        <v>461</v>
      </c>
      <c r="C1093" s="3">
        <v>22</v>
      </c>
      <c r="D1093" s="1" t="s">
        <v>24</v>
      </c>
      <c r="E1093" s="1" t="s">
        <v>40</v>
      </c>
      <c r="F1093" s="1" t="s">
        <v>82</v>
      </c>
      <c r="G1093" s="4">
        <v>45374</v>
      </c>
      <c r="H1093" s="4">
        <v>45376</v>
      </c>
      <c r="I1093" s="1" t="s">
        <v>93</v>
      </c>
      <c r="J1093" s="1" t="s">
        <v>44</v>
      </c>
      <c r="K1093" s="3">
        <v>3</v>
      </c>
      <c r="L1093" s="2">
        <v>11400</v>
      </c>
      <c r="M1093" s="3">
        <v>15</v>
      </c>
      <c r="N1093" s="1" t="s">
        <v>166</v>
      </c>
      <c r="O1093" s="1" t="s">
        <v>86</v>
      </c>
      <c r="P1093" s="1" t="s">
        <v>33</v>
      </c>
      <c r="Q1093" s="1" t="s">
        <v>3415</v>
      </c>
      <c r="R1093" s="1" t="s">
        <v>3194</v>
      </c>
      <c r="S1093" s="3">
        <v>3</v>
      </c>
      <c r="T1093" s="1" t="s">
        <v>61</v>
      </c>
      <c r="U1093" s="3">
        <v>116</v>
      </c>
      <c r="V1093" s="1" t="s">
        <v>37</v>
      </c>
      <c r="W1093" s="5">
        <f>Table1[[#This Row],[Quantity]]*Table1[[#This Row],[Price]]*(1-Table1[[#This Row],[Discount %]]/100)</f>
        <v>29070</v>
      </c>
      <c r="X1093">
        <f>Table1[[#This Row],[DeliveryDate]]-Table1[[#This Row],[OrderDate]]</f>
        <v>2</v>
      </c>
      <c r="Y1093" t="str">
        <f>TEXT(Table1[[#This Row],[OrderDate]],"MMMM")</f>
        <v>March</v>
      </c>
      <c r="Z1093" s="5">
        <f>YEAR(Table1[[#This Row],[OrderDate]])</f>
        <v>2024</v>
      </c>
    </row>
    <row r="1094" spans="1:26" x14ac:dyDescent="0.3">
      <c r="A1094" s="1" t="s">
        <v>3195</v>
      </c>
      <c r="B1094" t="s">
        <v>808</v>
      </c>
      <c r="C1094" s="3">
        <v>34</v>
      </c>
      <c r="D1094" s="1" t="s">
        <v>24</v>
      </c>
      <c r="E1094" s="1" t="s">
        <v>131</v>
      </c>
      <c r="F1094" s="1" t="s">
        <v>26</v>
      </c>
      <c r="G1094" s="4">
        <v>45174</v>
      </c>
      <c r="H1094" s="4">
        <v>45178</v>
      </c>
      <c r="I1094" s="1" t="s">
        <v>85</v>
      </c>
      <c r="J1094" s="1" t="s">
        <v>30</v>
      </c>
      <c r="K1094" s="3">
        <v>5</v>
      </c>
      <c r="L1094" s="2">
        <v>13043</v>
      </c>
      <c r="M1094" s="3">
        <v>10</v>
      </c>
      <c r="N1094" s="1" t="s">
        <v>45</v>
      </c>
      <c r="O1094" s="1" t="s">
        <v>57</v>
      </c>
      <c r="P1094" s="1" t="s">
        <v>69</v>
      </c>
      <c r="Q1094" s="1" t="s">
        <v>191</v>
      </c>
      <c r="R1094" s="1" t="s">
        <v>3197</v>
      </c>
      <c r="S1094" s="3">
        <v>2</v>
      </c>
      <c r="T1094" s="1" t="s">
        <v>72</v>
      </c>
      <c r="U1094" s="3">
        <v>476</v>
      </c>
      <c r="V1094" s="1" t="s">
        <v>37</v>
      </c>
      <c r="W1094" s="5">
        <f>Table1[[#This Row],[Quantity]]*Table1[[#This Row],[Price]]*(1-Table1[[#This Row],[Discount %]]/100)</f>
        <v>58693.5</v>
      </c>
      <c r="X1094">
        <f>Table1[[#This Row],[DeliveryDate]]-Table1[[#This Row],[OrderDate]]</f>
        <v>4</v>
      </c>
      <c r="Y1094" t="str">
        <f>TEXT(Table1[[#This Row],[OrderDate]],"MMMM")</f>
        <v>September</v>
      </c>
      <c r="Z1094" s="5">
        <f>YEAR(Table1[[#This Row],[OrderDate]])</f>
        <v>2023</v>
      </c>
    </row>
    <row r="1095" spans="1:26" x14ac:dyDescent="0.3">
      <c r="A1095" s="1" t="s">
        <v>3198</v>
      </c>
      <c r="B1095" t="s">
        <v>136</v>
      </c>
      <c r="C1095" s="3">
        <v>32</v>
      </c>
      <c r="D1095" s="1" t="s">
        <v>51</v>
      </c>
      <c r="E1095" s="1" t="s">
        <v>26</v>
      </c>
      <c r="F1095" s="1" t="s">
        <v>65</v>
      </c>
      <c r="G1095" s="4">
        <v>45283</v>
      </c>
      <c r="H1095" s="4">
        <v>45284</v>
      </c>
      <c r="I1095" s="1" t="s">
        <v>85</v>
      </c>
      <c r="J1095" s="1" t="s">
        <v>44</v>
      </c>
      <c r="K1095" s="3">
        <v>1</v>
      </c>
      <c r="L1095" s="2">
        <v>35590</v>
      </c>
      <c r="M1095" s="3">
        <v>5</v>
      </c>
      <c r="N1095" s="1" t="s">
        <v>31</v>
      </c>
      <c r="O1095" s="1" t="s">
        <v>46</v>
      </c>
      <c r="P1095" s="1" t="s">
        <v>58</v>
      </c>
      <c r="Q1095" s="1" t="s">
        <v>269</v>
      </c>
      <c r="R1095" s="1" t="s">
        <v>3199</v>
      </c>
      <c r="S1095" s="3">
        <v>4</v>
      </c>
      <c r="T1095" s="1" t="s">
        <v>61</v>
      </c>
      <c r="U1095" s="3">
        <v>170</v>
      </c>
      <c r="V1095" s="1" t="s">
        <v>37</v>
      </c>
      <c r="W1095" s="5">
        <f>Table1[[#This Row],[Quantity]]*Table1[[#This Row],[Price]]*(1-Table1[[#This Row],[Discount %]]/100)</f>
        <v>33810.5</v>
      </c>
      <c r="X1095">
        <f>Table1[[#This Row],[DeliveryDate]]-Table1[[#This Row],[OrderDate]]</f>
        <v>1</v>
      </c>
      <c r="Y1095" t="str">
        <f>TEXT(Table1[[#This Row],[OrderDate]],"MMMM")</f>
        <v>December</v>
      </c>
      <c r="Z1095" s="5">
        <f>YEAR(Table1[[#This Row],[OrderDate]])</f>
        <v>2023</v>
      </c>
    </row>
    <row r="1096" spans="1:26" x14ac:dyDescent="0.3">
      <c r="A1096" s="1" t="s">
        <v>3200</v>
      </c>
      <c r="B1096" t="s">
        <v>660</v>
      </c>
      <c r="C1096" s="3">
        <v>59</v>
      </c>
      <c r="D1096" s="1" t="s">
        <v>51</v>
      </c>
      <c r="E1096" s="1" t="s">
        <v>142</v>
      </c>
      <c r="F1096" s="1" t="s">
        <v>82</v>
      </c>
      <c r="G1096" s="4">
        <v>45570</v>
      </c>
      <c r="H1096" s="4">
        <v>45580</v>
      </c>
      <c r="I1096" s="1" t="s">
        <v>43</v>
      </c>
      <c r="J1096" s="1" t="s">
        <v>30</v>
      </c>
      <c r="K1096" s="3">
        <v>2</v>
      </c>
      <c r="L1096" s="2">
        <v>37511</v>
      </c>
      <c r="M1096" s="3">
        <v>5</v>
      </c>
      <c r="N1096" s="1" t="s">
        <v>56</v>
      </c>
      <c r="O1096" s="1" t="s">
        <v>173</v>
      </c>
      <c r="P1096" s="1" t="s">
        <v>33</v>
      </c>
      <c r="Q1096" s="1" t="s">
        <v>662</v>
      </c>
      <c r="R1096" s="1" t="s">
        <v>3201</v>
      </c>
      <c r="S1096" s="3">
        <v>3</v>
      </c>
      <c r="T1096" s="1" t="s">
        <v>96</v>
      </c>
      <c r="U1096" s="3">
        <v>302</v>
      </c>
      <c r="V1096" s="1" t="s">
        <v>37</v>
      </c>
      <c r="W1096" s="5">
        <f>Table1[[#This Row],[Quantity]]*Table1[[#This Row],[Price]]*(1-Table1[[#This Row],[Discount %]]/100)</f>
        <v>71270.899999999994</v>
      </c>
      <c r="X1096">
        <f>Table1[[#This Row],[DeliveryDate]]-Table1[[#This Row],[OrderDate]]</f>
        <v>10</v>
      </c>
      <c r="Y1096" t="str">
        <f>TEXT(Table1[[#This Row],[OrderDate]],"MMMM")</f>
        <v>October</v>
      </c>
      <c r="Z1096" s="5">
        <f>YEAR(Table1[[#This Row],[OrderDate]])</f>
        <v>2024</v>
      </c>
    </row>
    <row r="1097" spans="1:26" x14ac:dyDescent="0.3">
      <c r="A1097" s="1" t="s">
        <v>3202</v>
      </c>
      <c r="B1097" t="s">
        <v>411</v>
      </c>
      <c r="C1097" s="3">
        <v>43</v>
      </c>
      <c r="D1097" s="1" t="s">
        <v>24</v>
      </c>
      <c r="E1097" s="1" t="s">
        <v>40</v>
      </c>
      <c r="F1097" s="1" t="s">
        <v>53</v>
      </c>
      <c r="G1097" s="4">
        <v>45349</v>
      </c>
      <c r="H1097" s="4">
        <v>45353</v>
      </c>
      <c r="I1097" s="1" t="s">
        <v>108</v>
      </c>
      <c r="J1097" s="1" t="s">
        <v>44</v>
      </c>
      <c r="K1097" s="3">
        <v>4</v>
      </c>
      <c r="L1097" s="2">
        <v>67770</v>
      </c>
      <c r="M1097" s="3">
        <v>15</v>
      </c>
      <c r="N1097" s="1" t="s">
        <v>31</v>
      </c>
      <c r="O1097" s="1" t="s">
        <v>57</v>
      </c>
      <c r="P1097" s="1" t="s">
        <v>174</v>
      </c>
      <c r="Q1097" s="1" t="s">
        <v>414</v>
      </c>
      <c r="R1097" s="1" t="s">
        <v>3203</v>
      </c>
      <c r="S1097" s="3">
        <v>4</v>
      </c>
      <c r="T1097" s="1" t="s">
        <v>72</v>
      </c>
      <c r="U1097" s="3">
        <v>112</v>
      </c>
      <c r="V1097" s="1" t="s">
        <v>79</v>
      </c>
      <c r="W1097" s="5">
        <f>Table1[[#This Row],[Quantity]]*Table1[[#This Row],[Price]]*(1-Table1[[#This Row],[Discount %]]/100)</f>
        <v>230418</v>
      </c>
      <c r="X1097">
        <f>Table1[[#This Row],[DeliveryDate]]-Table1[[#This Row],[OrderDate]]</f>
        <v>4</v>
      </c>
      <c r="Y1097" t="str">
        <f>TEXT(Table1[[#This Row],[OrderDate]],"MMMM")</f>
        <v>February</v>
      </c>
      <c r="Z1097" s="5">
        <f>YEAR(Table1[[#This Row],[OrderDate]])</f>
        <v>2024</v>
      </c>
    </row>
    <row r="1098" spans="1:26" x14ac:dyDescent="0.3">
      <c r="A1098" s="1" t="s">
        <v>3204</v>
      </c>
      <c r="B1098" t="s">
        <v>204</v>
      </c>
      <c r="C1098" s="3">
        <v>33</v>
      </c>
      <c r="D1098" s="1" t="s">
        <v>51</v>
      </c>
      <c r="E1098" s="1" t="s">
        <v>142</v>
      </c>
      <c r="F1098" s="1" t="s">
        <v>65</v>
      </c>
      <c r="G1098" s="4">
        <v>45449</v>
      </c>
      <c r="H1098" s="4">
        <v>45459</v>
      </c>
      <c r="I1098" s="1" t="s">
        <v>43</v>
      </c>
      <c r="J1098" s="1" t="s">
        <v>44</v>
      </c>
      <c r="K1098" s="3">
        <v>2</v>
      </c>
      <c r="L1098" s="2">
        <v>42109.716287215415</v>
      </c>
      <c r="M1098" s="3">
        <v>10</v>
      </c>
      <c r="N1098" s="1" t="s">
        <v>45</v>
      </c>
      <c r="O1098" s="1" t="s">
        <v>102</v>
      </c>
      <c r="P1098" s="1" t="s">
        <v>58</v>
      </c>
      <c r="Q1098" s="1" t="s">
        <v>207</v>
      </c>
      <c r="R1098" s="1" t="s">
        <v>3205</v>
      </c>
      <c r="S1098" s="3">
        <v>4</v>
      </c>
      <c r="T1098" s="1" t="s">
        <v>96</v>
      </c>
      <c r="U1098" s="3">
        <v>297</v>
      </c>
      <c r="V1098" s="1" t="s">
        <v>62</v>
      </c>
      <c r="W1098" s="5">
        <f>Table1[[#This Row],[Quantity]]*Table1[[#This Row],[Price]]*(1-Table1[[#This Row],[Discount %]]/100)</f>
        <v>75797.489316987747</v>
      </c>
      <c r="X1098">
        <f>Table1[[#This Row],[DeliveryDate]]-Table1[[#This Row],[OrderDate]]</f>
        <v>10</v>
      </c>
      <c r="Y1098" t="str">
        <f>TEXT(Table1[[#This Row],[OrderDate]],"MMMM")</f>
        <v>June</v>
      </c>
      <c r="Z1098" s="5">
        <f>YEAR(Table1[[#This Row],[OrderDate]])</f>
        <v>2024</v>
      </c>
    </row>
    <row r="1099" spans="1:26" x14ac:dyDescent="0.3">
      <c r="A1099" s="1" t="s">
        <v>3206</v>
      </c>
      <c r="B1099" t="s">
        <v>382</v>
      </c>
      <c r="C1099" s="3">
        <v>60</v>
      </c>
      <c r="D1099" s="1" t="s">
        <v>51</v>
      </c>
      <c r="E1099" s="1" t="s">
        <v>99</v>
      </c>
      <c r="F1099" s="1" t="s">
        <v>26</v>
      </c>
      <c r="G1099" s="4">
        <v>45579</v>
      </c>
      <c r="H1099" s="4">
        <v>45582</v>
      </c>
      <c r="I1099" s="1" t="s">
        <v>29</v>
      </c>
      <c r="J1099" s="1" t="s">
        <v>30</v>
      </c>
      <c r="K1099" s="3">
        <v>3</v>
      </c>
      <c r="L1099" s="2">
        <v>57776</v>
      </c>
      <c r="M1099" s="3">
        <v>15</v>
      </c>
      <c r="N1099" s="1" t="s">
        <v>166</v>
      </c>
      <c r="O1099" s="1" t="s">
        <v>173</v>
      </c>
      <c r="P1099" s="1" t="s">
        <v>58</v>
      </c>
      <c r="Q1099" s="1" t="s">
        <v>385</v>
      </c>
      <c r="R1099" s="1" t="s">
        <v>3208</v>
      </c>
      <c r="S1099" s="3">
        <v>3</v>
      </c>
      <c r="T1099" s="1" t="s">
        <v>61</v>
      </c>
      <c r="U1099" s="3">
        <v>280</v>
      </c>
      <c r="V1099" s="1" t="s">
        <v>62</v>
      </c>
      <c r="W1099" s="5">
        <f>Table1[[#This Row],[Quantity]]*Table1[[#This Row],[Price]]*(1-Table1[[#This Row],[Discount %]]/100)</f>
        <v>147328.79999999999</v>
      </c>
      <c r="X1099">
        <f>Table1[[#This Row],[DeliveryDate]]-Table1[[#This Row],[OrderDate]]</f>
        <v>3</v>
      </c>
      <c r="Y1099" t="str">
        <f>TEXT(Table1[[#This Row],[OrderDate]],"MMMM")</f>
        <v>October</v>
      </c>
      <c r="Z1099" s="5">
        <f>YEAR(Table1[[#This Row],[OrderDate]])</f>
        <v>2024</v>
      </c>
    </row>
    <row r="1100" spans="1:26" x14ac:dyDescent="0.3">
      <c r="A1100" s="1" t="s">
        <v>3209</v>
      </c>
      <c r="B1100" t="s">
        <v>397</v>
      </c>
      <c r="C1100" s="3">
        <v>27</v>
      </c>
      <c r="D1100" s="1" t="s">
        <v>51</v>
      </c>
      <c r="E1100" s="1" t="s">
        <v>229</v>
      </c>
      <c r="F1100" s="1" t="s">
        <v>82</v>
      </c>
      <c r="G1100" s="4">
        <v>45566</v>
      </c>
      <c r="H1100" s="4">
        <v>45568</v>
      </c>
      <c r="I1100" s="1" t="s">
        <v>29</v>
      </c>
      <c r="J1100" s="1" t="s">
        <v>44</v>
      </c>
      <c r="K1100" s="3">
        <v>2</v>
      </c>
      <c r="L1100" s="2">
        <v>35531</v>
      </c>
      <c r="M1100" s="3">
        <v>15</v>
      </c>
      <c r="N1100" s="1" t="s">
        <v>166</v>
      </c>
      <c r="O1100" s="1" t="s">
        <v>133</v>
      </c>
      <c r="P1100" s="1" t="s">
        <v>58</v>
      </c>
      <c r="Q1100" s="1" t="s">
        <v>400</v>
      </c>
      <c r="R1100" s="1" t="s">
        <v>3210</v>
      </c>
      <c r="S1100" s="3">
        <v>1</v>
      </c>
      <c r="T1100" s="1" t="s">
        <v>72</v>
      </c>
      <c r="U1100" s="3">
        <v>140</v>
      </c>
      <c r="V1100" s="1" t="s">
        <v>62</v>
      </c>
      <c r="W1100" s="5">
        <f>Table1[[#This Row],[Quantity]]*Table1[[#This Row],[Price]]*(1-Table1[[#This Row],[Discount %]]/100)</f>
        <v>60402.7</v>
      </c>
      <c r="X1100">
        <f>Table1[[#This Row],[DeliveryDate]]-Table1[[#This Row],[OrderDate]]</f>
        <v>2</v>
      </c>
      <c r="Y1100" t="str">
        <f>TEXT(Table1[[#This Row],[OrderDate]],"MMMM")</f>
        <v>October</v>
      </c>
      <c r="Z1100" s="5">
        <f>YEAR(Table1[[#This Row],[OrderDate]])</f>
        <v>2024</v>
      </c>
    </row>
    <row r="1101" spans="1:26" x14ac:dyDescent="0.3">
      <c r="A1101" s="1" t="s">
        <v>3211</v>
      </c>
      <c r="B1101" t="s">
        <v>222</v>
      </c>
      <c r="C1101" s="3">
        <v>19</v>
      </c>
      <c r="D1101" s="1" t="s">
        <v>24</v>
      </c>
      <c r="E1101" s="1" t="s">
        <v>52</v>
      </c>
      <c r="F1101" s="1" t="s">
        <v>82</v>
      </c>
      <c r="G1101" s="4">
        <v>45221</v>
      </c>
      <c r="H1101" s="4">
        <v>45224</v>
      </c>
      <c r="I1101" s="1" t="s">
        <v>108</v>
      </c>
      <c r="J1101" s="1" t="s">
        <v>44</v>
      </c>
      <c r="K1101" s="3">
        <v>3</v>
      </c>
      <c r="L1101" s="2">
        <v>15382</v>
      </c>
      <c r="M1101" s="3">
        <v>15</v>
      </c>
      <c r="N1101" s="1" t="s">
        <v>166</v>
      </c>
      <c r="O1101" s="1" t="s">
        <v>109</v>
      </c>
      <c r="P1101" s="1" t="s">
        <v>33</v>
      </c>
      <c r="Q1101" s="1" t="s">
        <v>225</v>
      </c>
      <c r="R1101" s="1" t="s">
        <v>3212</v>
      </c>
      <c r="S1101" s="3">
        <v>2</v>
      </c>
      <c r="T1101" s="1" t="s">
        <v>72</v>
      </c>
      <c r="U1101" s="3">
        <v>430</v>
      </c>
      <c r="V1101" s="1" t="s">
        <v>37</v>
      </c>
      <c r="W1101" s="5">
        <f>Table1[[#This Row],[Quantity]]*Table1[[#This Row],[Price]]*(1-Table1[[#This Row],[Discount %]]/100)</f>
        <v>39224.1</v>
      </c>
      <c r="X1101">
        <f>Table1[[#This Row],[DeliveryDate]]-Table1[[#This Row],[OrderDate]]</f>
        <v>3</v>
      </c>
      <c r="Y1101" t="str">
        <f>TEXT(Table1[[#This Row],[OrderDate]],"MMMM")</f>
        <v>October</v>
      </c>
      <c r="Z1101" s="5">
        <f>YEAR(Table1[[#This Row],[OrderDate]])</f>
        <v>2023</v>
      </c>
    </row>
    <row r="1102" spans="1:26" x14ac:dyDescent="0.3">
      <c r="A1102" s="1" t="s">
        <v>3213</v>
      </c>
      <c r="B1102" t="s">
        <v>637</v>
      </c>
      <c r="C1102" s="3">
        <v>49</v>
      </c>
      <c r="D1102" s="1" t="s">
        <v>51</v>
      </c>
      <c r="E1102" s="1" t="s">
        <v>131</v>
      </c>
      <c r="F1102" s="1" t="s">
        <v>53</v>
      </c>
      <c r="G1102" s="4">
        <v>45311</v>
      </c>
      <c r="H1102" s="4">
        <v>45313</v>
      </c>
      <c r="I1102" s="1" t="s">
        <v>43</v>
      </c>
      <c r="J1102" s="1" t="s">
        <v>44</v>
      </c>
      <c r="K1102" s="3">
        <v>5</v>
      </c>
      <c r="L1102" s="2">
        <v>23756</v>
      </c>
      <c r="M1102" s="3">
        <v>5</v>
      </c>
      <c r="N1102" s="1" t="s">
        <v>166</v>
      </c>
      <c r="O1102" s="1" t="s">
        <v>32</v>
      </c>
      <c r="P1102" s="1" t="s">
        <v>33</v>
      </c>
      <c r="Q1102" s="1" t="s">
        <v>2248</v>
      </c>
      <c r="R1102" s="1" t="s">
        <v>3214</v>
      </c>
      <c r="S1102" s="3">
        <v>4</v>
      </c>
      <c r="T1102" s="1" t="s">
        <v>72</v>
      </c>
      <c r="U1102" s="3">
        <v>122</v>
      </c>
      <c r="V1102" s="1" t="s">
        <v>37</v>
      </c>
      <c r="W1102" s="5">
        <f>Table1[[#This Row],[Quantity]]*Table1[[#This Row],[Price]]*(1-Table1[[#This Row],[Discount %]]/100)</f>
        <v>112841</v>
      </c>
      <c r="X1102">
        <f>Table1[[#This Row],[DeliveryDate]]-Table1[[#This Row],[OrderDate]]</f>
        <v>2</v>
      </c>
      <c r="Y1102" t="str">
        <f>TEXT(Table1[[#This Row],[OrderDate]],"MMMM")</f>
        <v>January</v>
      </c>
      <c r="Z1102" s="5">
        <f>YEAR(Table1[[#This Row],[OrderDate]])</f>
        <v>2024</v>
      </c>
    </row>
    <row r="1103" spans="1:26" x14ac:dyDescent="0.3">
      <c r="A1103" s="1" t="s">
        <v>3215</v>
      </c>
      <c r="B1103" t="s">
        <v>327</v>
      </c>
      <c r="C1103" s="3">
        <v>50</v>
      </c>
      <c r="D1103" s="1" t="s">
        <v>51</v>
      </c>
      <c r="E1103" s="1" t="s">
        <v>52</v>
      </c>
      <c r="F1103" s="1" t="s">
        <v>91</v>
      </c>
      <c r="G1103" s="4">
        <v>45263</v>
      </c>
      <c r="H1103" s="4">
        <v>45264</v>
      </c>
      <c r="I1103" s="1" t="s">
        <v>93</v>
      </c>
      <c r="J1103" s="1" t="s">
        <v>44</v>
      </c>
      <c r="K1103" s="3">
        <v>2</v>
      </c>
      <c r="L1103" s="2">
        <v>48120</v>
      </c>
      <c r="M1103" s="3">
        <v>0</v>
      </c>
      <c r="N1103" s="1" t="s">
        <v>166</v>
      </c>
      <c r="O1103" s="1" t="s">
        <v>281</v>
      </c>
      <c r="P1103" s="1" t="s">
        <v>69</v>
      </c>
      <c r="Q1103" s="1" t="s">
        <v>330</v>
      </c>
      <c r="R1103" s="1" t="s">
        <v>3217</v>
      </c>
      <c r="S1103" s="3">
        <v>3</v>
      </c>
      <c r="T1103" s="1" t="s">
        <v>96</v>
      </c>
      <c r="U1103" s="3">
        <v>494</v>
      </c>
      <c r="V1103" s="1" t="s">
        <v>79</v>
      </c>
      <c r="W1103" s="5">
        <f>Table1[[#This Row],[Quantity]]*Table1[[#This Row],[Price]]*(1-Table1[[#This Row],[Discount %]]/100)</f>
        <v>96240</v>
      </c>
      <c r="X1103">
        <f>Table1[[#This Row],[DeliveryDate]]-Table1[[#This Row],[OrderDate]]</f>
        <v>1</v>
      </c>
      <c r="Y1103" t="str">
        <f>TEXT(Table1[[#This Row],[OrderDate]],"MMMM")</f>
        <v>December</v>
      </c>
      <c r="Z1103" s="5">
        <f>YEAR(Table1[[#This Row],[OrderDate]])</f>
        <v>2023</v>
      </c>
    </row>
    <row r="1104" spans="1:26" x14ac:dyDescent="0.3">
      <c r="A1104" s="1" t="s">
        <v>3218</v>
      </c>
      <c r="B1104" t="s">
        <v>309</v>
      </c>
      <c r="C1104" s="3">
        <v>34</v>
      </c>
      <c r="D1104" s="1" t="s">
        <v>51</v>
      </c>
      <c r="E1104" s="1" t="s">
        <v>131</v>
      </c>
      <c r="F1104" s="1" t="s">
        <v>26</v>
      </c>
      <c r="G1104" s="4">
        <v>45209</v>
      </c>
      <c r="H1104" s="4">
        <v>45215</v>
      </c>
      <c r="I1104" s="1" t="s">
        <v>43</v>
      </c>
      <c r="J1104" s="1" t="s">
        <v>44</v>
      </c>
      <c r="K1104" s="3">
        <v>1</v>
      </c>
      <c r="L1104" s="2">
        <v>15345</v>
      </c>
      <c r="M1104" s="3">
        <v>10</v>
      </c>
      <c r="N1104" s="1" t="s">
        <v>56</v>
      </c>
      <c r="O1104" s="1" t="s">
        <v>32</v>
      </c>
      <c r="P1104" s="1" t="s">
        <v>33</v>
      </c>
      <c r="Q1104" s="1" t="s">
        <v>312</v>
      </c>
      <c r="R1104" s="1" t="s">
        <v>3415</v>
      </c>
      <c r="S1104" s="3">
        <v>5</v>
      </c>
      <c r="T1104" s="1" t="s">
        <v>61</v>
      </c>
      <c r="U1104" s="3">
        <v>309</v>
      </c>
      <c r="V1104" s="1" t="s">
        <v>79</v>
      </c>
      <c r="W1104" s="5">
        <f>Table1[[#This Row],[Quantity]]*Table1[[#This Row],[Price]]*(1-Table1[[#This Row],[Discount %]]/100)</f>
        <v>13810.5</v>
      </c>
      <c r="X1104">
        <f>Table1[[#This Row],[DeliveryDate]]-Table1[[#This Row],[OrderDate]]</f>
        <v>6</v>
      </c>
      <c r="Y1104" t="str">
        <f>TEXT(Table1[[#This Row],[OrderDate]],"MMMM")</f>
        <v>October</v>
      </c>
      <c r="Z1104" s="5">
        <f>YEAR(Table1[[#This Row],[OrderDate]])</f>
        <v>2023</v>
      </c>
    </row>
    <row r="1105" spans="1:26" x14ac:dyDescent="0.3">
      <c r="A1105" s="1" t="s">
        <v>3220</v>
      </c>
      <c r="B1105" t="s">
        <v>946</v>
      </c>
      <c r="C1105" s="3">
        <v>33</v>
      </c>
      <c r="D1105" s="1" t="s">
        <v>51</v>
      </c>
      <c r="E1105" s="1" t="s">
        <v>142</v>
      </c>
      <c r="F1105" s="1" t="s">
        <v>91</v>
      </c>
      <c r="G1105" s="4">
        <v>45362</v>
      </c>
      <c r="H1105" s="4">
        <v>45366</v>
      </c>
      <c r="I1105" s="1" t="s">
        <v>85</v>
      </c>
      <c r="J1105" s="1" t="s">
        <v>30</v>
      </c>
      <c r="K1105" s="3">
        <v>1</v>
      </c>
      <c r="L1105" s="2">
        <v>52814</v>
      </c>
      <c r="M1105" s="3">
        <v>10</v>
      </c>
      <c r="N1105" s="1" t="s">
        <v>45</v>
      </c>
      <c r="O1105" s="1" t="s">
        <v>68</v>
      </c>
      <c r="P1105" s="1" t="s">
        <v>58</v>
      </c>
      <c r="Q1105" s="1" t="s">
        <v>983</v>
      </c>
      <c r="R1105" s="1" t="s">
        <v>3221</v>
      </c>
      <c r="S1105" s="3">
        <v>3</v>
      </c>
      <c r="T1105" s="1" t="s">
        <v>96</v>
      </c>
      <c r="U1105" s="3">
        <v>410</v>
      </c>
      <c r="V1105" s="1" t="s">
        <v>79</v>
      </c>
      <c r="W1105" s="5">
        <f>Table1[[#This Row],[Quantity]]*Table1[[#This Row],[Price]]*(1-Table1[[#This Row],[Discount %]]/100)</f>
        <v>47532.6</v>
      </c>
      <c r="X1105">
        <f>Table1[[#This Row],[DeliveryDate]]-Table1[[#This Row],[OrderDate]]</f>
        <v>4</v>
      </c>
      <c r="Y1105" t="str">
        <f>TEXT(Table1[[#This Row],[OrderDate]],"MMMM")</f>
        <v>March</v>
      </c>
      <c r="Z1105" s="5">
        <f>YEAR(Table1[[#This Row],[OrderDate]])</f>
        <v>2024</v>
      </c>
    </row>
    <row r="1106" spans="1:26" x14ac:dyDescent="0.3">
      <c r="A1106" s="1" t="s">
        <v>3222</v>
      </c>
      <c r="B1106" t="s">
        <v>1690</v>
      </c>
      <c r="C1106" s="3">
        <v>44</v>
      </c>
      <c r="D1106" s="1" t="s">
        <v>51</v>
      </c>
      <c r="E1106" s="1" t="s">
        <v>40</v>
      </c>
      <c r="F1106" s="1" t="s">
        <v>82</v>
      </c>
      <c r="G1106" s="4">
        <v>45224</v>
      </c>
      <c r="H1106" s="4">
        <v>45225</v>
      </c>
      <c r="I1106" s="1" t="s">
        <v>43</v>
      </c>
      <c r="J1106" s="1" t="s">
        <v>30</v>
      </c>
      <c r="K1106" s="3">
        <v>2</v>
      </c>
      <c r="L1106" s="2">
        <v>66843</v>
      </c>
      <c r="M1106" s="3">
        <v>15</v>
      </c>
      <c r="N1106" s="1" t="s">
        <v>56</v>
      </c>
      <c r="O1106" s="1" t="s">
        <v>102</v>
      </c>
      <c r="P1106" s="1" t="s">
        <v>33</v>
      </c>
      <c r="Q1106" s="1" t="s">
        <v>3415</v>
      </c>
      <c r="R1106" s="1" t="s">
        <v>3223</v>
      </c>
      <c r="S1106" s="3">
        <v>1</v>
      </c>
      <c r="T1106" s="1" t="s">
        <v>61</v>
      </c>
      <c r="U1106" s="3">
        <v>392</v>
      </c>
      <c r="V1106" s="1" t="s">
        <v>37</v>
      </c>
      <c r="W1106" s="5">
        <f>Table1[[#This Row],[Quantity]]*Table1[[#This Row],[Price]]*(1-Table1[[#This Row],[Discount %]]/100)</f>
        <v>113633.09999999999</v>
      </c>
      <c r="X1106">
        <f>Table1[[#This Row],[DeliveryDate]]-Table1[[#This Row],[OrderDate]]</f>
        <v>1</v>
      </c>
      <c r="Y1106" t="str">
        <f>TEXT(Table1[[#This Row],[OrderDate]],"MMMM")</f>
        <v>October</v>
      </c>
      <c r="Z1106" s="5">
        <f>YEAR(Table1[[#This Row],[OrderDate]])</f>
        <v>2023</v>
      </c>
    </row>
    <row r="1107" spans="1:26" x14ac:dyDescent="0.3">
      <c r="A1107" s="1" t="s">
        <v>3224</v>
      </c>
      <c r="B1107" t="s">
        <v>278</v>
      </c>
      <c r="C1107" s="3">
        <v>48</v>
      </c>
      <c r="D1107" s="1" t="s">
        <v>24</v>
      </c>
      <c r="E1107" s="1" t="s">
        <v>131</v>
      </c>
      <c r="F1107" s="1" t="s">
        <v>82</v>
      </c>
      <c r="G1107" s="4">
        <v>45379</v>
      </c>
      <c r="H1107" s="4">
        <v>45385</v>
      </c>
      <c r="I1107" s="1" t="s">
        <v>108</v>
      </c>
      <c r="J1107" s="1" t="s">
        <v>44</v>
      </c>
      <c r="K1107" s="3">
        <v>5</v>
      </c>
      <c r="L1107" s="2">
        <v>14882</v>
      </c>
      <c r="M1107" s="3">
        <v>10</v>
      </c>
      <c r="N1107" s="1" t="s">
        <v>166</v>
      </c>
      <c r="O1107" s="1" t="s">
        <v>133</v>
      </c>
      <c r="P1107" s="1" t="s">
        <v>58</v>
      </c>
      <c r="Q1107" s="1" t="s">
        <v>282</v>
      </c>
      <c r="R1107" s="1" t="s">
        <v>3225</v>
      </c>
      <c r="S1107" s="3">
        <v>2</v>
      </c>
      <c r="T1107" s="1" t="s">
        <v>36</v>
      </c>
      <c r="U1107" s="3">
        <v>217</v>
      </c>
      <c r="V1107" s="1" t="s">
        <v>62</v>
      </c>
      <c r="W1107" s="5">
        <f>Table1[[#This Row],[Quantity]]*Table1[[#This Row],[Price]]*(1-Table1[[#This Row],[Discount %]]/100)</f>
        <v>66969</v>
      </c>
      <c r="X1107">
        <f>Table1[[#This Row],[DeliveryDate]]-Table1[[#This Row],[OrderDate]]</f>
        <v>6</v>
      </c>
      <c r="Y1107" t="str">
        <f>TEXT(Table1[[#This Row],[OrderDate]],"MMMM")</f>
        <v>March</v>
      </c>
      <c r="Z1107" s="5">
        <f>YEAR(Table1[[#This Row],[OrderDate]])</f>
        <v>2024</v>
      </c>
    </row>
    <row r="1108" spans="1:26" x14ac:dyDescent="0.3">
      <c r="A1108" s="1" t="s">
        <v>3226</v>
      </c>
      <c r="B1108" t="s">
        <v>309</v>
      </c>
      <c r="C1108" s="3">
        <v>40</v>
      </c>
      <c r="D1108" s="1" t="s">
        <v>51</v>
      </c>
      <c r="E1108" s="1" t="s">
        <v>25</v>
      </c>
      <c r="F1108" s="1" t="s">
        <v>82</v>
      </c>
      <c r="G1108" s="4">
        <v>45193</v>
      </c>
      <c r="H1108" s="4">
        <v>45198</v>
      </c>
      <c r="I1108" s="1" t="s">
        <v>85</v>
      </c>
      <c r="J1108" s="1" t="s">
        <v>30</v>
      </c>
      <c r="K1108" s="3">
        <v>4</v>
      </c>
      <c r="L1108" s="2">
        <v>27385</v>
      </c>
      <c r="M1108" s="3">
        <v>15</v>
      </c>
      <c r="N1108" s="1" t="s">
        <v>31</v>
      </c>
      <c r="O1108" s="1" t="s">
        <v>109</v>
      </c>
      <c r="P1108" s="1" t="s">
        <v>33</v>
      </c>
      <c r="Q1108" s="1" t="s">
        <v>312</v>
      </c>
      <c r="R1108" s="1" t="s">
        <v>3227</v>
      </c>
      <c r="S1108" s="3">
        <v>2</v>
      </c>
      <c r="T1108" s="1" t="s">
        <v>96</v>
      </c>
      <c r="U1108" s="3">
        <v>251</v>
      </c>
      <c r="V1108" s="1" t="s">
        <v>62</v>
      </c>
      <c r="W1108" s="5">
        <f>Table1[[#This Row],[Quantity]]*Table1[[#This Row],[Price]]*(1-Table1[[#This Row],[Discount %]]/100)</f>
        <v>93109</v>
      </c>
      <c r="X1108">
        <f>Table1[[#This Row],[DeliveryDate]]-Table1[[#This Row],[OrderDate]]</f>
        <v>5</v>
      </c>
      <c r="Y1108" t="str">
        <f>TEXT(Table1[[#This Row],[OrderDate]],"MMMM")</f>
        <v>September</v>
      </c>
      <c r="Z1108" s="5">
        <f>YEAR(Table1[[#This Row],[OrderDate]])</f>
        <v>2023</v>
      </c>
    </row>
    <row r="1109" spans="1:26" x14ac:dyDescent="0.3">
      <c r="A1109" s="1" t="s">
        <v>3228</v>
      </c>
      <c r="B1109" t="s">
        <v>136</v>
      </c>
      <c r="C1109" s="3">
        <v>24</v>
      </c>
      <c r="D1109" s="1" t="s">
        <v>51</v>
      </c>
      <c r="E1109" s="1" t="s">
        <v>25</v>
      </c>
      <c r="F1109" s="1" t="s">
        <v>91</v>
      </c>
      <c r="G1109" s="4">
        <v>45195</v>
      </c>
      <c r="H1109" s="4">
        <v>45203</v>
      </c>
      <c r="I1109" s="1" t="s">
        <v>93</v>
      </c>
      <c r="J1109" s="1" t="s">
        <v>30</v>
      </c>
      <c r="K1109" s="3">
        <v>5</v>
      </c>
      <c r="L1109" s="2">
        <v>67807</v>
      </c>
      <c r="M1109" s="3">
        <v>15</v>
      </c>
      <c r="N1109" s="1" t="s">
        <v>45</v>
      </c>
      <c r="O1109" s="1" t="s">
        <v>68</v>
      </c>
      <c r="P1109" s="1" t="s">
        <v>69</v>
      </c>
      <c r="Q1109" s="1" t="s">
        <v>269</v>
      </c>
      <c r="R1109" s="1" t="s">
        <v>3229</v>
      </c>
      <c r="S1109" s="3">
        <v>4</v>
      </c>
      <c r="T1109" s="1" t="s">
        <v>72</v>
      </c>
      <c r="U1109" s="3">
        <v>143</v>
      </c>
      <c r="V1109" s="1" t="s">
        <v>62</v>
      </c>
      <c r="W1109" s="5">
        <f>Table1[[#This Row],[Quantity]]*Table1[[#This Row],[Price]]*(1-Table1[[#This Row],[Discount %]]/100)</f>
        <v>288179.75</v>
      </c>
      <c r="X1109">
        <f>Table1[[#This Row],[DeliveryDate]]-Table1[[#This Row],[OrderDate]]</f>
        <v>8</v>
      </c>
      <c r="Y1109" t="str">
        <f>TEXT(Table1[[#This Row],[OrderDate]],"MMMM")</f>
        <v>September</v>
      </c>
      <c r="Z1109" s="5">
        <f>YEAR(Table1[[#This Row],[OrderDate]])</f>
        <v>2023</v>
      </c>
    </row>
    <row r="1110" spans="1:26" x14ac:dyDescent="0.3">
      <c r="A1110" s="1" t="s">
        <v>3230</v>
      </c>
      <c r="B1110" t="s">
        <v>660</v>
      </c>
      <c r="C1110" s="3">
        <v>19</v>
      </c>
      <c r="D1110" s="1" t="s">
        <v>51</v>
      </c>
      <c r="E1110" s="1" t="s">
        <v>229</v>
      </c>
      <c r="F1110" s="1" t="s">
        <v>65</v>
      </c>
      <c r="G1110" s="4">
        <v>45057</v>
      </c>
      <c r="H1110" s="4">
        <v>45061</v>
      </c>
      <c r="I1110" s="1" t="s">
        <v>77</v>
      </c>
      <c r="J1110" s="1" t="s">
        <v>44</v>
      </c>
      <c r="K1110" s="3">
        <v>1</v>
      </c>
      <c r="L1110" s="2">
        <v>72858</v>
      </c>
      <c r="M1110" s="3">
        <v>10</v>
      </c>
      <c r="N1110" s="1" t="s">
        <v>31</v>
      </c>
      <c r="O1110" s="1" t="s">
        <v>46</v>
      </c>
      <c r="P1110" s="1" t="s">
        <v>174</v>
      </c>
      <c r="Q1110" s="1" t="s">
        <v>662</v>
      </c>
      <c r="R1110" s="1" t="s">
        <v>3231</v>
      </c>
      <c r="S1110" s="3">
        <v>4</v>
      </c>
      <c r="T1110" s="1" t="s">
        <v>72</v>
      </c>
      <c r="U1110" s="3">
        <v>66</v>
      </c>
      <c r="V1110" s="1" t="s">
        <v>37</v>
      </c>
      <c r="W1110" s="5">
        <f>Table1[[#This Row],[Quantity]]*Table1[[#This Row],[Price]]*(1-Table1[[#This Row],[Discount %]]/100)</f>
        <v>65572.2</v>
      </c>
      <c r="X1110">
        <f>Table1[[#This Row],[DeliveryDate]]-Table1[[#This Row],[OrderDate]]</f>
        <v>4</v>
      </c>
      <c r="Y1110" t="str">
        <f>TEXT(Table1[[#This Row],[OrderDate]],"MMMM")</f>
        <v>May</v>
      </c>
      <c r="Z1110" s="5">
        <f>YEAR(Table1[[#This Row],[OrderDate]])</f>
        <v>2023</v>
      </c>
    </row>
    <row r="1111" spans="1:26" x14ac:dyDescent="0.3">
      <c r="A1111" s="1" t="s">
        <v>3232</v>
      </c>
      <c r="B1111" t="s">
        <v>819</v>
      </c>
      <c r="C1111" s="3">
        <v>26</v>
      </c>
      <c r="D1111" s="1" t="s">
        <v>51</v>
      </c>
      <c r="E1111" s="1" t="s">
        <v>52</v>
      </c>
      <c r="F1111" s="1" t="s">
        <v>26</v>
      </c>
      <c r="G1111" s="4">
        <v>45019</v>
      </c>
      <c r="H1111" s="4">
        <v>45028</v>
      </c>
      <c r="I1111" s="1" t="s">
        <v>93</v>
      </c>
      <c r="J1111" s="1" t="s">
        <v>44</v>
      </c>
      <c r="K1111" s="3">
        <v>1</v>
      </c>
      <c r="L1111" s="2">
        <v>69436</v>
      </c>
      <c r="M1111" s="3">
        <v>10</v>
      </c>
      <c r="N1111" s="1" t="s">
        <v>56</v>
      </c>
      <c r="O1111" s="1" t="s">
        <v>57</v>
      </c>
      <c r="P1111" s="1" t="s">
        <v>58</v>
      </c>
      <c r="Q1111" s="1" t="s">
        <v>821</v>
      </c>
      <c r="R1111" s="1" t="s">
        <v>3233</v>
      </c>
      <c r="S1111" s="3">
        <v>2</v>
      </c>
      <c r="T1111" s="1" t="s">
        <v>72</v>
      </c>
      <c r="U1111" s="3">
        <v>149</v>
      </c>
      <c r="V1111" s="1" t="s">
        <v>79</v>
      </c>
      <c r="W1111" s="5">
        <f>Table1[[#This Row],[Quantity]]*Table1[[#This Row],[Price]]*(1-Table1[[#This Row],[Discount %]]/100)</f>
        <v>62492.4</v>
      </c>
      <c r="X1111">
        <f>Table1[[#This Row],[DeliveryDate]]-Table1[[#This Row],[OrderDate]]</f>
        <v>9</v>
      </c>
      <c r="Y1111" t="str">
        <f>TEXT(Table1[[#This Row],[OrderDate]],"MMMM")</f>
        <v>April</v>
      </c>
      <c r="Z1111" s="5">
        <f>YEAR(Table1[[#This Row],[OrderDate]])</f>
        <v>2023</v>
      </c>
    </row>
    <row r="1112" spans="1:26" x14ac:dyDescent="0.3">
      <c r="A1112" s="1" t="s">
        <v>3234</v>
      </c>
      <c r="B1112" t="s">
        <v>125</v>
      </c>
      <c r="C1112" s="3">
        <v>20</v>
      </c>
      <c r="D1112" s="1" t="s">
        <v>51</v>
      </c>
      <c r="E1112" s="1" t="s">
        <v>131</v>
      </c>
      <c r="F1112" s="1" t="s">
        <v>65</v>
      </c>
      <c r="G1112" s="4">
        <v>45240</v>
      </c>
      <c r="H1112" s="4">
        <v>45243</v>
      </c>
      <c r="I1112" s="1" t="s">
        <v>77</v>
      </c>
      <c r="J1112" s="1" t="s">
        <v>30</v>
      </c>
      <c r="K1112" s="3">
        <v>1</v>
      </c>
      <c r="L1112" s="2">
        <v>57399</v>
      </c>
      <c r="M1112" s="3">
        <v>0</v>
      </c>
      <c r="N1112" s="1" t="s">
        <v>56</v>
      </c>
      <c r="O1112" s="1" t="s">
        <v>57</v>
      </c>
      <c r="P1112" s="1" t="s">
        <v>33</v>
      </c>
      <c r="Q1112" s="1" t="s">
        <v>756</v>
      </c>
      <c r="R1112" s="1" t="s">
        <v>3235</v>
      </c>
      <c r="S1112" s="3">
        <v>5</v>
      </c>
      <c r="T1112" s="1" t="s">
        <v>61</v>
      </c>
      <c r="U1112" s="3">
        <v>124</v>
      </c>
      <c r="V1112" s="1" t="s">
        <v>62</v>
      </c>
      <c r="W1112" s="5">
        <f>Table1[[#This Row],[Quantity]]*Table1[[#This Row],[Price]]*(1-Table1[[#This Row],[Discount %]]/100)</f>
        <v>57399</v>
      </c>
      <c r="X1112">
        <f>Table1[[#This Row],[DeliveryDate]]-Table1[[#This Row],[OrderDate]]</f>
        <v>3</v>
      </c>
      <c r="Y1112" t="str">
        <f>TEXT(Table1[[#This Row],[OrderDate]],"MMMM")</f>
        <v>November</v>
      </c>
      <c r="Z1112" s="5">
        <f>YEAR(Table1[[#This Row],[OrderDate]])</f>
        <v>2023</v>
      </c>
    </row>
    <row r="1113" spans="1:26" x14ac:dyDescent="0.3">
      <c r="A1113" s="1" t="s">
        <v>3236</v>
      </c>
      <c r="B1113" t="s">
        <v>74</v>
      </c>
      <c r="C1113" s="3">
        <v>45</v>
      </c>
      <c r="D1113" s="1" t="s">
        <v>24</v>
      </c>
      <c r="E1113" s="1" t="s">
        <v>25</v>
      </c>
      <c r="F1113" s="1" t="s">
        <v>82</v>
      </c>
      <c r="G1113" s="4">
        <v>45236</v>
      </c>
      <c r="H1113" s="4">
        <v>45242</v>
      </c>
      <c r="I1113" s="1" t="s">
        <v>43</v>
      </c>
      <c r="J1113" s="1" t="s">
        <v>44</v>
      </c>
      <c r="K1113" s="3">
        <v>3</v>
      </c>
      <c r="L1113" s="2">
        <v>18216</v>
      </c>
      <c r="M1113" s="3">
        <v>15</v>
      </c>
      <c r="N1113" s="1" t="s">
        <v>45</v>
      </c>
      <c r="O1113" s="1" t="s">
        <v>46</v>
      </c>
      <c r="P1113" s="1" t="s">
        <v>33</v>
      </c>
      <c r="Q1113" s="1" t="s">
        <v>3415</v>
      </c>
      <c r="R1113" s="1" t="s">
        <v>3237</v>
      </c>
      <c r="S1113" s="3">
        <v>5</v>
      </c>
      <c r="T1113" s="1" t="s">
        <v>61</v>
      </c>
      <c r="U1113" s="3">
        <v>331</v>
      </c>
      <c r="V1113" s="1" t="s">
        <v>79</v>
      </c>
      <c r="W1113" s="5">
        <f>Table1[[#This Row],[Quantity]]*Table1[[#This Row],[Price]]*(1-Table1[[#This Row],[Discount %]]/100)</f>
        <v>46450.799999999996</v>
      </c>
      <c r="X1113">
        <f>Table1[[#This Row],[DeliveryDate]]-Table1[[#This Row],[OrderDate]]</f>
        <v>6</v>
      </c>
      <c r="Y1113" t="str">
        <f>TEXT(Table1[[#This Row],[OrderDate]],"MMMM")</f>
        <v>November</v>
      </c>
      <c r="Z1113" s="5">
        <f>YEAR(Table1[[#This Row],[OrderDate]])</f>
        <v>2023</v>
      </c>
    </row>
    <row r="1114" spans="1:26" x14ac:dyDescent="0.3">
      <c r="A1114" s="1" t="s">
        <v>3238</v>
      </c>
      <c r="B1114" t="s">
        <v>119</v>
      </c>
      <c r="C1114" s="3">
        <v>56</v>
      </c>
      <c r="D1114" s="1" t="s">
        <v>51</v>
      </c>
      <c r="E1114" s="1" t="s">
        <v>26</v>
      </c>
      <c r="F1114" s="1" t="s">
        <v>91</v>
      </c>
      <c r="G1114" s="4">
        <v>45534</v>
      </c>
      <c r="H1114" s="4">
        <v>45540</v>
      </c>
      <c r="I1114" s="1" t="s">
        <v>43</v>
      </c>
      <c r="J1114" s="1" t="s">
        <v>44</v>
      </c>
      <c r="K1114" s="3">
        <v>5</v>
      </c>
      <c r="L1114" s="2">
        <v>20946</v>
      </c>
      <c r="M1114" s="3">
        <v>5</v>
      </c>
      <c r="N1114" s="1" t="s">
        <v>166</v>
      </c>
      <c r="O1114" s="1" t="s">
        <v>173</v>
      </c>
      <c r="P1114" s="1" t="s">
        <v>69</v>
      </c>
      <c r="Q1114" s="1" t="s">
        <v>3415</v>
      </c>
      <c r="R1114" s="1" t="s">
        <v>3240</v>
      </c>
      <c r="S1114" s="3">
        <v>4</v>
      </c>
      <c r="T1114" s="1" t="s">
        <v>61</v>
      </c>
      <c r="U1114" s="3">
        <v>374</v>
      </c>
      <c r="V1114" s="1" t="s">
        <v>37</v>
      </c>
      <c r="W1114" s="5">
        <f>Table1[[#This Row],[Quantity]]*Table1[[#This Row],[Price]]*(1-Table1[[#This Row],[Discount %]]/100)</f>
        <v>99493.5</v>
      </c>
      <c r="X1114">
        <f>Table1[[#This Row],[DeliveryDate]]-Table1[[#This Row],[OrderDate]]</f>
        <v>6</v>
      </c>
      <c r="Y1114" t="str">
        <f>TEXT(Table1[[#This Row],[OrderDate]],"MMMM")</f>
        <v>August</v>
      </c>
      <c r="Z1114" s="5">
        <f>YEAR(Table1[[#This Row],[OrderDate]])</f>
        <v>2024</v>
      </c>
    </row>
    <row r="1115" spans="1:26" x14ac:dyDescent="0.3">
      <c r="A1115" s="1" t="s">
        <v>3241</v>
      </c>
      <c r="B1115" t="s">
        <v>23</v>
      </c>
      <c r="C1115" s="3">
        <v>25</v>
      </c>
      <c r="D1115" s="1" t="s">
        <v>51</v>
      </c>
      <c r="E1115" s="1" t="s">
        <v>131</v>
      </c>
      <c r="F1115" s="1" t="s">
        <v>91</v>
      </c>
      <c r="G1115" s="4">
        <v>45539</v>
      </c>
      <c r="H1115" s="4">
        <v>45546</v>
      </c>
      <c r="I1115" s="1" t="s">
        <v>108</v>
      </c>
      <c r="J1115" s="1" t="s">
        <v>44</v>
      </c>
      <c r="K1115" s="3">
        <v>2</v>
      </c>
      <c r="L1115" s="2">
        <v>17001</v>
      </c>
      <c r="M1115" s="3">
        <v>0</v>
      </c>
      <c r="N1115" s="1" t="s">
        <v>45</v>
      </c>
      <c r="O1115" s="1" t="s">
        <v>57</v>
      </c>
      <c r="P1115" s="1" t="s">
        <v>174</v>
      </c>
      <c r="Q1115" s="1" t="s">
        <v>34</v>
      </c>
      <c r="R1115" s="1" t="s">
        <v>3242</v>
      </c>
      <c r="S1115" s="3">
        <v>3</v>
      </c>
      <c r="T1115" s="1" t="s">
        <v>96</v>
      </c>
      <c r="U1115" s="3">
        <v>112</v>
      </c>
      <c r="V1115" s="1" t="s">
        <v>79</v>
      </c>
      <c r="W1115" s="5">
        <f>Table1[[#This Row],[Quantity]]*Table1[[#This Row],[Price]]*(1-Table1[[#This Row],[Discount %]]/100)</f>
        <v>34002</v>
      </c>
      <c r="X1115">
        <f>Table1[[#This Row],[DeliveryDate]]-Table1[[#This Row],[OrderDate]]</f>
        <v>7</v>
      </c>
      <c r="Y1115" t="str">
        <f>TEXT(Table1[[#This Row],[OrderDate]],"MMMM")</f>
        <v>September</v>
      </c>
      <c r="Z1115" s="5">
        <f>YEAR(Table1[[#This Row],[OrderDate]])</f>
        <v>2024</v>
      </c>
    </row>
    <row r="1116" spans="1:26" x14ac:dyDescent="0.3">
      <c r="A1116" s="1" t="s">
        <v>3243</v>
      </c>
      <c r="B1116" t="s">
        <v>293</v>
      </c>
      <c r="C1116" s="3">
        <v>45</v>
      </c>
      <c r="D1116" s="1" t="s">
        <v>51</v>
      </c>
      <c r="E1116" s="1" t="s">
        <v>26</v>
      </c>
      <c r="F1116" s="1" t="s">
        <v>65</v>
      </c>
      <c r="G1116" s="4">
        <v>45420</v>
      </c>
      <c r="H1116" s="4">
        <v>45427</v>
      </c>
      <c r="I1116" s="1" t="s">
        <v>85</v>
      </c>
      <c r="J1116" s="1" t="s">
        <v>30</v>
      </c>
      <c r="K1116" s="3">
        <v>1</v>
      </c>
      <c r="L1116" s="2">
        <v>12002</v>
      </c>
      <c r="M1116" s="3">
        <v>0</v>
      </c>
      <c r="N1116" s="1" t="s">
        <v>45</v>
      </c>
      <c r="O1116" s="1" t="s">
        <v>281</v>
      </c>
      <c r="P1116" s="1" t="s">
        <v>58</v>
      </c>
      <c r="Q1116" s="1" t="s">
        <v>1231</v>
      </c>
      <c r="R1116" s="1" t="s">
        <v>3244</v>
      </c>
      <c r="S1116" s="3">
        <v>4</v>
      </c>
      <c r="T1116" s="1" t="s">
        <v>36</v>
      </c>
      <c r="U1116" s="3">
        <v>289</v>
      </c>
      <c r="V1116" s="1" t="s">
        <v>79</v>
      </c>
      <c r="W1116" s="5">
        <f>Table1[[#This Row],[Quantity]]*Table1[[#This Row],[Price]]*(1-Table1[[#This Row],[Discount %]]/100)</f>
        <v>12002</v>
      </c>
      <c r="X1116">
        <f>Table1[[#This Row],[DeliveryDate]]-Table1[[#This Row],[OrderDate]]</f>
        <v>7</v>
      </c>
      <c r="Y1116" t="str">
        <f>TEXT(Table1[[#This Row],[OrderDate]],"MMMM")</f>
        <v>May</v>
      </c>
      <c r="Z1116" s="5">
        <f>YEAR(Table1[[#This Row],[OrderDate]])</f>
        <v>2024</v>
      </c>
    </row>
    <row r="1117" spans="1:26" x14ac:dyDescent="0.3">
      <c r="A1117" s="1" t="s">
        <v>3245</v>
      </c>
      <c r="B1117" t="s">
        <v>182</v>
      </c>
      <c r="C1117" s="3">
        <v>26</v>
      </c>
      <c r="D1117" s="1" t="s">
        <v>24</v>
      </c>
      <c r="E1117" s="1" t="s">
        <v>131</v>
      </c>
      <c r="F1117" s="1" t="s">
        <v>65</v>
      </c>
      <c r="G1117" s="4">
        <v>45178</v>
      </c>
      <c r="H1117" s="4">
        <v>45188</v>
      </c>
      <c r="I1117" s="1" t="s">
        <v>85</v>
      </c>
      <c r="J1117" s="1" t="s">
        <v>44</v>
      </c>
      <c r="K1117" s="3">
        <v>2</v>
      </c>
      <c r="L1117" s="2">
        <v>24616</v>
      </c>
      <c r="M1117" s="3">
        <v>0</v>
      </c>
      <c r="N1117" s="1" t="s">
        <v>56</v>
      </c>
      <c r="O1117" s="1" t="s">
        <v>102</v>
      </c>
      <c r="P1117" s="1" t="s">
        <v>69</v>
      </c>
      <c r="Q1117" s="1" t="s">
        <v>186</v>
      </c>
      <c r="R1117" s="1" t="s">
        <v>3246</v>
      </c>
      <c r="S1117" s="3">
        <v>3</v>
      </c>
      <c r="T1117" s="1" t="s">
        <v>96</v>
      </c>
      <c r="U1117" s="3">
        <v>257</v>
      </c>
      <c r="V1117" s="1" t="s">
        <v>62</v>
      </c>
      <c r="W1117" s="5">
        <f>Table1[[#This Row],[Quantity]]*Table1[[#This Row],[Price]]*(1-Table1[[#This Row],[Discount %]]/100)</f>
        <v>49232</v>
      </c>
      <c r="X1117">
        <f>Table1[[#This Row],[DeliveryDate]]-Table1[[#This Row],[OrderDate]]</f>
        <v>10</v>
      </c>
      <c r="Y1117" t="str">
        <f>TEXT(Table1[[#This Row],[OrderDate]],"MMMM")</f>
        <v>September</v>
      </c>
      <c r="Z1117" s="5">
        <f>YEAR(Table1[[#This Row],[OrderDate]])</f>
        <v>2023</v>
      </c>
    </row>
    <row r="1118" spans="1:26" x14ac:dyDescent="0.3">
      <c r="A1118" s="1" t="s">
        <v>3247</v>
      </c>
      <c r="B1118" t="s">
        <v>249</v>
      </c>
      <c r="C1118" s="3">
        <v>48</v>
      </c>
      <c r="D1118" s="1" t="s">
        <v>24</v>
      </c>
      <c r="E1118" s="1" t="s">
        <v>142</v>
      </c>
      <c r="F1118" s="1" t="s">
        <v>82</v>
      </c>
      <c r="G1118" s="4">
        <v>45592</v>
      </c>
      <c r="H1118" s="4">
        <v>45598</v>
      </c>
      <c r="I1118" s="1" t="s">
        <v>29</v>
      </c>
      <c r="J1118" s="1" t="s">
        <v>44</v>
      </c>
      <c r="K1118" s="3">
        <v>2.9447852760736195</v>
      </c>
      <c r="L1118" s="2">
        <v>35826</v>
      </c>
      <c r="M1118" s="3">
        <v>15</v>
      </c>
      <c r="N1118" s="1" t="s">
        <v>166</v>
      </c>
      <c r="O1118" s="1" t="s">
        <v>102</v>
      </c>
      <c r="P1118" s="1" t="s">
        <v>69</v>
      </c>
      <c r="Q1118" s="1" t="s">
        <v>252</v>
      </c>
      <c r="R1118" s="1" t="s">
        <v>3415</v>
      </c>
      <c r="S1118" s="3">
        <v>1</v>
      </c>
      <c r="T1118" s="1" t="s">
        <v>61</v>
      </c>
      <c r="U1118" s="3">
        <v>232</v>
      </c>
      <c r="V1118" s="1" t="s">
        <v>62</v>
      </c>
      <c r="W1118" s="5">
        <f>Table1[[#This Row],[Quantity]]*Table1[[#This Row],[Price]]*(1-Table1[[#This Row],[Discount %]]/100)</f>
        <v>89674.895705521456</v>
      </c>
      <c r="X1118">
        <f>Table1[[#This Row],[DeliveryDate]]-Table1[[#This Row],[OrderDate]]</f>
        <v>6</v>
      </c>
      <c r="Y1118" t="str">
        <f>TEXT(Table1[[#This Row],[OrderDate]],"MMMM")</f>
        <v>October</v>
      </c>
      <c r="Z1118" s="5">
        <f>YEAR(Table1[[#This Row],[OrderDate]])</f>
        <v>2024</v>
      </c>
    </row>
    <row r="1119" spans="1:26" x14ac:dyDescent="0.3">
      <c r="A1119" s="1" t="s">
        <v>3248</v>
      </c>
      <c r="B1119" t="s">
        <v>327</v>
      </c>
      <c r="C1119" s="3">
        <v>47</v>
      </c>
      <c r="D1119" s="1" t="s">
        <v>51</v>
      </c>
      <c r="E1119" s="1" t="s">
        <v>25</v>
      </c>
      <c r="F1119" s="1" t="s">
        <v>65</v>
      </c>
      <c r="G1119" s="4">
        <v>45284</v>
      </c>
      <c r="H1119" s="4">
        <v>45286</v>
      </c>
      <c r="I1119" s="1" t="s">
        <v>108</v>
      </c>
      <c r="J1119" s="1" t="s">
        <v>44</v>
      </c>
      <c r="K1119" s="3">
        <v>5</v>
      </c>
      <c r="L1119" s="2">
        <v>25619</v>
      </c>
      <c r="M1119" s="3">
        <v>0</v>
      </c>
      <c r="N1119" s="1" t="s">
        <v>56</v>
      </c>
      <c r="O1119" s="1" t="s">
        <v>102</v>
      </c>
      <c r="P1119" s="1" t="s">
        <v>69</v>
      </c>
      <c r="Q1119" s="1" t="s">
        <v>330</v>
      </c>
      <c r="R1119" s="1" t="s">
        <v>3249</v>
      </c>
      <c r="S1119" s="3">
        <v>2</v>
      </c>
      <c r="T1119" s="1" t="s">
        <v>36</v>
      </c>
      <c r="U1119" s="3">
        <v>250</v>
      </c>
      <c r="V1119" s="1" t="s">
        <v>79</v>
      </c>
      <c r="W1119" s="5">
        <f>Table1[[#This Row],[Quantity]]*Table1[[#This Row],[Price]]*(1-Table1[[#This Row],[Discount %]]/100)</f>
        <v>128095</v>
      </c>
      <c r="X1119">
        <f>Table1[[#This Row],[DeliveryDate]]-Table1[[#This Row],[OrderDate]]</f>
        <v>2</v>
      </c>
      <c r="Y1119" t="str">
        <f>TEXT(Table1[[#This Row],[OrderDate]],"MMMM")</f>
        <v>December</v>
      </c>
      <c r="Z1119" s="5">
        <f>YEAR(Table1[[#This Row],[OrderDate]])</f>
        <v>2023</v>
      </c>
    </row>
    <row r="1120" spans="1:26" x14ac:dyDescent="0.3">
      <c r="A1120" s="1" t="s">
        <v>3250</v>
      </c>
      <c r="B1120" t="s">
        <v>209</v>
      </c>
      <c r="C1120" s="3">
        <v>54</v>
      </c>
      <c r="D1120" s="1" t="s">
        <v>51</v>
      </c>
      <c r="E1120" s="1" t="s">
        <v>99</v>
      </c>
      <c r="F1120" s="1" t="s">
        <v>82</v>
      </c>
      <c r="G1120" s="4">
        <v>45242</v>
      </c>
      <c r="H1120" s="4">
        <v>45243</v>
      </c>
      <c r="I1120" s="1" t="s">
        <v>93</v>
      </c>
      <c r="J1120" s="1" t="s">
        <v>30</v>
      </c>
      <c r="K1120" s="3">
        <v>2.9447852760736195</v>
      </c>
      <c r="L1120" s="2">
        <v>32794</v>
      </c>
      <c r="M1120" s="3">
        <v>5</v>
      </c>
      <c r="N1120" s="1" t="s">
        <v>56</v>
      </c>
      <c r="O1120" s="1" t="s">
        <v>109</v>
      </c>
      <c r="P1120" s="1" t="s">
        <v>69</v>
      </c>
      <c r="Q1120" s="1" t="s">
        <v>1001</v>
      </c>
      <c r="R1120" s="1" t="s">
        <v>3251</v>
      </c>
      <c r="S1120" s="3">
        <v>2</v>
      </c>
      <c r="T1120" s="1" t="s">
        <v>96</v>
      </c>
      <c r="U1120" s="3">
        <v>387</v>
      </c>
      <c r="V1120" s="1" t="s">
        <v>62</v>
      </c>
      <c r="W1120" s="5">
        <f>Table1[[#This Row],[Quantity]]*Table1[[#This Row],[Price]]*(1-Table1[[#This Row],[Discount %]]/100)</f>
        <v>91742.723926380364</v>
      </c>
      <c r="X1120">
        <f>Table1[[#This Row],[DeliveryDate]]-Table1[[#This Row],[OrderDate]]</f>
        <v>1</v>
      </c>
      <c r="Y1120" t="str">
        <f>TEXT(Table1[[#This Row],[OrderDate]],"MMMM")</f>
        <v>November</v>
      </c>
      <c r="Z1120" s="5">
        <f>YEAR(Table1[[#This Row],[OrderDate]])</f>
        <v>2023</v>
      </c>
    </row>
    <row r="1121" spans="1:26" x14ac:dyDescent="0.3">
      <c r="A1121" s="1" t="s">
        <v>3252</v>
      </c>
      <c r="B1121" t="s">
        <v>819</v>
      </c>
      <c r="C1121" s="3">
        <v>23</v>
      </c>
      <c r="D1121" s="1" t="s">
        <v>51</v>
      </c>
      <c r="E1121" s="1" t="s">
        <v>26</v>
      </c>
      <c r="F1121" s="1" t="s">
        <v>91</v>
      </c>
      <c r="G1121" s="4">
        <v>45133</v>
      </c>
      <c r="H1121" s="4">
        <v>45135</v>
      </c>
      <c r="I1121" s="1" t="s">
        <v>93</v>
      </c>
      <c r="J1121" s="1" t="s">
        <v>44</v>
      </c>
      <c r="K1121" s="3">
        <v>4</v>
      </c>
      <c r="L1121" s="2">
        <v>37549</v>
      </c>
      <c r="M1121" s="3">
        <v>0</v>
      </c>
      <c r="N1121" s="1" t="s">
        <v>31</v>
      </c>
      <c r="O1121" s="1" t="s">
        <v>68</v>
      </c>
      <c r="P1121" s="1" t="s">
        <v>174</v>
      </c>
      <c r="Q1121" s="1" t="s">
        <v>821</v>
      </c>
      <c r="R1121" s="1" t="s">
        <v>3253</v>
      </c>
      <c r="S1121" s="3">
        <v>1</v>
      </c>
      <c r="T1121" s="1" t="s">
        <v>36</v>
      </c>
      <c r="U1121" s="3">
        <v>82</v>
      </c>
      <c r="V1121" s="1" t="s">
        <v>62</v>
      </c>
      <c r="W1121" s="5">
        <f>Table1[[#This Row],[Quantity]]*Table1[[#This Row],[Price]]*(1-Table1[[#This Row],[Discount %]]/100)</f>
        <v>150196</v>
      </c>
      <c r="X1121">
        <f>Table1[[#This Row],[DeliveryDate]]-Table1[[#This Row],[OrderDate]]</f>
        <v>2</v>
      </c>
      <c r="Y1121" t="str">
        <f>TEXT(Table1[[#This Row],[OrderDate]],"MMMM")</f>
        <v>July</v>
      </c>
      <c r="Z1121" s="5">
        <f>YEAR(Table1[[#This Row],[OrderDate]])</f>
        <v>2023</v>
      </c>
    </row>
    <row r="1122" spans="1:26" x14ac:dyDescent="0.3">
      <c r="A1122" s="1" t="s">
        <v>3254</v>
      </c>
      <c r="B1122" t="s">
        <v>933</v>
      </c>
      <c r="C1122" s="3">
        <v>49</v>
      </c>
      <c r="D1122" s="1" t="s">
        <v>51</v>
      </c>
      <c r="E1122" s="1" t="s">
        <v>99</v>
      </c>
      <c r="F1122" s="1" t="s">
        <v>53</v>
      </c>
      <c r="G1122" s="4">
        <v>45591</v>
      </c>
      <c r="H1122" s="4">
        <v>45599</v>
      </c>
      <c r="I1122" s="1" t="s">
        <v>77</v>
      </c>
      <c r="J1122" s="1" t="s">
        <v>44</v>
      </c>
      <c r="K1122" s="3">
        <v>1</v>
      </c>
      <c r="L1122" s="2">
        <v>30515</v>
      </c>
      <c r="M1122" s="3">
        <v>0</v>
      </c>
      <c r="N1122" s="1" t="s">
        <v>45</v>
      </c>
      <c r="O1122" s="1" t="s">
        <v>86</v>
      </c>
      <c r="P1122" s="1" t="s">
        <v>174</v>
      </c>
      <c r="Q1122" s="1" t="s">
        <v>935</v>
      </c>
      <c r="R1122" s="1" t="s">
        <v>3255</v>
      </c>
      <c r="S1122" s="3">
        <v>3</v>
      </c>
      <c r="T1122" s="1" t="s">
        <v>61</v>
      </c>
      <c r="U1122" s="3">
        <v>161</v>
      </c>
      <c r="V1122" s="1" t="s">
        <v>37</v>
      </c>
      <c r="W1122" s="5">
        <f>Table1[[#This Row],[Quantity]]*Table1[[#This Row],[Price]]*(1-Table1[[#This Row],[Discount %]]/100)</f>
        <v>30515</v>
      </c>
      <c r="X1122">
        <f>Table1[[#This Row],[DeliveryDate]]-Table1[[#This Row],[OrderDate]]</f>
        <v>8</v>
      </c>
      <c r="Y1122" t="str">
        <f>TEXT(Table1[[#This Row],[OrderDate]],"MMMM")</f>
        <v>October</v>
      </c>
      <c r="Z1122" s="5">
        <f>YEAR(Table1[[#This Row],[OrderDate]])</f>
        <v>2024</v>
      </c>
    </row>
    <row r="1123" spans="1:26" x14ac:dyDescent="0.3">
      <c r="A1123" s="1" t="s">
        <v>3256</v>
      </c>
      <c r="B1123" t="s">
        <v>361</v>
      </c>
      <c r="C1123" s="3">
        <v>56</v>
      </c>
      <c r="D1123" s="1" t="s">
        <v>51</v>
      </c>
      <c r="E1123" s="1" t="s">
        <v>142</v>
      </c>
      <c r="F1123" s="1" t="s">
        <v>26</v>
      </c>
      <c r="G1123" s="4">
        <v>44977</v>
      </c>
      <c r="H1123" s="4">
        <v>44980</v>
      </c>
      <c r="I1123" s="1" t="s">
        <v>85</v>
      </c>
      <c r="J1123" s="1" t="s">
        <v>30</v>
      </c>
      <c r="K1123" s="3">
        <v>3</v>
      </c>
      <c r="L1123" s="2">
        <v>18114</v>
      </c>
      <c r="M1123" s="3">
        <v>0</v>
      </c>
      <c r="N1123" s="1" t="s">
        <v>166</v>
      </c>
      <c r="O1123" s="1" t="s">
        <v>133</v>
      </c>
      <c r="P1123" s="1" t="s">
        <v>58</v>
      </c>
      <c r="Q1123" s="1" t="s">
        <v>364</v>
      </c>
      <c r="R1123" s="1" t="s">
        <v>3257</v>
      </c>
      <c r="S1123" s="3">
        <v>4</v>
      </c>
      <c r="T1123" s="1" t="s">
        <v>61</v>
      </c>
      <c r="U1123" s="3">
        <v>275</v>
      </c>
      <c r="V1123" s="1" t="s">
        <v>79</v>
      </c>
      <c r="W1123" s="5">
        <f>Table1[[#This Row],[Quantity]]*Table1[[#This Row],[Price]]*(1-Table1[[#This Row],[Discount %]]/100)</f>
        <v>54342</v>
      </c>
      <c r="X1123">
        <f>Table1[[#This Row],[DeliveryDate]]-Table1[[#This Row],[OrderDate]]</f>
        <v>3</v>
      </c>
      <c r="Y1123" t="str">
        <f>TEXT(Table1[[#This Row],[OrderDate]],"MMMM")</f>
        <v>February</v>
      </c>
      <c r="Z1123" s="5">
        <f>YEAR(Table1[[#This Row],[OrderDate]])</f>
        <v>2023</v>
      </c>
    </row>
    <row r="1124" spans="1:26" x14ac:dyDescent="0.3">
      <c r="A1124" s="1" t="s">
        <v>3258</v>
      </c>
      <c r="B1124" t="s">
        <v>840</v>
      </c>
      <c r="C1124" s="3">
        <v>28</v>
      </c>
      <c r="D1124" s="1" t="s">
        <v>24</v>
      </c>
      <c r="E1124" s="1" t="s">
        <v>142</v>
      </c>
      <c r="F1124" s="1" t="s">
        <v>82</v>
      </c>
      <c r="G1124" s="4">
        <v>45305</v>
      </c>
      <c r="H1124" s="4">
        <v>45311</v>
      </c>
      <c r="I1124" s="1" t="s">
        <v>77</v>
      </c>
      <c r="J1124" s="1" t="s">
        <v>30</v>
      </c>
      <c r="K1124" s="3">
        <v>1</v>
      </c>
      <c r="L1124" s="2">
        <v>68052</v>
      </c>
      <c r="M1124" s="3">
        <v>15</v>
      </c>
      <c r="N1124" s="1" t="s">
        <v>45</v>
      </c>
      <c r="O1124" s="1" t="s">
        <v>133</v>
      </c>
      <c r="P1124" s="1" t="s">
        <v>58</v>
      </c>
      <c r="Q1124" s="1" t="s">
        <v>1147</v>
      </c>
      <c r="R1124" s="1" t="s">
        <v>3259</v>
      </c>
      <c r="S1124" s="3">
        <v>4</v>
      </c>
      <c r="T1124" s="1" t="s">
        <v>61</v>
      </c>
      <c r="U1124" s="3">
        <v>150</v>
      </c>
      <c r="V1124" s="1" t="s">
        <v>37</v>
      </c>
      <c r="W1124" s="5">
        <f>Table1[[#This Row],[Quantity]]*Table1[[#This Row],[Price]]*(1-Table1[[#This Row],[Discount %]]/100)</f>
        <v>57844.2</v>
      </c>
      <c r="X1124">
        <f>Table1[[#This Row],[DeliveryDate]]-Table1[[#This Row],[OrderDate]]</f>
        <v>6</v>
      </c>
      <c r="Y1124" t="str">
        <f>TEXT(Table1[[#This Row],[OrderDate]],"MMMM")</f>
        <v>January</v>
      </c>
      <c r="Z1124" s="5">
        <f>YEAR(Table1[[#This Row],[OrderDate]])</f>
        <v>2024</v>
      </c>
    </row>
    <row r="1125" spans="1:26" x14ac:dyDescent="0.3">
      <c r="A1125" s="1" t="s">
        <v>3260</v>
      </c>
      <c r="B1125" t="s">
        <v>541</v>
      </c>
      <c r="C1125" s="3">
        <v>22</v>
      </c>
      <c r="D1125" s="1" t="s">
        <v>24</v>
      </c>
      <c r="E1125" s="1" t="s">
        <v>142</v>
      </c>
      <c r="F1125" s="1" t="s">
        <v>82</v>
      </c>
      <c r="G1125" s="4">
        <v>45064</v>
      </c>
      <c r="H1125" s="4">
        <v>45067</v>
      </c>
      <c r="I1125" s="1" t="s">
        <v>108</v>
      </c>
      <c r="J1125" s="1" t="s">
        <v>30</v>
      </c>
      <c r="K1125" s="3">
        <v>1</v>
      </c>
      <c r="L1125" s="2">
        <v>57773</v>
      </c>
      <c r="M1125" s="3">
        <v>0</v>
      </c>
      <c r="N1125" s="1" t="s">
        <v>31</v>
      </c>
      <c r="O1125" s="1" t="s">
        <v>57</v>
      </c>
      <c r="P1125" s="1" t="s">
        <v>33</v>
      </c>
      <c r="Q1125" s="1" t="s">
        <v>3415</v>
      </c>
      <c r="R1125" s="1" t="s">
        <v>3261</v>
      </c>
      <c r="S1125" s="3">
        <v>4</v>
      </c>
      <c r="T1125" s="1" t="s">
        <v>96</v>
      </c>
      <c r="U1125" s="3">
        <v>330</v>
      </c>
      <c r="V1125" s="1" t="s">
        <v>37</v>
      </c>
      <c r="W1125" s="5">
        <f>Table1[[#This Row],[Quantity]]*Table1[[#This Row],[Price]]*(1-Table1[[#This Row],[Discount %]]/100)</f>
        <v>57773</v>
      </c>
      <c r="X1125">
        <f>Table1[[#This Row],[DeliveryDate]]-Table1[[#This Row],[OrderDate]]</f>
        <v>3</v>
      </c>
      <c r="Y1125" t="str">
        <f>TEXT(Table1[[#This Row],[OrderDate]],"MMMM")</f>
        <v>May</v>
      </c>
      <c r="Z1125" s="5">
        <f>YEAR(Table1[[#This Row],[OrderDate]])</f>
        <v>2023</v>
      </c>
    </row>
    <row r="1126" spans="1:26" x14ac:dyDescent="0.3">
      <c r="A1126" s="1" t="s">
        <v>3262</v>
      </c>
      <c r="B1126" t="s">
        <v>424</v>
      </c>
      <c r="C1126" s="3">
        <v>42</v>
      </c>
      <c r="D1126" s="1" t="s">
        <v>51</v>
      </c>
      <c r="E1126" s="1" t="s">
        <v>229</v>
      </c>
      <c r="F1126" s="1" t="s">
        <v>65</v>
      </c>
      <c r="G1126" s="4">
        <v>45425</v>
      </c>
      <c r="H1126" s="4">
        <v>45433</v>
      </c>
      <c r="I1126" s="1" t="s">
        <v>29</v>
      </c>
      <c r="J1126" s="1" t="s">
        <v>44</v>
      </c>
      <c r="K1126" s="3">
        <v>3</v>
      </c>
      <c r="L1126" s="2">
        <v>7216</v>
      </c>
      <c r="M1126" s="3">
        <v>15</v>
      </c>
      <c r="N1126" s="1" t="s">
        <v>166</v>
      </c>
      <c r="O1126" s="1" t="s">
        <v>68</v>
      </c>
      <c r="P1126" s="1" t="s">
        <v>58</v>
      </c>
      <c r="Q1126" s="1" t="s">
        <v>427</v>
      </c>
      <c r="R1126" s="1" t="s">
        <v>3263</v>
      </c>
      <c r="S1126" s="3">
        <v>1</v>
      </c>
      <c r="T1126" s="1" t="s">
        <v>72</v>
      </c>
      <c r="U1126" s="3">
        <v>299</v>
      </c>
      <c r="V1126" s="1" t="s">
        <v>62</v>
      </c>
      <c r="W1126" s="5">
        <f>Table1[[#This Row],[Quantity]]*Table1[[#This Row],[Price]]*(1-Table1[[#This Row],[Discount %]]/100)</f>
        <v>18400.8</v>
      </c>
      <c r="X1126">
        <f>Table1[[#This Row],[DeliveryDate]]-Table1[[#This Row],[OrderDate]]</f>
        <v>8</v>
      </c>
      <c r="Y1126" t="str">
        <f>TEXT(Table1[[#This Row],[OrderDate]],"MMMM")</f>
        <v>May</v>
      </c>
      <c r="Z1126" s="5">
        <f>YEAR(Table1[[#This Row],[OrderDate]])</f>
        <v>2024</v>
      </c>
    </row>
    <row r="1127" spans="1:26" x14ac:dyDescent="0.3">
      <c r="A1127" s="1" t="s">
        <v>3264</v>
      </c>
      <c r="B1127" t="s">
        <v>1340</v>
      </c>
      <c r="C1127" s="3">
        <v>28</v>
      </c>
      <c r="D1127" s="1" t="s">
        <v>24</v>
      </c>
      <c r="E1127" s="1" t="s">
        <v>26</v>
      </c>
      <c r="F1127" s="1" t="s">
        <v>26</v>
      </c>
      <c r="G1127" s="4">
        <v>45344</v>
      </c>
      <c r="H1127" s="4">
        <v>45353</v>
      </c>
      <c r="I1127" s="1" t="s">
        <v>108</v>
      </c>
      <c r="J1127" s="1" t="s">
        <v>30</v>
      </c>
      <c r="K1127" s="3">
        <v>2</v>
      </c>
      <c r="L1127" s="2">
        <v>28096</v>
      </c>
      <c r="M1127" s="3">
        <v>15</v>
      </c>
      <c r="N1127" s="1" t="s">
        <v>45</v>
      </c>
      <c r="O1127" s="1" t="s">
        <v>173</v>
      </c>
      <c r="P1127" s="1" t="s">
        <v>33</v>
      </c>
      <c r="Q1127" s="1" t="s">
        <v>3415</v>
      </c>
      <c r="R1127" s="1" t="s">
        <v>3265</v>
      </c>
      <c r="S1127" s="3">
        <v>3</v>
      </c>
      <c r="T1127" s="1" t="s">
        <v>36</v>
      </c>
      <c r="U1127" s="3">
        <v>373</v>
      </c>
      <c r="V1127" s="1" t="s">
        <v>62</v>
      </c>
      <c r="W1127" s="5">
        <f>Table1[[#This Row],[Quantity]]*Table1[[#This Row],[Price]]*(1-Table1[[#This Row],[Discount %]]/100)</f>
        <v>47763.199999999997</v>
      </c>
      <c r="X1127">
        <f>Table1[[#This Row],[DeliveryDate]]-Table1[[#This Row],[OrderDate]]</f>
        <v>9</v>
      </c>
      <c r="Y1127" t="str">
        <f>TEXT(Table1[[#This Row],[OrderDate]],"MMMM")</f>
        <v>February</v>
      </c>
      <c r="Z1127" s="5">
        <f>YEAR(Table1[[#This Row],[OrderDate]])</f>
        <v>2024</v>
      </c>
    </row>
    <row r="1128" spans="1:26" x14ac:dyDescent="0.3">
      <c r="A1128" s="1" t="s">
        <v>3266</v>
      </c>
      <c r="B1128" t="s">
        <v>471</v>
      </c>
      <c r="C1128" s="3">
        <v>43</v>
      </c>
      <c r="D1128" s="1" t="s">
        <v>24</v>
      </c>
      <c r="E1128" s="1" t="s">
        <v>99</v>
      </c>
      <c r="F1128" s="1" t="s">
        <v>65</v>
      </c>
      <c r="G1128" s="4">
        <v>45501</v>
      </c>
      <c r="H1128" s="4">
        <v>45502</v>
      </c>
      <c r="I1128" s="1" t="s">
        <v>108</v>
      </c>
      <c r="J1128" s="1" t="s">
        <v>30</v>
      </c>
      <c r="K1128" s="3">
        <v>3</v>
      </c>
      <c r="L1128" s="2">
        <v>63355</v>
      </c>
      <c r="M1128" s="3">
        <v>15</v>
      </c>
      <c r="N1128" s="1" t="s">
        <v>56</v>
      </c>
      <c r="O1128" s="1" t="s">
        <v>32</v>
      </c>
      <c r="P1128" s="1" t="s">
        <v>174</v>
      </c>
      <c r="Q1128" s="1" t="s">
        <v>495</v>
      </c>
      <c r="R1128" s="1" t="s">
        <v>3267</v>
      </c>
      <c r="S1128" s="3">
        <v>1</v>
      </c>
      <c r="T1128" s="1" t="s">
        <v>72</v>
      </c>
      <c r="U1128" s="3">
        <v>456</v>
      </c>
      <c r="V1128" s="1" t="s">
        <v>79</v>
      </c>
      <c r="W1128" s="5">
        <f>Table1[[#This Row],[Quantity]]*Table1[[#This Row],[Price]]*(1-Table1[[#This Row],[Discount %]]/100)</f>
        <v>161555.25</v>
      </c>
      <c r="X1128">
        <f>Table1[[#This Row],[DeliveryDate]]-Table1[[#This Row],[OrderDate]]</f>
        <v>1</v>
      </c>
      <c r="Y1128" t="str">
        <f>TEXT(Table1[[#This Row],[OrderDate]],"MMMM")</f>
        <v>July</v>
      </c>
      <c r="Z1128" s="5">
        <f>YEAR(Table1[[#This Row],[OrderDate]])</f>
        <v>2024</v>
      </c>
    </row>
    <row r="1129" spans="1:26" x14ac:dyDescent="0.3">
      <c r="A1129" s="1" t="s">
        <v>3268</v>
      </c>
      <c r="B1129" t="s">
        <v>850</v>
      </c>
      <c r="C1129" s="3">
        <v>19</v>
      </c>
      <c r="D1129" s="1" t="s">
        <v>24</v>
      </c>
      <c r="E1129" s="1" t="s">
        <v>131</v>
      </c>
      <c r="F1129" s="1" t="s">
        <v>26</v>
      </c>
      <c r="G1129" s="4">
        <v>44987</v>
      </c>
      <c r="H1129" s="4">
        <v>44989</v>
      </c>
      <c r="I1129" s="1" t="s">
        <v>43</v>
      </c>
      <c r="J1129" s="1" t="s">
        <v>30</v>
      </c>
      <c r="K1129" s="3">
        <v>3</v>
      </c>
      <c r="L1129" s="2">
        <v>77520</v>
      </c>
      <c r="M1129" s="3">
        <v>10</v>
      </c>
      <c r="N1129" s="1" t="s">
        <v>166</v>
      </c>
      <c r="O1129" s="1" t="s">
        <v>173</v>
      </c>
      <c r="P1129" s="1" t="s">
        <v>33</v>
      </c>
      <c r="Q1129" s="1" t="s">
        <v>258</v>
      </c>
      <c r="R1129" s="1" t="s">
        <v>3269</v>
      </c>
      <c r="S1129" s="3">
        <v>1</v>
      </c>
      <c r="T1129" s="1" t="s">
        <v>61</v>
      </c>
      <c r="U1129" s="3">
        <v>155</v>
      </c>
      <c r="V1129" s="1" t="s">
        <v>79</v>
      </c>
      <c r="W1129" s="5">
        <f>Table1[[#This Row],[Quantity]]*Table1[[#This Row],[Price]]*(1-Table1[[#This Row],[Discount %]]/100)</f>
        <v>209304</v>
      </c>
      <c r="X1129">
        <f>Table1[[#This Row],[DeliveryDate]]-Table1[[#This Row],[OrderDate]]</f>
        <v>2</v>
      </c>
      <c r="Y1129" t="str">
        <f>TEXT(Table1[[#This Row],[OrderDate]],"MMMM")</f>
        <v>March</v>
      </c>
      <c r="Z1129" s="5">
        <f>YEAR(Table1[[#This Row],[OrderDate]])</f>
        <v>2023</v>
      </c>
    </row>
    <row r="1130" spans="1:26" x14ac:dyDescent="0.3">
      <c r="A1130" s="1" t="s">
        <v>3270</v>
      </c>
      <c r="B1130" t="s">
        <v>243</v>
      </c>
      <c r="C1130" s="3">
        <v>40</v>
      </c>
      <c r="D1130" s="1" t="s">
        <v>24</v>
      </c>
      <c r="E1130" s="1" t="s">
        <v>131</v>
      </c>
      <c r="F1130" s="1" t="s">
        <v>82</v>
      </c>
      <c r="G1130" s="4">
        <v>45225</v>
      </c>
      <c r="H1130" s="4">
        <v>45229</v>
      </c>
      <c r="I1130" s="1" t="s">
        <v>93</v>
      </c>
      <c r="J1130" s="1" t="s">
        <v>44</v>
      </c>
      <c r="K1130" s="3">
        <v>5</v>
      </c>
      <c r="L1130" s="2">
        <v>79436</v>
      </c>
      <c r="M1130" s="3">
        <v>0</v>
      </c>
      <c r="N1130" s="1" t="s">
        <v>56</v>
      </c>
      <c r="O1130" s="1" t="s">
        <v>109</v>
      </c>
      <c r="P1130" s="1" t="s">
        <v>174</v>
      </c>
      <c r="Q1130" s="1" t="s">
        <v>3415</v>
      </c>
      <c r="R1130" s="1" t="s">
        <v>3272</v>
      </c>
      <c r="S1130" s="3">
        <v>5</v>
      </c>
      <c r="T1130" s="1" t="s">
        <v>96</v>
      </c>
      <c r="U1130" s="3">
        <v>194</v>
      </c>
      <c r="V1130" s="1" t="s">
        <v>62</v>
      </c>
      <c r="W1130" s="5">
        <f>Table1[[#This Row],[Quantity]]*Table1[[#This Row],[Price]]*(1-Table1[[#This Row],[Discount %]]/100)</f>
        <v>397180</v>
      </c>
      <c r="X1130">
        <f>Table1[[#This Row],[DeliveryDate]]-Table1[[#This Row],[OrderDate]]</f>
        <v>4</v>
      </c>
      <c r="Y1130" t="str">
        <f>TEXT(Table1[[#This Row],[OrderDate]],"MMMM")</f>
        <v>October</v>
      </c>
      <c r="Z1130" s="5">
        <f>YEAR(Table1[[#This Row],[OrderDate]])</f>
        <v>2023</v>
      </c>
    </row>
    <row r="1131" spans="1:26" x14ac:dyDescent="0.3">
      <c r="A1131" s="1" t="s">
        <v>3273</v>
      </c>
      <c r="B1131" t="s">
        <v>461</v>
      </c>
      <c r="C1131" s="3">
        <v>39</v>
      </c>
      <c r="D1131" s="1" t="s">
        <v>51</v>
      </c>
      <c r="E1131" s="1" t="s">
        <v>131</v>
      </c>
      <c r="F1131" s="1" t="s">
        <v>26</v>
      </c>
      <c r="G1131" s="4">
        <v>44958</v>
      </c>
      <c r="H1131" s="4">
        <v>44960</v>
      </c>
      <c r="I1131" s="1" t="s">
        <v>108</v>
      </c>
      <c r="J1131" s="1" t="s">
        <v>44</v>
      </c>
      <c r="K1131" s="3">
        <v>2</v>
      </c>
      <c r="L1131" s="2">
        <v>21719</v>
      </c>
      <c r="M1131" s="3">
        <v>10</v>
      </c>
      <c r="N1131" s="1" t="s">
        <v>45</v>
      </c>
      <c r="O1131" s="1" t="s">
        <v>109</v>
      </c>
      <c r="P1131" s="1" t="s">
        <v>174</v>
      </c>
      <c r="Q1131" s="1" t="s">
        <v>563</v>
      </c>
      <c r="R1131" s="1" t="s">
        <v>3275</v>
      </c>
      <c r="S1131" s="3">
        <v>1</v>
      </c>
      <c r="T1131" s="1" t="s">
        <v>72</v>
      </c>
      <c r="U1131" s="3">
        <v>487</v>
      </c>
      <c r="V1131" s="1" t="s">
        <v>37</v>
      </c>
      <c r="W1131" s="5">
        <f>Table1[[#This Row],[Quantity]]*Table1[[#This Row],[Price]]*(1-Table1[[#This Row],[Discount %]]/100)</f>
        <v>39094.200000000004</v>
      </c>
      <c r="X1131">
        <f>Table1[[#This Row],[DeliveryDate]]-Table1[[#This Row],[OrderDate]]</f>
        <v>2</v>
      </c>
      <c r="Y1131" t="str">
        <f>TEXT(Table1[[#This Row],[OrderDate]],"MMMM")</f>
        <v>February</v>
      </c>
      <c r="Z1131" s="5">
        <f>YEAR(Table1[[#This Row],[OrderDate]])</f>
        <v>2023</v>
      </c>
    </row>
    <row r="1132" spans="1:26" x14ac:dyDescent="0.3">
      <c r="A1132" s="1" t="s">
        <v>3276</v>
      </c>
      <c r="B1132" t="s">
        <v>527</v>
      </c>
      <c r="C1132" s="3">
        <v>29</v>
      </c>
      <c r="D1132" s="1" t="s">
        <v>24</v>
      </c>
      <c r="E1132" s="1" t="s">
        <v>52</v>
      </c>
      <c r="F1132" s="1" t="s">
        <v>53</v>
      </c>
      <c r="G1132" s="4">
        <v>44964</v>
      </c>
      <c r="H1132" s="4">
        <v>44974</v>
      </c>
      <c r="I1132" s="1" t="s">
        <v>77</v>
      </c>
      <c r="J1132" s="1" t="s">
        <v>30</v>
      </c>
      <c r="K1132" s="3">
        <v>5</v>
      </c>
      <c r="L1132" s="2">
        <v>19400</v>
      </c>
      <c r="M1132" s="3">
        <v>0</v>
      </c>
      <c r="N1132" s="1" t="s">
        <v>166</v>
      </c>
      <c r="O1132" s="1" t="s">
        <v>133</v>
      </c>
      <c r="P1132" s="1" t="s">
        <v>58</v>
      </c>
      <c r="Q1132" s="1" t="s">
        <v>530</v>
      </c>
      <c r="R1132" s="1" t="s">
        <v>3277</v>
      </c>
      <c r="S1132" s="3">
        <v>4</v>
      </c>
      <c r="T1132" s="1" t="s">
        <v>36</v>
      </c>
      <c r="U1132" s="3">
        <v>66</v>
      </c>
      <c r="V1132" s="1" t="s">
        <v>62</v>
      </c>
      <c r="W1132" s="5">
        <f>Table1[[#This Row],[Quantity]]*Table1[[#This Row],[Price]]*(1-Table1[[#This Row],[Discount %]]/100)</f>
        <v>97000</v>
      </c>
      <c r="X1132">
        <f>Table1[[#This Row],[DeliveryDate]]-Table1[[#This Row],[OrderDate]]</f>
        <v>10</v>
      </c>
      <c r="Y1132" t="str">
        <f>TEXT(Table1[[#This Row],[OrderDate]],"MMMM")</f>
        <v>February</v>
      </c>
      <c r="Z1132" s="5">
        <f>YEAR(Table1[[#This Row],[OrderDate]])</f>
        <v>2023</v>
      </c>
    </row>
    <row r="1133" spans="1:26" x14ac:dyDescent="0.3">
      <c r="A1133" s="1" t="s">
        <v>3278</v>
      </c>
      <c r="B1133" t="s">
        <v>617</v>
      </c>
      <c r="C1133" s="3">
        <v>42</v>
      </c>
      <c r="D1133" s="1" t="s">
        <v>51</v>
      </c>
      <c r="E1133" s="1" t="s">
        <v>142</v>
      </c>
      <c r="F1133" s="1" t="s">
        <v>91</v>
      </c>
      <c r="G1133" s="4">
        <v>45002</v>
      </c>
      <c r="H1133" s="4">
        <v>45009</v>
      </c>
      <c r="I1133" s="1" t="s">
        <v>77</v>
      </c>
      <c r="J1133" s="1" t="s">
        <v>44</v>
      </c>
      <c r="K1133" s="3">
        <v>2</v>
      </c>
      <c r="L1133" s="2">
        <v>47459</v>
      </c>
      <c r="M1133" s="3">
        <v>0</v>
      </c>
      <c r="N1133" s="1" t="s">
        <v>56</v>
      </c>
      <c r="O1133" s="1" t="s">
        <v>57</v>
      </c>
      <c r="P1133" s="1" t="s">
        <v>69</v>
      </c>
      <c r="Q1133" s="1" t="s">
        <v>3415</v>
      </c>
      <c r="R1133" s="1" t="s">
        <v>3280</v>
      </c>
      <c r="S1133" s="3">
        <v>4</v>
      </c>
      <c r="T1133" s="1" t="s">
        <v>61</v>
      </c>
      <c r="U1133" s="3">
        <v>50</v>
      </c>
      <c r="V1133" s="1" t="s">
        <v>62</v>
      </c>
      <c r="W1133" s="5">
        <f>Table1[[#This Row],[Quantity]]*Table1[[#This Row],[Price]]*(1-Table1[[#This Row],[Discount %]]/100)</f>
        <v>94918</v>
      </c>
      <c r="X1133">
        <f>Table1[[#This Row],[DeliveryDate]]-Table1[[#This Row],[OrderDate]]</f>
        <v>7</v>
      </c>
      <c r="Y1133" t="str">
        <f>TEXT(Table1[[#This Row],[OrderDate]],"MMMM")</f>
        <v>March</v>
      </c>
      <c r="Z1133" s="5">
        <f>YEAR(Table1[[#This Row],[OrderDate]])</f>
        <v>2023</v>
      </c>
    </row>
    <row r="1134" spans="1:26" x14ac:dyDescent="0.3">
      <c r="A1134" s="1" t="s">
        <v>3281</v>
      </c>
      <c r="B1134" t="s">
        <v>249</v>
      </c>
      <c r="C1134" s="3">
        <v>60</v>
      </c>
      <c r="D1134" s="1" t="s">
        <v>51</v>
      </c>
      <c r="E1134" s="1" t="s">
        <v>25</v>
      </c>
      <c r="F1134" s="1" t="s">
        <v>91</v>
      </c>
      <c r="G1134" s="4">
        <v>45428</v>
      </c>
      <c r="H1134" s="4">
        <v>45436</v>
      </c>
      <c r="I1134" s="1" t="s">
        <v>29</v>
      </c>
      <c r="J1134" s="1" t="s">
        <v>30</v>
      </c>
      <c r="K1134" s="3">
        <v>5</v>
      </c>
      <c r="L1134" s="2">
        <v>49400</v>
      </c>
      <c r="M1134" s="3">
        <v>5</v>
      </c>
      <c r="N1134" s="1" t="s">
        <v>166</v>
      </c>
      <c r="O1134" s="1" t="s">
        <v>281</v>
      </c>
      <c r="P1134" s="1" t="s">
        <v>58</v>
      </c>
      <c r="Q1134" s="1" t="s">
        <v>252</v>
      </c>
      <c r="R1134" s="1" t="s">
        <v>3282</v>
      </c>
      <c r="S1134" s="3">
        <v>4</v>
      </c>
      <c r="T1134" s="1" t="s">
        <v>61</v>
      </c>
      <c r="U1134" s="3">
        <v>385</v>
      </c>
      <c r="V1134" s="1" t="s">
        <v>79</v>
      </c>
      <c r="W1134" s="5">
        <f>Table1[[#This Row],[Quantity]]*Table1[[#This Row],[Price]]*(1-Table1[[#This Row],[Discount %]]/100)</f>
        <v>234650</v>
      </c>
      <c r="X1134">
        <f>Table1[[#This Row],[DeliveryDate]]-Table1[[#This Row],[OrderDate]]</f>
        <v>8</v>
      </c>
      <c r="Y1134" t="str">
        <f>TEXT(Table1[[#This Row],[OrderDate]],"MMMM")</f>
        <v>May</v>
      </c>
      <c r="Z1134" s="5">
        <f>YEAR(Table1[[#This Row],[OrderDate]])</f>
        <v>2024</v>
      </c>
    </row>
    <row r="1135" spans="1:26" x14ac:dyDescent="0.3">
      <c r="A1135" s="1" t="s">
        <v>3283</v>
      </c>
      <c r="B1135" t="s">
        <v>411</v>
      </c>
      <c r="C1135" s="3">
        <v>34</v>
      </c>
      <c r="D1135" s="1" t="s">
        <v>51</v>
      </c>
      <c r="E1135" s="1" t="s">
        <v>229</v>
      </c>
      <c r="F1135" s="1" t="s">
        <v>82</v>
      </c>
      <c r="G1135" s="4">
        <v>44999</v>
      </c>
      <c r="H1135" s="4">
        <v>45006</v>
      </c>
      <c r="I1135" s="1" t="s">
        <v>85</v>
      </c>
      <c r="J1135" s="1" t="s">
        <v>30</v>
      </c>
      <c r="K1135" s="3">
        <v>4</v>
      </c>
      <c r="L1135" s="2">
        <v>77331</v>
      </c>
      <c r="M1135" s="3">
        <v>15</v>
      </c>
      <c r="N1135" s="1" t="s">
        <v>166</v>
      </c>
      <c r="O1135" s="1" t="s">
        <v>32</v>
      </c>
      <c r="P1135" s="1" t="s">
        <v>174</v>
      </c>
      <c r="Q1135" s="1" t="s">
        <v>414</v>
      </c>
      <c r="R1135" s="1" t="s">
        <v>3284</v>
      </c>
      <c r="S1135" s="3">
        <v>4</v>
      </c>
      <c r="T1135" s="1" t="s">
        <v>72</v>
      </c>
      <c r="U1135" s="3">
        <v>464</v>
      </c>
      <c r="V1135" s="1" t="s">
        <v>62</v>
      </c>
      <c r="W1135" s="5">
        <f>Table1[[#This Row],[Quantity]]*Table1[[#This Row],[Price]]*(1-Table1[[#This Row],[Discount %]]/100)</f>
        <v>262925.39999999997</v>
      </c>
      <c r="X1135">
        <f>Table1[[#This Row],[DeliveryDate]]-Table1[[#This Row],[OrderDate]]</f>
        <v>7</v>
      </c>
      <c r="Y1135" t="str">
        <f>TEXT(Table1[[#This Row],[OrderDate]],"MMMM")</f>
        <v>March</v>
      </c>
      <c r="Z1135" s="5">
        <f>YEAR(Table1[[#This Row],[OrderDate]])</f>
        <v>2023</v>
      </c>
    </row>
    <row r="1136" spans="1:26" x14ac:dyDescent="0.3">
      <c r="A1136" s="1" t="s">
        <v>3285</v>
      </c>
      <c r="B1136" t="s">
        <v>156</v>
      </c>
      <c r="C1136" s="3">
        <v>31</v>
      </c>
      <c r="D1136" s="1" t="s">
        <v>24</v>
      </c>
      <c r="E1136" s="1" t="s">
        <v>40</v>
      </c>
      <c r="F1136" s="1" t="s">
        <v>65</v>
      </c>
      <c r="G1136" s="4">
        <v>45567</v>
      </c>
      <c r="H1136" s="4">
        <v>45569</v>
      </c>
      <c r="I1136" s="1" t="s">
        <v>108</v>
      </c>
      <c r="J1136" s="1" t="s">
        <v>44</v>
      </c>
      <c r="K1136" s="3">
        <v>5</v>
      </c>
      <c r="L1136" s="2">
        <v>60306</v>
      </c>
      <c r="M1136" s="3">
        <v>15</v>
      </c>
      <c r="N1136" s="1" t="s">
        <v>45</v>
      </c>
      <c r="O1136" s="1" t="s">
        <v>281</v>
      </c>
      <c r="P1136" s="1" t="s">
        <v>174</v>
      </c>
      <c r="Q1136" s="1" t="s">
        <v>159</v>
      </c>
      <c r="R1136" s="1" t="s">
        <v>3286</v>
      </c>
      <c r="S1136" s="3">
        <v>4</v>
      </c>
      <c r="T1136" s="1" t="s">
        <v>96</v>
      </c>
      <c r="U1136" s="3">
        <v>327</v>
      </c>
      <c r="V1136" s="1" t="s">
        <v>37</v>
      </c>
      <c r="W1136" s="5">
        <f>Table1[[#This Row],[Quantity]]*Table1[[#This Row],[Price]]*(1-Table1[[#This Row],[Discount %]]/100)</f>
        <v>256300.5</v>
      </c>
      <c r="X1136">
        <f>Table1[[#This Row],[DeliveryDate]]-Table1[[#This Row],[OrderDate]]</f>
        <v>2</v>
      </c>
      <c r="Y1136" t="str">
        <f>TEXT(Table1[[#This Row],[OrderDate]],"MMMM")</f>
        <v>October</v>
      </c>
      <c r="Z1136" s="5">
        <f>YEAR(Table1[[#This Row],[OrderDate]])</f>
        <v>2024</v>
      </c>
    </row>
    <row r="1137" spans="1:26" x14ac:dyDescent="0.3">
      <c r="A1137" s="1" t="s">
        <v>3287</v>
      </c>
      <c r="B1137" t="s">
        <v>650</v>
      </c>
      <c r="C1137" s="3">
        <v>19</v>
      </c>
      <c r="D1137" s="1" t="s">
        <v>51</v>
      </c>
      <c r="E1137" s="1" t="s">
        <v>99</v>
      </c>
      <c r="F1137" s="1" t="s">
        <v>91</v>
      </c>
      <c r="G1137" s="4">
        <v>45384</v>
      </c>
      <c r="H1137" s="4">
        <v>45387</v>
      </c>
      <c r="I1137" s="1" t="s">
        <v>108</v>
      </c>
      <c r="J1137" s="1" t="s">
        <v>30</v>
      </c>
      <c r="K1137" s="3">
        <v>5</v>
      </c>
      <c r="L1137" s="2">
        <v>5811</v>
      </c>
      <c r="M1137" s="3">
        <v>10</v>
      </c>
      <c r="N1137" s="1" t="s">
        <v>166</v>
      </c>
      <c r="O1137" s="1" t="s">
        <v>86</v>
      </c>
      <c r="P1137" s="1" t="s">
        <v>69</v>
      </c>
      <c r="Q1137" s="1" t="s">
        <v>653</v>
      </c>
      <c r="R1137" s="1" t="s">
        <v>3288</v>
      </c>
      <c r="S1137" s="3">
        <v>3</v>
      </c>
      <c r="T1137" s="1" t="s">
        <v>96</v>
      </c>
      <c r="U1137" s="3">
        <v>275</v>
      </c>
      <c r="V1137" s="1" t="s">
        <v>62</v>
      </c>
      <c r="W1137" s="5">
        <f>Table1[[#This Row],[Quantity]]*Table1[[#This Row],[Price]]*(1-Table1[[#This Row],[Discount %]]/100)</f>
        <v>26149.5</v>
      </c>
      <c r="X1137">
        <f>Table1[[#This Row],[DeliveryDate]]-Table1[[#This Row],[OrderDate]]</f>
        <v>3</v>
      </c>
      <c r="Y1137" t="str">
        <f>TEXT(Table1[[#This Row],[OrderDate]],"MMMM")</f>
        <v>April</v>
      </c>
      <c r="Z1137" s="5">
        <f>YEAR(Table1[[#This Row],[OrderDate]])</f>
        <v>2024</v>
      </c>
    </row>
    <row r="1138" spans="1:26" x14ac:dyDescent="0.3">
      <c r="A1138" s="1" t="s">
        <v>3289</v>
      </c>
      <c r="B1138" t="s">
        <v>601</v>
      </c>
      <c r="C1138" s="3">
        <v>28</v>
      </c>
      <c r="D1138" s="1" t="s">
        <v>51</v>
      </c>
      <c r="E1138" s="1" t="s">
        <v>25</v>
      </c>
      <c r="F1138" s="1" t="s">
        <v>65</v>
      </c>
      <c r="G1138" s="4">
        <v>45601</v>
      </c>
      <c r="H1138" s="4">
        <v>45605</v>
      </c>
      <c r="I1138" s="1" t="s">
        <v>43</v>
      </c>
      <c r="J1138" s="1" t="s">
        <v>30</v>
      </c>
      <c r="K1138" s="3">
        <v>3</v>
      </c>
      <c r="L1138" s="2">
        <v>28177</v>
      </c>
      <c r="M1138" s="3">
        <v>15</v>
      </c>
      <c r="N1138" s="1" t="s">
        <v>45</v>
      </c>
      <c r="O1138" s="1" t="s">
        <v>173</v>
      </c>
      <c r="P1138" s="1" t="s">
        <v>33</v>
      </c>
      <c r="Q1138" s="1" t="s">
        <v>603</v>
      </c>
      <c r="R1138" s="1" t="s">
        <v>3290</v>
      </c>
      <c r="S1138" s="3">
        <v>4</v>
      </c>
      <c r="T1138" s="1" t="s">
        <v>72</v>
      </c>
      <c r="U1138" s="3">
        <v>54</v>
      </c>
      <c r="V1138" s="1" t="s">
        <v>62</v>
      </c>
      <c r="W1138" s="5">
        <f>Table1[[#This Row],[Quantity]]*Table1[[#This Row],[Price]]*(1-Table1[[#This Row],[Discount %]]/100)</f>
        <v>71851.349999999991</v>
      </c>
      <c r="X1138">
        <f>Table1[[#This Row],[DeliveryDate]]-Table1[[#This Row],[OrderDate]]</f>
        <v>4</v>
      </c>
      <c r="Y1138" t="str">
        <f>TEXT(Table1[[#This Row],[OrderDate]],"MMMM")</f>
        <v>November</v>
      </c>
      <c r="Z1138" s="5">
        <f>YEAR(Table1[[#This Row],[OrderDate]])</f>
        <v>2024</v>
      </c>
    </row>
    <row r="1139" spans="1:26" x14ac:dyDescent="0.3">
      <c r="A1139" s="1" t="s">
        <v>3291</v>
      </c>
      <c r="B1139" t="s">
        <v>601</v>
      </c>
      <c r="C1139" s="3">
        <v>43</v>
      </c>
      <c r="D1139" s="1" t="s">
        <v>51</v>
      </c>
      <c r="E1139" s="1" t="s">
        <v>25</v>
      </c>
      <c r="F1139" s="1" t="s">
        <v>65</v>
      </c>
      <c r="G1139" s="4">
        <v>45179</v>
      </c>
      <c r="H1139" s="4">
        <v>45185</v>
      </c>
      <c r="I1139" s="1" t="s">
        <v>29</v>
      </c>
      <c r="J1139" s="1" t="s">
        <v>44</v>
      </c>
      <c r="K1139" s="3">
        <v>5</v>
      </c>
      <c r="L1139" s="2">
        <v>70690</v>
      </c>
      <c r="M1139" s="3">
        <v>5</v>
      </c>
      <c r="N1139" s="1" t="s">
        <v>56</v>
      </c>
      <c r="O1139" s="1" t="s">
        <v>281</v>
      </c>
      <c r="P1139" s="1" t="s">
        <v>174</v>
      </c>
      <c r="Q1139" s="1" t="s">
        <v>603</v>
      </c>
      <c r="R1139" s="1" t="s">
        <v>3292</v>
      </c>
      <c r="S1139" s="3">
        <v>1</v>
      </c>
      <c r="T1139" s="1" t="s">
        <v>96</v>
      </c>
      <c r="U1139" s="3">
        <v>139</v>
      </c>
      <c r="V1139" s="1" t="s">
        <v>79</v>
      </c>
      <c r="W1139" s="5">
        <f>Table1[[#This Row],[Quantity]]*Table1[[#This Row],[Price]]*(1-Table1[[#This Row],[Discount %]]/100)</f>
        <v>335777.5</v>
      </c>
      <c r="X1139">
        <f>Table1[[#This Row],[DeliveryDate]]-Table1[[#This Row],[OrderDate]]</f>
        <v>6</v>
      </c>
      <c r="Y1139" t="str">
        <f>TEXT(Table1[[#This Row],[OrderDate]],"MMMM")</f>
        <v>September</v>
      </c>
      <c r="Z1139" s="5">
        <f>YEAR(Table1[[#This Row],[OrderDate]])</f>
        <v>2023</v>
      </c>
    </row>
    <row r="1140" spans="1:26" x14ac:dyDescent="0.3">
      <c r="A1140" s="1" t="s">
        <v>3293</v>
      </c>
      <c r="B1140" t="s">
        <v>309</v>
      </c>
      <c r="C1140" s="3">
        <v>32</v>
      </c>
      <c r="D1140" s="1" t="s">
        <v>51</v>
      </c>
      <c r="E1140" s="1" t="s">
        <v>25</v>
      </c>
      <c r="F1140" s="1" t="s">
        <v>26</v>
      </c>
      <c r="G1140" s="4">
        <v>45167</v>
      </c>
      <c r="H1140" s="4">
        <v>45169</v>
      </c>
      <c r="I1140" s="1" t="s">
        <v>29</v>
      </c>
      <c r="J1140" s="1" t="s">
        <v>30</v>
      </c>
      <c r="K1140" s="3">
        <v>1</v>
      </c>
      <c r="L1140" s="2">
        <v>5827</v>
      </c>
      <c r="M1140" s="3">
        <v>0</v>
      </c>
      <c r="N1140" s="1" t="s">
        <v>56</v>
      </c>
      <c r="O1140" s="1" t="s">
        <v>86</v>
      </c>
      <c r="P1140" s="1" t="s">
        <v>174</v>
      </c>
      <c r="Q1140" s="1" t="s">
        <v>3415</v>
      </c>
      <c r="R1140" s="1" t="s">
        <v>3294</v>
      </c>
      <c r="S1140" s="3">
        <v>4</v>
      </c>
      <c r="T1140" s="1" t="s">
        <v>96</v>
      </c>
      <c r="U1140" s="3">
        <v>474</v>
      </c>
      <c r="V1140" s="1" t="s">
        <v>62</v>
      </c>
      <c r="W1140" s="5">
        <f>Table1[[#This Row],[Quantity]]*Table1[[#This Row],[Price]]*(1-Table1[[#This Row],[Discount %]]/100)</f>
        <v>5827</v>
      </c>
      <c r="X1140">
        <f>Table1[[#This Row],[DeliveryDate]]-Table1[[#This Row],[OrderDate]]</f>
        <v>2</v>
      </c>
      <c r="Y1140" t="str">
        <f>TEXT(Table1[[#This Row],[OrderDate]],"MMMM")</f>
        <v>August</v>
      </c>
      <c r="Z1140" s="5">
        <f>YEAR(Table1[[#This Row],[OrderDate]])</f>
        <v>2023</v>
      </c>
    </row>
    <row r="1141" spans="1:26" x14ac:dyDescent="0.3">
      <c r="A1141" s="1" t="s">
        <v>3295</v>
      </c>
      <c r="B1141" t="s">
        <v>471</v>
      </c>
      <c r="C1141" s="3">
        <v>26</v>
      </c>
      <c r="D1141" s="1" t="s">
        <v>24</v>
      </c>
      <c r="E1141" s="1" t="s">
        <v>52</v>
      </c>
      <c r="F1141" s="1" t="s">
        <v>65</v>
      </c>
      <c r="G1141" s="4">
        <v>45532</v>
      </c>
      <c r="H1141" s="4">
        <v>45533</v>
      </c>
      <c r="I1141" s="1" t="s">
        <v>43</v>
      </c>
      <c r="J1141" s="1" t="s">
        <v>30</v>
      </c>
      <c r="K1141" s="3">
        <v>4</v>
      </c>
      <c r="L1141" s="2">
        <v>31875</v>
      </c>
      <c r="M1141" s="3">
        <v>5</v>
      </c>
      <c r="N1141" s="1" t="s">
        <v>56</v>
      </c>
      <c r="O1141" s="1" t="s">
        <v>102</v>
      </c>
      <c r="P1141" s="1" t="s">
        <v>69</v>
      </c>
      <c r="Q1141" s="1" t="s">
        <v>495</v>
      </c>
      <c r="R1141" s="1" t="s">
        <v>3296</v>
      </c>
      <c r="S1141" s="3">
        <v>4</v>
      </c>
      <c r="T1141" s="1" t="s">
        <v>72</v>
      </c>
      <c r="U1141" s="3">
        <v>461</v>
      </c>
      <c r="V1141" s="1" t="s">
        <v>37</v>
      </c>
      <c r="W1141" s="5">
        <f>Table1[[#This Row],[Quantity]]*Table1[[#This Row],[Price]]*(1-Table1[[#This Row],[Discount %]]/100)</f>
        <v>121125</v>
      </c>
      <c r="X1141">
        <f>Table1[[#This Row],[DeliveryDate]]-Table1[[#This Row],[OrderDate]]</f>
        <v>1</v>
      </c>
      <c r="Y1141" t="str">
        <f>TEXT(Table1[[#This Row],[OrderDate]],"MMMM")</f>
        <v>August</v>
      </c>
      <c r="Z1141" s="5">
        <f>YEAR(Table1[[#This Row],[OrderDate]])</f>
        <v>2024</v>
      </c>
    </row>
    <row r="1142" spans="1:26" x14ac:dyDescent="0.3">
      <c r="A1142" s="1" t="s">
        <v>3297</v>
      </c>
      <c r="B1142" t="s">
        <v>1443</v>
      </c>
      <c r="C1142" s="3">
        <v>60</v>
      </c>
      <c r="D1142" s="1" t="s">
        <v>24</v>
      </c>
      <c r="E1142" s="1" t="s">
        <v>25</v>
      </c>
      <c r="F1142" s="1" t="s">
        <v>26</v>
      </c>
      <c r="G1142" s="4">
        <v>45066</v>
      </c>
      <c r="H1142" s="4">
        <v>45072</v>
      </c>
      <c r="I1142" s="1" t="s">
        <v>93</v>
      </c>
      <c r="J1142" s="1" t="s">
        <v>44</v>
      </c>
      <c r="K1142" s="3">
        <v>3</v>
      </c>
      <c r="L1142" s="2">
        <v>79059</v>
      </c>
      <c r="M1142" s="3">
        <v>10</v>
      </c>
      <c r="N1142" s="1" t="s">
        <v>166</v>
      </c>
      <c r="O1142" s="1" t="s">
        <v>173</v>
      </c>
      <c r="P1142" s="1" t="s">
        <v>69</v>
      </c>
      <c r="Q1142" s="1" t="s">
        <v>1444</v>
      </c>
      <c r="R1142" s="1" t="s">
        <v>3298</v>
      </c>
      <c r="S1142" s="3">
        <v>4</v>
      </c>
      <c r="T1142" s="1" t="s">
        <v>96</v>
      </c>
      <c r="U1142" s="3">
        <v>314</v>
      </c>
      <c r="V1142" s="1" t="s">
        <v>37</v>
      </c>
      <c r="W1142" s="5">
        <f>Table1[[#This Row],[Quantity]]*Table1[[#This Row],[Price]]*(1-Table1[[#This Row],[Discount %]]/100)</f>
        <v>213459.30000000002</v>
      </c>
      <c r="X1142">
        <f>Table1[[#This Row],[DeliveryDate]]-Table1[[#This Row],[OrderDate]]</f>
        <v>6</v>
      </c>
      <c r="Y1142" t="str">
        <f>TEXT(Table1[[#This Row],[OrderDate]],"MMMM")</f>
        <v>May</v>
      </c>
      <c r="Z1142" s="5">
        <f>YEAR(Table1[[#This Row],[OrderDate]])</f>
        <v>2023</v>
      </c>
    </row>
    <row r="1143" spans="1:26" x14ac:dyDescent="0.3">
      <c r="A1143" s="1" t="s">
        <v>3299</v>
      </c>
      <c r="B1143" t="s">
        <v>660</v>
      </c>
      <c r="C1143" s="3">
        <v>51</v>
      </c>
      <c r="D1143" s="1" t="s">
        <v>24</v>
      </c>
      <c r="E1143" s="1" t="s">
        <v>26</v>
      </c>
      <c r="F1143" s="1" t="s">
        <v>26</v>
      </c>
      <c r="G1143" s="4">
        <v>45045</v>
      </c>
      <c r="H1143" s="4">
        <v>45048</v>
      </c>
      <c r="I1143" s="1" t="s">
        <v>93</v>
      </c>
      <c r="J1143" s="1" t="s">
        <v>44</v>
      </c>
      <c r="K1143" s="3">
        <v>2</v>
      </c>
      <c r="L1143" s="2">
        <v>65353</v>
      </c>
      <c r="M1143" s="3">
        <v>10</v>
      </c>
      <c r="N1143" s="1" t="s">
        <v>56</v>
      </c>
      <c r="O1143" s="1" t="s">
        <v>68</v>
      </c>
      <c r="P1143" s="1" t="s">
        <v>174</v>
      </c>
      <c r="Q1143" s="1" t="s">
        <v>662</v>
      </c>
      <c r="R1143" s="1" t="s">
        <v>3300</v>
      </c>
      <c r="S1143" s="3">
        <v>5</v>
      </c>
      <c r="T1143" s="1" t="s">
        <v>72</v>
      </c>
      <c r="U1143" s="3">
        <v>93</v>
      </c>
      <c r="V1143" s="1" t="s">
        <v>79</v>
      </c>
      <c r="W1143" s="5">
        <f>Table1[[#This Row],[Quantity]]*Table1[[#This Row],[Price]]*(1-Table1[[#This Row],[Discount %]]/100)</f>
        <v>117635.40000000001</v>
      </c>
      <c r="X1143">
        <f>Table1[[#This Row],[DeliveryDate]]-Table1[[#This Row],[OrderDate]]</f>
        <v>3</v>
      </c>
      <c r="Y1143" t="str">
        <f>TEXT(Table1[[#This Row],[OrderDate]],"MMMM")</f>
        <v>April</v>
      </c>
      <c r="Z1143" s="5">
        <f>YEAR(Table1[[#This Row],[OrderDate]])</f>
        <v>2023</v>
      </c>
    </row>
    <row r="1144" spans="1:26" x14ac:dyDescent="0.3">
      <c r="A1144" s="1" t="s">
        <v>3301</v>
      </c>
      <c r="B1144" t="s">
        <v>50</v>
      </c>
      <c r="C1144" s="3">
        <v>21</v>
      </c>
      <c r="D1144" s="1" t="s">
        <v>51</v>
      </c>
      <c r="E1144" s="1" t="s">
        <v>131</v>
      </c>
      <c r="F1144" s="1" t="s">
        <v>53</v>
      </c>
      <c r="G1144" s="4">
        <v>45504</v>
      </c>
      <c r="H1144" s="4">
        <v>45512</v>
      </c>
      <c r="I1144" s="1" t="s">
        <v>29</v>
      </c>
      <c r="J1144" s="1" t="s">
        <v>30</v>
      </c>
      <c r="K1144" s="3">
        <v>1</v>
      </c>
      <c r="L1144" s="2">
        <v>67906</v>
      </c>
      <c r="M1144" s="3">
        <v>0</v>
      </c>
      <c r="N1144" s="1" t="s">
        <v>45</v>
      </c>
      <c r="O1144" s="1" t="s">
        <v>281</v>
      </c>
      <c r="P1144" s="1" t="s">
        <v>174</v>
      </c>
      <c r="Q1144" s="1" t="s">
        <v>3415</v>
      </c>
      <c r="R1144" s="1" t="s">
        <v>3302</v>
      </c>
      <c r="S1144" s="3">
        <v>4</v>
      </c>
      <c r="T1144" s="1" t="s">
        <v>36</v>
      </c>
      <c r="U1144" s="3">
        <v>444</v>
      </c>
      <c r="V1144" s="1" t="s">
        <v>37</v>
      </c>
      <c r="W1144" s="5">
        <f>Table1[[#This Row],[Quantity]]*Table1[[#This Row],[Price]]*(1-Table1[[#This Row],[Discount %]]/100)</f>
        <v>67906</v>
      </c>
      <c r="X1144">
        <f>Table1[[#This Row],[DeliveryDate]]-Table1[[#This Row],[OrderDate]]</f>
        <v>8</v>
      </c>
      <c r="Y1144" t="str">
        <f>TEXT(Table1[[#This Row],[OrderDate]],"MMMM")</f>
        <v>July</v>
      </c>
      <c r="Z1144" s="5">
        <f>YEAR(Table1[[#This Row],[OrderDate]])</f>
        <v>2024</v>
      </c>
    </row>
    <row r="1145" spans="1:26" x14ac:dyDescent="0.3">
      <c r="A1145" s="1" t="s">
        <v>3303</v>
      </c>
      <c r="B1145" t="s">
        <v>637</v>
      </c>
      <c r="C1145" s="3">
        <v>29</v>
      </c>
      <c r="D1145" s="1" t="s">
        <v>24</v>
      </c>
      <c r="E1145" s="1" t="s">
        <v>52</v>
      </c>
      <c r="F1145" s="1" t="s">
        <v>53</v>
      </c>
      <c r="G1145" s="4">
        <v>45331</v>
      </c>
      <c r="H1145" s="4">
        <v>45337</v>
      </c>
      <c r="I1145" s="1" t="s">
        <v>29</v>
      </c>
      <c r="J1145" s="1" t="s">
        <v>30</v>
      </c>
      <c r="K1145" s="3">
        <v>2</v>
      </c>
      <c r="L1145" s="2">
        <v>31774</v>
      </c>
      <c r="M1145" s="3">
        <v>10</v>
      </c>
      <c r="N1145" s="1" t="s">
        <v>56</v>
      </c>
      <c r="O1145" s="1" t="s">
        <v>46</v>
      </c>
      <c r="P1145" s="1" t="s">
        <v>58</v>
      </c>
      <c r="Q1145" s="1" t="s">
        <v>2248</v>
      </c>
      <c r="R1145" s="1" t="s">
        <v>3415</v>
      </c>
      <c r="S1145" s="3">
        <v>5</v>
      </c>
      <c r="T1145" s="1" t="s">
        <v>96</v>
      </c>
      <c r="U1145" s="3">
        <v>461</v>
      </c>
      <c r="V1145" s="1" t="s">
        <v>79</v>
      </c>
      <c r="W1145" s="5">
        <f>Table1[[#This Row],[Quantity]]*Table1[[#This Row],[Price]]*(1-Table1[[#This Row],[Discount %]]/100)</f>
        <v>57193.200000000004</v>
      </c>
      <c r="X1145">
        <f>Table1[[#This Row],[DeliveryDate]]-Table1[[#This Row],[OrderDate]]</f>
        <v>6</v>
      </c>
      <c r="Y1145" t="str">
        <f>TEXT(Table1[[#This Row],[OrderDate]],"MMMM")</f>
        <v>February</v>
      </c>
      <c r="Z1145" s="5">
        <f>YEAR(Table1[[#This Row],[OrderDate]])</f>
        <v>2024</v>
      </c>
    </row>
    <row r="1146" spans="1:26" x14ac:dyDescent="0.3">
      <c r="A1146" s="1" t="s">
        <v>3305</v>
      </c>
      <c r="B1146" t="s">
        <v>105</v>
      </c>
      <c r="C1146" s="3">
        <v>43</v>
      </c>
      <c r="D1146" s="1" t="s">
        <v>24</v>
      </c>
      <c r="E1146" s="1" t="s">
        <v>142</v>
      </c>
      <c r="F1146" s="1" t="s">
        <v>91</v>
      </c>
      <c r="G1146" s="4">
        <v>45082</v>
      </c>
      <c r="H1146" s="4">
        <v>45090</v>
      </c>
      <c r="I1146" s="1" t="s">
        <v>43</v>
      </c>
      <c r="J1146" s="1" t="s">
        <v>30</v>
      </c>
      <c r="K1146" s="3">
        <v>1</v>
      </c>
      <c r="L1146" s="2">
        <v>6375</v>
      </c>
      <c r="M1146" s="3">
        <v>10</v>
      </c>
      <c r="N1146" s="1" t="s">
        <v>56</v>
      </c>
      <c r="O1146" s="1" t="s">
        <v>173</v>
      </c>
      <c r="P1146" s="1" t="s">
        <v>174</v>
      </c>
      <c r="Q1146" s="1" t="s">
        <v>3415</v>
      </c>
      <c r="R1146" s="1" t="s">
        <v>3306</v>
      </c>
      <c r="S1146" s="3">
        <v>5</v>
      </c>
      <c r="T1146" s="1" t="s">
        <v>96</v>
      </c>
      <c r="U1146" s="3">
        <v>221</v>
      </c>
      <c r="V1146" s="1" t="s">
        <v>37</v>
      </c>
      <c r="W1146" s="5">
        <f>Table1[[#This Row],[Quantity]]*Table1[[#This Row],[Price]]*(1-Table1[[#This Row],[Discount %]]/100)</f>
        <v>5737.5</v>
      </c>
      <c r="X1146">
        <f>Table1[[#This Row],[DeliveryDate]]-Table1[[#This Row],[OrderDate]]</f>
        <v>8</v>
      </c>
      <c r="Y1146" t="str">
        <f>TEXT(Table1[[#This Row],[OrderDate]],"MMMM")</f>
        <v>June</v>
      </c>
      <c r="Z1146" s="5">
        <f>YEAR(Table1[[#This Row],[OrderDate]])</f>
        <v>2023</v>
      </c>
    </row>
    <row r="1147" spans="1:26" x14ac:dyDescent="0.3">
      <c r="A1147" s="1" t="s">
        <v>3307</v>
      </c>
      <c r="B1147" t="s">
        <v>954</v>
      </c>
      <c r="C1147" s="3">
        <v>43</v>
      </c>
      <c r="D1147" s="1" t="s">
        <v>51</v>
      </c>
      <c r="E1147" s="1" t="s">
        <v>229</v>
      </c>
      <c r="F1147" s="1" t="s">
        <v>53</v>
      </c>
      <c r="G1147" s="4">
        <v>45298</v>
      </c>
      <c r="H1147" s="4">
        <v>45308</v>
      </c>
      <c r="I1147" s="1" t="s">
        <v>93</v>
      </c>
      <c r="J1147" s="1" t="s">
        <v>44</v>
      </c>
      <c r="K1147" s="3">
        <v>3</v>
      </c>
      <c r="L1147" s="2">
        <v>59034</v>
      </c>
      <c r="M1147" s="3">
        <v>0</v>
      </c>
      <c r="N1147" s="1" t="s">
        <v>31</v>
      </c>
      <c r="O1147" s="1" t="s">
        <v>173</v>
      </c>
      <c r="P1147" s="1" t="s">
        <v>69</v>
      </c>
      <c r="Q1147" s="1" t="s">
        <v>536</v>
      </c>
      <c r="R1147" s="1" t="s">
        <v>3308</v>
      </c>
      <c r="S1147" s="3">
        <v>1</v>
      </c>
      <c r="T1147" s="1" t="s">
        <v>96</v>
      </c>
      <c r="U1147" s="3">
        <v>374</v>
      </c>
      <c r="V1147" s="1" t="s">
        <v>37</v>
      </c>
      <c r="W1147" s="5">
        <f>Table1[[#This Row],[Quantity]]*Table1[[#This Row],[Price]]*(1-Table1[[#This Row],[Discount %]]/100)</f>
        <v>177102</v>
      </c>
      <c r="X1147">
        <f>Table1[[#This Row],[DeliveryDate]]-Table1[[#This Row],[OrderDate]]</f>
        <v>10</v>
      </c>
      <c r="Y1147" t="str">
        <f>TEXT(Table1[[#This Row],[OrderDate]],"MMMM")</f>
        <v>January</v>
      </c>
      <c r="Z1147" s="5">
        <f>YEAR(Table1[[#This Row],[OrderDate]])</f>
        <v>2024</v>
      </c>
    </row>
    <row r="1148" spans="1:26" x14ac:dyDescent="0.3">
      <c r="A1148" s="1" t="s">
        <v>3309</v>
      </c>
      <c r="B1148" t="s">
        <v>382</v>
      </c>
      <c r="C1148" s="3">
        <v>60</v>
      </c>
      <c r="D1148" s="1" t="s">
        <v>24</v>
      </c>
      <c r="E1148" s="1" t="s">
        <v>26</v>
      </c>
      <c r="F1148" s="1" t="s">
        <v>91</v>
      </c>
      <c r="G1148" s="4">
        <v>45218</v>
      </c>
      <c r="H1148" s="4">
        <v>45224</v>
      </c>
      <c r="I1148" s="1" t="s">
        <v>85</v>
      </c>
      <c r="J1148" s="1" t="s">
        <v>30</v>
      </c>
      <c r="K1148" s="3">
        <v>2</v>
      </c>
      <c r="L1148" s="2">
        <v>67098</v>
      </c>
      <c r="M1148" s="3">
        <v>5</v>
      </c>
      <c r="N1148" s="1" t="s">
        <v>31</v>
      </c>
      <c r="O1148" s="1" t="s">
        <v>133</v>
      </c>
      <c r="P1148" s="1" t="s">
        <v>69</v>
      </c>
      <c r="Q1148" s="1" t="s">
        <v>385</v>
      </c>
      <c r="R1148" s="1" t="s">
        <v>3310</v>
      </c>
      <c r="S1148" s="3">
        <v>5</v>
      </c>
      <c r="T1148" s="1" t="s">
        <v>61</v>
      </c>
      <c r="U1148" s="3">
        <v>163</v>
      </c>
      <c r="V1148" s="1" t="s">
        <v>37</v>
      </c>
      <c r="W1148" s="5">
        <f>Table1[[#This Row],[Quantity]]*Table1[[#This Row],[Price]]*(1-Table1[[#This Row],[Discount %]]/100)</f>
        <v>127486.2</v>
      </c>
      <c r="X1148">
        <f>Table1[[#This Row],[DeliveryDate]]-Table1[[#This Row],[OrderDate]]</f>
        <v>6</v>
      </c>
      <c r="Y1148" t="str">
        <f>TEXT(Table1[[#This Row],[OrderDate]],"MMMM")</f>
        <v>October</v>
      </c>
      <c r="Z1148" s="5">
        <f>YEAR(Table1[[#This Row],[OrderDate]])</f>
        <v>2023</v>
      </c>
    </row>
    <row r="1149" spans="1:26" x14ac:dyDescent="0.3">
      <c r="A1149" s="1" t="s">
        <v>3311</v>
      </c>
      <c r="B1149" t="s">
        <v>424</v>
      </c>
      <c r="C1149" s="3">
        <v>28</v>
      </c>
      <c r="D1149" s="1" t="s">
        <v>51</v>
      </c>
      <c r="E1149" s="1" t="s">
        <v>40</v>
      </c>
      <c r="F1149" s="1" t="s">
        <v>26</v>
      </c>
      <c r="G1149" s="4">
        <v>45025</v>
      </c>
      <c r="H1149" s="4">
        <v>45026</v>
      </c>
      <c r="I1149" s="1" t="s">
        <v>93</v>
      </c>
      <c r="J1149" s="1" t="s">
        <v>30</v>
      </c>
      <c r="K1149" s="3">
        <v>5</v>
      </c>
      <c r="L1149" s="2">
        <v>55955</v>
      </c>
      <c r="M1149" s="3">
        <v>0</v>
      </c>
      <c r="N1149" s="1" t="s">
        <v>31</v>
      </c>
      <c r="O1149" s="1" t="s">
        <v>32</v>
      </c>
      <c r="P1149" s="1" t="s">
        <v>33</v>
      </c>
      <c r="Q1149" s="1" t="s">
        <v>427</v>
      </c>
      <c r="R1149" s="1" t="s">
        <v>3312</v>
      </c>
      <c r="S1149" s="3">
        <v>2</v>
      </c>
      <c r="T1149" s="1" t="s">
        <v>72</v>
      </c>
      <c r="U1149" s="3">
        <v>223</v>
      </c>
      <c r="V1149" s="1" t="s">
        <v>79</v>
      </c>
      <c r="W1149" s="5">
        <f>Table1[[#This Row],[Quantity]]*Table1[[#This Row],[Price]]*(1-Table1[[#This Row],[Discount %]]/100)</f>
        <v>279775</v>
      </c>
      <c r="X1149">
        <f>Table1[[#This Row],[DeliveryDate]]-Table1[[#This Row],[OrderDate]]</f>
        <v>1</v>
      </c>
      <c r="Y1149" t="str">
        <f>TEXT(Table1[[#This Row],[OrderDate]],"MMMM")</f>
        <v>April</v>
      </c>
      <c r="Z1149" s="5">
        <f>YEAR(Table1[[#This Row],[OrderDate]])</f>
        <v>2023</v>
      </c>
    </row>
    <row r="1150" spans="1:26" x14ac:dyDescent="0.3">
      <c r="A1150" s="1" t="s">
        <v>3313</v>
      </c>
      <c r="B1150" t="s">
        <v>228</v>
      </c>
      <c r="C1150" s="3">
        <v>20</v>
      </c>
      <c r="D1150" s="1" t="s">
        <v>24</v>
      </c>
      <c r="E1150" s="1" t="s">
        <v>229</v>
      </c>
      <c r="F1150" s="1" t="s">
        <v>91</v>
      </c>
      <c r="G1150" s="4">
        <v>45345</v>
      </c>
      <c r="H1150" s="4">
        <v>45351</v>
      </c>
      <c r="I1150" s="1" t="s">
        <v>93</v>
      </c>
      <c r="J1150" s="1" t="s">
        <v>30</v>
      </c>
      <c r="K1150" s="3">
        <v>2</v>
      </c>
      <c r="L1150" s="2">
        <v>51580</v>
      </c>
      <c r="M1150" s="3">
        <v>5</v>
      </c>
      <c r="N1150" s="1" t="s">
        <v>45</v>
      </c>
      <c r="O1150" s="1" t="s">
        <v>281</v>
      </c>
      <c r="P1150" s="1" t="s">
        <v>69</v>
      </c>
      <c r="Q1150" s="1" t="s">
        <v>3415</v>
      </c>
      <c r="R1150" s="1" t="s">
        <v>3415</v>
      </c>
      <c r="S1150" s="3">
        <v>5</v>
      </c>
      <c r="T1150" s="1" t="s">
        <v>36</v>
      </c>
      <c r="U1150" s="3">
        <v>251</v>
      </c>
      <c r="V1150" s="1" t="s">
        <v>62</v>
      </c>
      <c r="W1150" s="5">
        <f>Table1[[#This Row],[Quantity]]*Table1[[#This Row],[Price]]*(1-Table1[[#This Row],[Discount %]]/100)</f>
        <v>98002</v>
      </c>
      <c r="X1150">
        <f>Table1[[#This Row],[DeliveryDate]]-Table1[[#This Row],[OrderDate]]</f>
        <v>6</v>
      </c>
      <c r="Y1150" t="str">
        <f>TEXT(Table1[[#This Row],[OrderDate]],"MMMM")</f>
        <v>February</v>
      </c>
      <c r="Z1150" s="5">
        <f>YEAR(Table1[[#This Row],[OrderDate]])</f>
        <v>2024</v>
      </c>
    </row>
    <row r="1151" spans="1:26" x14ac:dyDescent="0.3">
      <c r="A1151" s="1" t="s">
        <v>3314</v>
      </c>
      <c r="B1151" t="s">
        <v>344</v>
      </c>
      <c r="C1151" s="3">
        <v>60</v>
      </c>
      <c r="D1151" s="1" t="s">
        <v>51</v>
      </c>
      <c r="E1151" s="1" t="s">
        <v>25</v>
      </c>
      <c r="F1151" s="1" t="s">
        <v>65</v>
      </c>
      <c r="G1151" s="4">
        <v>45582</v>
      </c>
      <c r="H1151" s="4">
        <v>45589</v>
      </c>
      <c r="I1151" s="1" t="s">
        <v>43</v>
      </c>
      <c r="J1151" s="1" t="s">
        <v>30</v>
      </c>
      <c r="K1151" s="3">
        <v>3</v>
      </c>
      <c r="L1151" s="2">
        <v>33140</v>
      </c>
      <c r="M1151" s="3">
        <v>5</v>
      </c>
      <c r="N1151" s="1" t="s">
        <v>31</v>
      </c>
      <c r="O1151" s="1" t="s">
        <v>32</v>
      </c>
      <c r="P1151" s="1" t="s">
        <v>174</v>
      </c>
      <c r="Q1151" s="1" t="s">
        <v>3415</v>
      </c>
      <c r="R1151" s="1" t="s">
        <v>3316</v>
      </c>
      <c r="S1151" s="3">
        <v>4</v>
      </c>
      <c r="T1151" s="1" t="s">
        <v>36</v>
      </c>
      <c r="U1151" s="3">
        <v>65</v>
      </c>
      <c r="V1151" s="1" t="s">
        <v>37</v>
      </c>
      <c r="W1151" s="5">
        <f>Table1[[#This Row],[Quantity]]*Table1[[#This Row],[Price]]*(1-Table1[[#This Row],[Discount %]]/100)</f>
        <v>94449</v>
      </c>
      <c r="X1151">
        <f>Table1[[#This Row],[DeliveryDate]]-Table1[[#This Row],[OrderDate]]</f>
        <v>7</v>
      </c>
      <c r="Y1151" t="str">
        <f>TEXT(Table1[[#This Row],[OrderDate]],"MMMM")</f>
        <v>October</v>
      </c>
      <c r="Z1151" s="5">
        <f>YEAR(Table1[[#This Row],[OrderDate]])</f>
        <v>2024</v>
      </c>
    </row>
    <row r="1152" spans="1:26" x14ac:dyDescent="0.3">
      <c r="A1152" s="1" t="s">
        <v>3317</v>
      </c>
      <c r="B1152" t="s">
        <v>64</v>
      </c>
      <c r="C1152" s="3">
        <v>42</v>
      </c>
      <c r="D1152" s="1" t="s">
        <v>51</v>
      </c>
      <c r="E1152" s="1" t="s">
        <v>142</v>
      </c>
      <c r="F1152" s="1" t="s">
        <v>91</v>
      </c>
      <c r="G1152" s="4">
        <v>45189</v>
      </c>
      <c r="H1152" s="4">
        <v>45199</v>
      </c>
      <c r="I1152" s="1" t="s">
        <v>108</v>
      </c>
      <c r="J1152" s="1" t="s">
        <v>44</v>
      </c>
      <c r="K1152" s="3">
        <v>2.9447852760736195</v>
      </c>
      <c r="L1152" s="2">
        <v>23043</v>
      </c>
      <c r="M1152" s="3">
        <v>0</v>
      </c>
      <c r="N1152" s="1" t="s">
        <v>45</v>
      </c>
      <c r="O1152" s="1" t="s">
        <v>68</v>
      </c>
      <c r="P1152" s="1" t="s">
        <v>33</v>
      </c>
      <c r="Q1152" s="1" t="s">
        <v>70</v>
      </c>
      <c r="R1152" s="1" t="s">
        <v>3415</v>
      </c>
      <c r="S1152" s="3">
        <v>5</v>
      </c>
      <c r="T1152" s="1" t="s">
        <v>36</v>
      </c>
      <c r="U1152" s="3">
        <v>420</v>
      </c>
      <c r="V1152" s="1" t="s">
        <v>37</v>
      </c>
      <c r="W1152" s="5">
        <f>Table1[[#This Row],[Quantity]]*Table1[[#This Row],[Price]]*(1-Table1[[#This Row],[Discount %]]/100)</f>
        <v>67856.687116564412</v>
      </c>
      <c r="X1152">
        <f>Table1[[#This Row],[DeliveryDate]]-Table1[[#This Row],[OrderDate]]</f>
        <v>10</v>
      </c>
      <c r="Y1152" t="str">
        <f>TEXT(Table1[[#This Row],[OrderDate]],"MMMM")</f>
        <v>September</v>
      </c>
      <c r="Z1152" s="5">
        <f>YEAR(Table1[[#This Row],[OrderDate]])</f>
        <v>2023</v>
      </c>
    </row>
    <row r="1153" spans="1:26" x14ac:dyDescent="0.3">
      <c r="A1153" s="1" t="s">
        <v>3318</v>
      </c>
      <c r="B1153" t="s">
        <v>570</v>
      </c>
      <c r="C1153" s="3">
        <v>58</v>
      </c>
      <c r="D1153" s="1" t="s">
        <v>24</v>
      </c>
      <c r="E1153" s="1" t="s">
        <v>99</v>
      </c>
      <c r="F1153" s="1" t="s">
        <v>82</v>
      </c>
      <c r="G1153" s="4">
        <v>44991</v>
      </c>
      <c r="H1153" s="4">
        <v>44994</v>
      </c>
      <c r="I1153" s="1" t="s">
        <v>43</v>
      </c>
      <c r="J1153" s="1" t="s">
        <v>30</v>
      </c>
      <c r="K1153" s="3">
        <v>3</v>
      </c>
      <c r="L1153" s="2">
        <v>44665</v>
      </c>
      <c r="M1153" s="3">
        <v>0</v>
      </c>
      <c r="N1153" s="1" t="s">
        <v>31</v>
      </c>
      <c r="O1153" s="1" t="s">
        <v>86</v>
      </c>
      <c r="P1153" s="1" t="s">
        <v>69</v>
      </c>
      <c r="Q1153" s="1" t="s">
        <v>573</v>
      </c>
      <c r="R1153" s="1" t="s">
        <v>3415</v>
      </c>
      <c r="S1153" s="3">
        <v>2</v>
      </c>
      <c r="T1153" s="1" t="s">
        <v>96</v>
      </c>
      <c r="U1153" s="3">
        <v>321</v>
      </c>
      <c r="V1153" s="1" t="s">
        <v>79</v>
      </c>
      <c r="W1153" s="5">
        <f>Table1[[#This Row],[Quantity]]*Table1[[#This Row],[Price]]*(1-Table1[[#This Row],[Discount %]]/100)</f>
        <v>133995</v>
      </c>
      <c r="X1153">
        <f>Table1[[#This Row],[DeliveryDate]]-Table1[[#This Row],[OrderDate]]</f>
        <v>3</v>
      </c>
      <c r="Y1153" t="str">
        <f>TEXT(Table1[[#This Row],[OrderDate]],"MMMM")</f>
        <v>March</v>
      </c>
      <c r="Z1153" s="5">
        <f>YEAR(Table1[[#This Row],[OrderDate]])</f>
        <v>2023</v>
      </c>
    </row>
    <row r="1154" spans="1:26" x14ac:dyDescent="0.3">
      <c r="A1154" s="1" t="s">
        <v>3319</v>
      </c>
      <c r="B1154" t="s">
        <v>689</v>
      </c>
      <c r="C1154" s="3">
        <v>52</v>
      </c>
      <c r="D1154" s="1" t="s">
        <v>51</v>
      </c>
      <c r="E1154" s="1" t="s">
        <v>99</v>
      </c>
      <c r="F1154" s="1" t="s">
        <v>82</v>
      </c>
      <c r="G1154" s="4">
        <v>45341</v>
      </c>
      <c r="H1154" s="4">
        <v>45344</v>
      </c>
      <c r="I1154" s="1" t="s">
        <v>93</v>
      </c>
      <c r="J1154" s="1" t="s">
        <v>30</v>
      </c>
      <c r="K1154" s="3">
        <v>2.9447852760736195</v>
      </c>
      <c r="L1154" s="2">
        <v>33067</v>
      </c>
      <c r="M1154" s="3">
        <v>15</v>
      </c>
      <c r="N1154" s="1" t="s">
        <v>31</v>
      </c>
      <c r="O1154" s="1" t="s">
        <v>102</v>
      </c>
      <c r="P1154" s="1" t="s">
        <v>33</v>
      </c>
      <c r="Q1154" s="1" t="s">
        <v>1105</v>
      </c>
      <c r="R1154" s="1" t="s">
        <v>3320</v>
      </c>
      <c r="S1154" s="3">
        <v>1</v>
      </c>
      <c r="T1154" s="1" t="s">
        <v>96</v>
      </c>
      <c r="U1154" s="3">
        <v>491</v>
      </c>
      <c r="V1154" s="1" t="s">
        <v>62</v>
      </c>
      <c r="W1154" s="5">
        <f>Table1[[#This Row],[Quantity]]*Table1[[#This Row],[Price]]*(1-Table1[[#This Row],[Discount %]]/100)</f>
        <v>82768.932515337408</v>
      </c>
      <c r="X1154">
        <f>Table1[[#This Row],[DeliveryDate]]-Table1[[#This Row],[OrderDate]]</f>
        <v>3</v>
      </c>
      <c r="Y1154" t="str">
        <f>TEXT(Table1[[#This Row],[OrderDate]],"MMMM")</f>
        <v>February</v>
      </c>
      <c r="Z1154" s="5">
        <f>YEAR(Table1[[#This Row],[OrderDate]])</f>
        <v>2024</v>
      </c>
    </row>
    <row r="1155" spans="1:26" x14ac:dyDescent="0.3">
      <c r="A1155" s="1" t="s">
        <v>3321</v>
      </c>
      <c r="B1155" t="s">
        <v>471</v>
      </c>
      <c r="C1155" s="3">
        <v>50</v>
      </c>
      <c r="D1155" s="1" t="s">
        <v>24</v>
      </c>
      <c r="E1155" s="1" t="s">
        <v>99</v>
      </c>
      <c r="F1155" s="1" t="s">
        <v>53</v>
      </c>
      <c r="G1155" s="4">
        <v>45323</v>
      </c>
      <c r="H1155" s="4">
        <v>45332</v>
      </c>
      <c r="I1155" s="1" t="s">
        <v>43</v>
      </c>
      <c r="J1155" s="1" t="s">
        <v>30</v>
      </c>
      <c r="K1155" s="3">
        <v>3</v>
      </c>
      <c r="L1155" s="2">
        <v>8460</v>
      </c>
      <c r="M1155" s="3">
        <v>5</v>
      </c>
      <c r="N1155" s="1" t="s">
        <v>31</v>
      </c>
      <c r="O1155" s="1" t="s">
        <v>173</v>
      </c>
      <c r="P1155" s="1" t="s">
        <v>33</v>
      </c>
      <c r="Q1155" s="1" t="s">
        <v>495</v>
      </c>
      <c r="R1155" s="1" t="s">
        <v>3323</v>
      </c>
      <c r="S1155" s="3">
        <v>2</v>
      </c>
      <c r="T1155" s="1" t="s">
        <v>72</v>
      </c>
      <c r="U1155" s="3">
        <v>185</v>
      </c>
      <c r="V1155" s="1" t="s">
        <v>62</v>
      </c>
      <c r="W1155" s="5">
        <f>Table1[[#This Row],[Quantity]]*Table1[[#This Row],[Price]]*(1-Table1[[#This Row],[Discount %]]/100)</f>
        <v>24111</v>
      </c>
      <c r="X1155">
        <f>Table1[[#This Row],[DeliveryDate]]-Table1[[#This Row],[OrderDate]]</f>
        <v>9</v>
      </c>
      <c r="Y1155" t="str">
        <f>TEXT(Table1[[#This Row],[OrderDate]],"MMMM")</f>
        <v>February</v>
      </c>
      <c r="Z1155" s="5">
        <f>YEAR(Table1[[#This Row],[OrderDate]])</f>
        <v>2024</v>
      </c>
    </row>
    <row r="1156" spans="1:26" x14ac:dyDescent="0.3">
      <c r="A1156" s="1" t="s">
        <v>3324</v>
      </c>
      <c r="B1156" t="s">
        <v>2016</v>
      </c>
      <c r="C1156" s="3">
        <v>50</v>
      </c>
      <c r="D1156" s="1" t="s">
        <v>24</v>
      </c>
      <c r="E1156" s="1" t="s">
        <v>142</v>
      </c>
      <c r="F1156" s="1" t="s">
        <v>82</v>
      </c>
      <c r="G1156" s="4">
        <v>45081</v>
      </c>
      <c r="H1156" s="4">
        <v>45086</v>
      </c>
      <c r="I1156" s="1" t="s">
        <v>108</v>
      </c>
      <c r="J1156" s="1" t="s">
        <v>44</v>
      </c>
      <c r="K1156" s="3">
        <v>2</v>
      </c>
      <c r="L1156" s="2">
        <v>55514</v>
      </c>
      <c r="M1156" s="3">
        <v>15</v>
      </c>
      <c r="N1156" s="1" t="s">
        <v>166</v>
      </c>
      <c r="O1156" s="1" t="s">
        <v>102</v>
      </c>
      <c r="P1156" s="1" t="s">
        <v>58</v>
      </c>
      <c r="Q1156" s="1" t="s">
        <v>1792</v>
      </c>
      <c r="R1156" s="1" t="s">
        <v>3326</v>
      </c>
      <c r="S1156" s="3">
        <v>1</v>
      </c>
      <c r="T1156" s="1" t="s">
        <v>96</v>
      </c>
      <c r="U1156" s="3">
        <v>452</v>
      </c>
      <c r="V1156" s="1" t="s">
        <v>79</v>
      </c>
      <c r="W1156" s="5">
        <f>Table1[[#This Row],[Quantity]]*Table1[[#This Row],[Price]]*(1-Table1[[#This Row],[Discount %]]/100)</f>
        <v>94373.8</v>
      </c>
      <c r="X1156">
        <f>Table1[[#This Row],[DeliveryDate]]-Table1[[#This Row],[OrderDate]]</f>
        <v>5</v>
      </c>
      <c r="Y1156" t="str">
        <f>TEXT(Table1[[#This Row],[OrderDate]],"MMMM")</f>
        <v>June</v>
      </c>
      <c r="Z1156" s="5">
        <f>YEAR(Table1[[#This Row],[OrderDate]])</f>
        <v>2023</v>
      </c>
    </row>
    <row r="1157" spans="1:26" x14ac:dyDescent="0.3">
      <c r="A1157" s="1" t="s">
        <v>3327</v>
      </c>
      <c r="B1157" t="s">
        <v>327</v>
      </c>
      <c r="C1157" s="3">
        <v>18</v>
      </c>
      <c r="D1157" s="1" t="s">
        <v>24</v>
      </c>
      <c r="E1157" s="1" t="s">
        <v>131</v>
      </c>
      <c r="F1157" s="1" t="s">
        <v>91</v>
      </c>
      <c r="G1157" s="4">
        <v>44990</v>
      </c>
      <c r="H1157" s="4">
        <v>44994</v>
      </c>
      <c r="I1157" s="1" t="s">
        <v>108</v>
      </c>
      <c r="J1157" s="1" t="s">
        <v>44</v>
      </c>
      <c r="K1157" s="3">
        <v>3</v>
      </c>
      <c r="L1157" s="2">
        <v>41499</v>
      </c>
      <c r="M1157" s="3">
        <v>10</v>
      </c>
      <c r="N1157" s="1" t="s">
        <v>56</v>
      </c>
      <c r="O1157" s="1" t="s">
        <v>173</v>
      </c>
      <c r="P1157" s="1" t="s">
        <v>174</v>
      </c>
      <c r="Q1157" s="1" t="s">
        <v>330</v>
      </c>
      <c r="R1157" s="1" t="s">
        <v>3329</v>
      </c>
      <c r="S1157" s="3">
        <v>4</v>
      </c>
      <c r="T1157" s="1" t="s">
        <v>61</v>
      </c>
      <c r="U1157" s="3">
        <v>189</v>
      </c>
      <c r="V1157" s="1" t="s">
        <v>62</v>
      </c>
      <c r="W1157" s="5">
        <f>Table1[[#This Row],[Quantity]]*Table1[[#This Row],[Price]]*(1-Table1[[#This Row],[Discount %]]/100)</f>
        <v>112047.3</v>
      </c>
      <c r="X1157">
        <f>Table1[[#This Row],[DeliveryDate]]-Table1[[#This Row],[OrderDate]]</f>
        <v>4</v>
      </c>
      <c r="Y1157" t="str">
        <f>TEXT(Table1[[#This Row],[OrderDate]],"MMMM")</f>
        <v>March</v>
      </c>
      <c r="Z1157" s="5">
        <f>YEAR(Table1[[#This Row],[OrderDate]])</f>
        <v>2023</v>
      </c>
    </row>
    <row r="1158" spans="1:26" x14ac:dyDescent="0.3">
      <c r="A1158" s="1" t="s">
        <v>3330</v>
      </c>
      <c r="B1158" t="s">
        <v>198</v>
      </c>
      <c r="C1158" s="3">
        <v>25</v>
      </c>
      <c r="D1158" s="1" t="s">
        <v>51</v>
      </c>
      <c r="E1158" s="1" t="s">
        <v>52</v>
      </c>
      <c r="F1158" s="1" t="s">
        <v>53</v>
      </c>
      <c r="G1158" s="4">
        <v>45485</v>
      </c>
      <c r="H1158" s="4">
        <v>45495</v>
      </c>
      <c r="I1158" s="1" t="s">
        <v>93</v>
      </c>
      <c r="J1158" s="1" t="s">
        <v>44</v>
      </c>
      <c r="K1158" s="3">
        <v>5</v>
      </c>
      <c r="L1158" s="2">
        <v>46359</v>
      </c>
      <c r="M1158" s="3">
        <v>5</v>
      </c>
      <c r="N1158" s="1" t="s">
        <v>45</v>
      </c>
      <c r="O1158" s="1" t="s">
        <v>109</v>
      </c>
      <c r="P1158" s="1" t="s">
        <v>58</v>
      </c>
      <c r="Q1158" s="1" t="s">
        <v>201</v>
      </c>
      <c r="R1158" s="1" t="s">
        <v>3331</v>
      </c>
      <c r="S1158" s="3">
        <v>5</v>
      </c>
      <c r="T1158" s="1" t="s">
        <v>72</v>
      </c>
      <c r="U1158" s="3">
        <v>265</v>
      </c>
      <c r="V1158" s="1" t="s">
        <v>62</v>
      </c>
      <c r="W1158" s="5">
        <f>Table1[[#This Row],[Quantity]]*Table1[[#This Row],[Price]]*(1-Table1[[#This Row],[Discount %]]/100)</f>
        <v>220205.25</v>
      </c>
      <c r="X1158">
        <f>Table1[[#This Row],[DeliveryDate]]-Table1[[#This Row],[OrderDate]]</f>
        <v>10</v>
      </c>
      <c r="Y1158" t="str">
        <f>TEXT(Table1[[#This Row],[OrderDate]],"MMMM")</f>
        <v>July</v>
      </c>
      <c r="Z1158" s="5">
        <f>YEAR(Table1[[#This Row],[OrderDate]])</f>
        <v>2024</v>
      </c>
    </row>
    <row r="1159" spans="1:26" x14ac:dyDescent="0.3">
      <c r="A1159" s="1" t="s">
        <v>3332</v>
      </c>
      <c r="B1159" t="s">
        <v>1118</v>
      </c>
      <c r="C1159" s="3">
        <v>52</v>
      </c>
      <c r="D1159" s="1" t="s">
        <v>24</v>
      </c>
      <c r="E1159" s="1" t="s">
        <v>25</v>
      </c>
      <c r="F1159" s="1" t="s">
        <v>82</v>
      </c>
      <c r="G1159" s="4">
        <v>44961</v>
      </c>
      <c r="H1159" s="4">
        <v>44962</v>
      </c>
      <c r="I1159" s="1" t="s">
        <v>43</v>
      </c>
      <c r="J1159" s="1" t="s">
        <v>44</v>
      </c>
      <c r="K1159" s="3">
        <v>1</v>
      </c>
      <c r="L1159" s="2">
        <v>26362</v>
      </c>
      <c r="M1159" s="3">
        <v>0</v>
      </c>
      <c r="N1159" s="1" t="s">
        <v>31</v>
      </c>
      <c r="O1159" s="1" t="s">
        <v>32</v>
      </c>
      <c r="P1159" s="1" t="s">
        <v>174</v>
      </c>
      <c r="Q1159" s="1" t="s">
        <v>1120</v>
      </c>
      <c r="R1159" s="1" t="s">
        <v>3415</v>
      </c>
      <c r="S1159" s="3">
        <v>3</v>
      </c>
      <c r="T1159" s="1" t="s">
        <v>36</v>
      </c>
      <c r="U1159" s="3">
        <v>309</v>
      </c>
      <c r="V1159" s="1" t="s">
        <v>37</v>
      </c>
      <c r="W1159" s="5">
        <f>Table1[[#This Row],[Quantity]]*Table1[[#This Row],[Price]]*(1-Table1[[#This Row],[Discount %]]/100)</f>
        <v>26362</v>
      </c>
      <c r="X1159">
        <f>Table1[[#This Row],[DeliveryDate]]-Table1[[#This Row],[OrderDate]]</f>
        <v>1</v>
      </c>
      <c r="Y1159" t="str">
        <f>TEXT(Table1[[#This Row],[OrderDate]],"MMMM")</f>
        <v>February</v>
      </c>
      <c r="Z1159" s="5">
        <f>YEAR(Table1[[#This Row],[OrderDate]])</f>
        <v>2023</v>
      </c>
    </row>
    <row r="1160" spans="1:26" x14ac:dyDescent="0.3">
      <c r="A1160" s="1" t="s">
        <v>3333</v>
      </c>
      <c r="B1160" t="s">
        <v>303</v>
      </c>
      <c r="C1160" s="3">
        <v>21</v>
      </c>
      <c r="D1160" s="1" t="s">
        <v>51</v>
      </c>
      <c r="E1160" s="1" t="s">
        <v>229</v>
      </c>
      <c r="F1160" s="1" t="s">
        <v>65</v>
      </c>
      <c r="G1160" s="4">
        <v>45209</v>
      </c>
      <c r="H1160" s="4">
        <v>45213</v>
      </c>
      <c r="I1160" s="1" t="s">
        <v>77</v>
      </c>
      <c r="J1160" s="1" t="s">
        <v>44</v>
      </c>
      <c r="K1160" s="3">
        <v>2.9447852760736195</v>
      </c>
      <c r="L1160" s="2">
        <v>70547</v>
      </c>
      <c r="M1160" s="3">
        <v>0</v>
      </c>
      <c r="N1160" s="1" t="s">
        <v>45</v>
      </c>
      <c r="O1160" s="1" t="s">
        <v>173</v>
      </c>
      <c r="P1160" s="1" t="s">
        <v>69</v>
      </c>
      <c r="Q1160" s="1" t="s">
        <v>3415</v>
      </c>
      <c r="R1160" s="1" t="s">
        <v>3334</v>
      </c>
      <c r="S1160" s="3">
        <v>3</v>
      </c>
      <c r="T1160" s="1" t="s">
        <v>96</v>
      </c>
      <c r="U1160" s="3">
        <v>144</v>
      </c>
      <c r="V1160" s="1" t="s">
        <v>62</v>
      </c>
      <c r="W1160" s="5">
        <f>Table1[[#This Row],[Quantity]]*Table1[[#This Row],[Price]]*(1-Table1[[#This Row],[Discount %]]/100)</f>
        <v>207745.76687116563</v>
      </c>
      <c r="X1160">
        <f>Table1[[#This Row],[DeliveryDate]]-Table1[[#This Row],[OrderDate]]</f>
        <v>4</v>
      </c>
      <c r="Y1160" t="str">
        <f>TEXT(Table1[[#This Row],[OrderDate]],"MMMM")</f>
        <v>October</v>
      </c>
      <c r="Z1160" s="5">
        <f>YEAR(Table1[[#This Row],[OrderDate]])</f>
        <v>2023</v>
      </c>
    </row>
    <row r="1161" spans="1:26" x14ac:dyDescent="0.3">
      <c r="A1161" s="1" t="s">
        <v>3335</v>
      </c>
      <c r="B1161" t="s">
        <v>617</v>
      </c>
      <c r="C1161" s="3">
        <v>22</v>
      </c>
      <c r="D1161" s="1" t="s">
        <v>51</v>
      </c>
      <c r="E1161" s="1" t="s">
        <v>131</v>
      </c>
      <c r="F1161" s="1" t="s">
        <v>91</v>
      </c>
      <c r="G1161" s="4">
        <v>45088</v>
      </c>
      <c r="H1161" s="4">
        <v>45096</v>
      </c>
      <c r="I1161" s="1" t="s">
        <v>85</v>
      </c>
      <c r="J1161" s="1" t="s">
        <v>44</v>
      </c>
      <c r="K1161" s="3">
        <v>4</v>
      </c>
      <c r="L1161" s="2">
        <v>23190</v>
      </c>
      <c r="M1161" s="3">
        <v>15</v>
      </c>
      <c r="N1161" s="1" t="s">
        <v>31</v>
      </c>
      <c r="O1161" s="1" t="s">
        <v>57</v>
      </c>
      <c r="P1161" s="1" t="s">
        <v>58</v>
      </c>
      <c r="Q1161" s="1" t="s">
        <v>620</v>
      </c>
      <c r="R1161" s="1" t="s">
        <v>3337</v>
      </c>
      <c r="S1161" s="3">
        <v>5</v>
      </c>
      <c r="T1161" s="1" t="s">
        <v>61</v>
      </c>
      <c r="U1161" s="3">
        <v>134</v>
      </c>
      <c r="V1161" s="1" t="s">
        <v>37</v>
      </c>
      <c r="W1161" s="5">
        <f>Table1[[#This Row],[Quantity]]*Table1[[#This Row],[Price]]*(1-Table1[[#This Row],[Discount %]]/100)</f>
        <v>78846</v>
      </c>
      <c r="X1161">
        <f>Table1[[#This Row],[DeliveryDate]]-Table1[[#This Row],[OrderDate]]</f>
        <v>8</v>
      </c>
      <c r="Y1161" t="str">
        <f>TEXT(Table1[[#This Row],[OrderDate]],"MMMM")</f>
        <v>June</v>
      </c>
      <c r="Z1161" s="5">
        <f>YEAR(Table1[[#This Row],[OrderDate]])</f>
        <v>2023</v>
      </c>
    </row>
    <row r="1162" spans="1:26" x14ac:dyDescent="0.3">
      <c r="A1162" s="1" t="s">
        <v>3338</v>
      </c>
      <c r="B1162" t="s">
        <v>1876</v>
      </c>
      <c r="C1162" s="3">
        <v>29</v>
      </c>
      <c r="D1162" s="1" t="s">
        <v>51</v>
      </c>
      <c r="E1162" s="1" t="s">
        <v>25</v>
      </c>
      <c r="F1162" s="1" t="s">
        <v>53</v>
      </c>
      <c r="G1162" s="4">
        <v>45515</v>
      </c>
      <c r="H1162" s="4">
        <v>45520</v>
      </c>
      <c r="I1162" s="1" t="s">
        <v>43</v>
      </c>
      <c r="J1162" s="1" t="s">
        <v>44</v>
      </c>
      <c r="K1162" s="3">
        <v>1</v>
      </c>
      <c r="L1162" s="2">
        <v>62028</v>
      </c>
      <c r="M1162" s="3">
        <v>10</v>
      </c>
      <c r="N1162" s="1" t="s">
        <v>45</v>
      </c>
      <c r="O1162" s="1" t="s">
        <v>133</v>
      </c>
      <c r="P1162" s="1" t="s">
        <v>58</v>
      </c>
      <c r="Q1162" s="1" t="s">
        <v>3415</v>
      </c>
      <c r="R1162" s="1" t="s">
        <v>3415</v>
      </c>
      <c r="S1162" s="3">
        <v>1</v>
      </c>
      <c r="T1162" s="1" t="s">
        <v>96</v>
      </c>
      <c r="U1162" s="3">
        <v>429</v>
      </c>
      <c r="V1162" s="1" t="s">
        <v>79</v>
      </c>
      <c r="W1162" s="5">
        <f>Table1[[#This Row],[Quantity]]*Table1[[#This Row],[Price]]*(1-Table1[[#This Row],[Discount %]]/100)</f>
        <v>55825.200000000004</v>
      </c>
      <c r="X1162">
        <f>Table1[[#This Row],[DeliveryDate]]-Table1[[#This Row],[OrderDate]]</f>
        <v>5</v>
      </c>
      <c r="Y1162" t="str">
        <f>TEXT(Table1[[#This Row],[OrderDate]],"MMMM")</f>
        <v>August</v>
      </c>
      <c r="Z1162" s="5">
        <f>YEAR(Table1[[#This Row],[OrderDate]])</f>
        <v>2024</v>
      </c>
    </row>
    <row r="1163" spans="1:26" x14ac:dyDescent="0.3">
      <c r="A1163" s="1" t="s">
        <v>3339</v>
      </c>
      <c r="B1163" t="s">
        <v>1686</v>
      </c>
      <c r="C1163" s="3">
        <v>35</v>
      </c>
      <c r="D1163" s="1" t="s">
        <v>51</v>
      </c>
      <c r="E1163" s="1" t="s">
        <v>142</v>
      </c>
      <c r="F1163" s="1" t="s">
        <v>65</v>
      </c>
      <c r="G1163" s="4">
        <v>45516</v>
      </c>
      <c r="H1163" s="4">
        <v>45520</v>
      </c>
      <c r="I1163" s="1" t="s">
        <v>77</v>
      </c>
      <c r="J1163" s="1" t="s">
        <v>30</v>
      </c>
      <c r="K1163" s="3">
        <v>3</v>
      </c>
      <c r="L1163" s="2">
        <v>73309</v>
      </c>
      <c r="M1163" s="3">
        <v>10</v>
      </c>
      <c r="N1163" s="1" t="s">
        <v>166</v>
      </c>
      <c r="O1163" s="1" t="s">
        <v>102</v>
      </c>
      <c r="P1163" s="1" t="s">
        <v>33</v>
      </c>
      <c r="Q1163" s="1" t="s">
        <v>1687</v>
      </c>
      <c r="R1163" s="1" t="s">
        <v>3340</v>
      </c>
      <c r="S1163" s="3">
        <v>2</v>
      </c>
      <c r="T1163" s="1" t="s">
        <v>96</v>
      </c>
      <c r="U1163" s="3">
        <v>385</v>
      </c>
      <c r="V1163" s="1" t="s">
        <v>62</v>
      </c>
      <c r="W1163" s="5">
        <f>Table1[[#This Row],[Quantity]]*Table1[[#This Row],[Price]]*(1-Table1[[#This Row],[Discount %]]/100)</f>
        <v>197934.30000000002</v>
      </c>
      <c r="X1163">
        <f>Table1[[#This Row],[DeliveryDate]]-Table1[[#This Row],[OrderDate]]</f>
        <v>4</v>
      </c>
      <c r="Y1163" t="str">
        <f>TEXT(Table1[[#This Row],[OrderDate]],"MMMM")</f>
        <v>August</v>
      </c>
      <c r="Z1163" s="5">
        <f>YEAR(Table1[[#This Row],[OrderDate]])</f>
        <v>2024</v>
      </c>
    </row>
    <row r="1164" spans="1:26" x14ac:dyDescent="0.3">
      <c r="A1164" s="1" t="s">
        <v>3341</v>
      </c>
      <c r="B1164" t="s">
        <v>840</v>
      </c>
      <c r="C1164" s="3">
        <v>19</v>
      </c>
      <c r="D1164" s="1" t="s">
        <v>51</v>
      </c>
      <c r="E1164" s="1" t="s">
        <v>99</v>
      </c>
      <c r="F1164" s="1" t="s">
        <v>82</v>
      </c>
      <c r="G1164" s="4">
        <v>44995</v>
      </c>
      <c r="H1164" s="4">
        <v>44998</v>
      </c>
      <c r="I1164" s="1" t="s">
        <v>77</v>
      </c>
      <c r="J1164" s="1" t="s">
        <v>30</v>
      </c>
      <c r="K1164" s="3">
        <v>4</v>
      </c>
      <c r="L1164" s="2">
        <v>49524</v>
      </c>
      <c r="M1164" s="3">
        <v>10</v>
      </c>
      <c r="N1164" s="1" t="s">
        <v>45</v>
      </c>
      <c r="O1164" s="1" t="s">
        <v>57</v>
      </c>
      <c r="P1164" s="1" t="s">
        <v>69</v>
      </c>
      <c r="Q1164" s="1" t="s">
        <v>1147</v>
      </c>
      <c r="R1164" s="1" t="s">
        <v>3342</v>
      </c>
      <c r="S1164" s="3">
        <v>2</v>
      </c>
      <c r="T1164" s="1" t="s">
        <v>72</v>
      </c>
      <c r="U1164" s="3">
        <v>201</v>
      </c>
      <c r="V1164" s="1" t="s">
        <v>79</v>
      </c>
      <c r="W1164" s="5">
        <f>Table1[[#This Row],[Quantity]]*Table1[[#This Row],[Price]]*(1-Table1[[#This Row],[Discount %]]/100)</f>
        <v>178286.4</v>
      </c>
      <c r="X1164">
        <f>Table1[[#This Row],[DeliveryDate]]-Table1[[#This Row],[OrderDate]]</f>
        <v>3</v>
      </c>
      <c r="Y1164" t="str">
        <f>TEXT(Table1[[#This Row],[OrderDate]],"MMMM")</f>
        <v>March</v>
      </c>
      <c r="Z1164" s="5">
        <f>YEAR(Table1[[#This Row],[OrderDate]])</f>
        <v>2023</v>
      </c>
    </row>
    <row r="1165" spans="1:26" x14ac:dyDescent="0.3">
      <c r="A1165" s="1" t="s">
        <v>3343</v>
      </c>
      <c r="B1165" t="s">
        <v>150</v>
      </c>
      <c r="C1165" s="3">
        <v>50</v>
      </c>
      <c r="D1165" s="1" t="s">
        <v>24</v>
      </c>
      <c r="E1165" s="1" t="s">
        <v>25</v>
      </c>
      <c r="F1165" s="1" t="s">
        <v>26</v>
      </c>
      <c r="G1165" s="4">
        <v>45306</v>
      </c>
      <c r="H1165" s="4">
        <v>45307</v>
      </c>
      <c r="I1165" s="1" t="s">
        <v>93</v>
      </c>
      <c r="J1165" s="1" t="s">
        <v>30</v>
      </c>
      <c r="K1165" s="3">
        <v>1</v>
      </c>
      <c r="L1165" s="2">
        <v>58077</v>
      </c>
      <c r="M1165" s="3">
        <v>15</v>
      </c>
      <c r="N1165" s="1" t="s">
        <v>56</v>
      </c>
      <c r="O1165" s="1" t="s">
        <v>57</v>
      </c>
      <c r="P1165" s="1" t="s">
        <v>33</v>
      </c>
      <c r="Q1165" s="1" t="s">
        <v>3415</v>
      </c>
      <c r="R1165" s="1" t="s">
        <v>3344</v>
      </c>
      <c r="S1165" s="3">
        <v>4</v>
      </c>
      <c r="T1165" s="1" t="s">
        <v>96</v>
      </c>
      <c r="U1165" s="3">
        <v>101</v>
      </c>
      <c r="V1165" s="1" t="s">
        <v>37</v>
      </c>
      <c r="W1165" s="5">
        <f>Table1[[#This Row],[Quantity]]*Table1[[#This Row],[Price]]*(1-Table1[[#This Row],[Discount %]]/100)</f>
        <v>49365.45</v>
      </c>
      <c r="X1165">
        <f>Table1[[#This Row],[DeliveryDate]]-Table1[[#This Row],[OrderDate]]</f>
        <v>1</v>
      </c>
      <c r="Y1165" t="str">
        <f>TEXT(Table1[[#This Row],[OrderDate]],"MMMM")</f>
        <v>January</v>
      </c>
      <c r="Z1165" s="5">
        <f>YEAR(Table1[[#This Row],[OrderDate]])</f>
        <v>2024</v>
      </c>
    </row>
    <row r="1166" spans="1:26" x14ac:dyDescent="0.3">
      <c r="A1166" s="1" t="s">
        <v>3345</v>
      </c>
      <c r="B1166" t="s">
        <v>2016</v>
      </c>
      <c r="C1166" s="3">
        <v>50</v>
      </c>
      <c r="D1166" s="1" t="s">
        <v>51</v>
      </c>
      <c r="E1166" s="1" t="s">
        <v>40</v>
      </c>
      <c r="F1166" s="1" t="s">
        <v>82</v>
      </c>
      <c r="G1166" s="4">
        <v>45310</v>
      </c>
      <c r="H1166" s="4">
        <v>45313</v>
      </c>
      <c r="I1166" s="1" t="s">
        <v>108</v>
      </c>
      <c r="J1166" s="1" t="s">
        <v>44</v>
      </c>
      <c r="K1166" s="3">
        <v>4</v>
      </c>
      <c r="L1166" s="2">
        <v>11292</v>
      </c>
      <c r="M1166" s="3">
        <v>10</v>
      </c>
      <c r="N1166" s="1" t="s">
        <v>45</v>
      </c>
      <c r="O1166" s="1" t="s">
        <v>109</v>
      </c>
      <c r="P1166" s="1" t="s">
        <v>58</v>
      </c>
      <c r="Q1166" s="1" t="s">
        <v>1792</v>
      </c>
      <c r="R1166" s="1" t="s">
        <v>3347</v>
      </c>
      <c r="S1166" s="3">
        <v>2</v>
      </c>
      <c r="T1166" s="1" t="s">
        <v>96</v>
      </c>
      <c r="U1166" s="3">
        <v>406</v>
      </c>
      <c r="V1166" s="1" t="s">
        <v>62</v>
      </c>
      <c r="W1166" s="5">
        <f>Table1[[#This Row],[Quantity]]*Table1[[#This Row],[Price]]*(1-Table1[[#This Row],[Discount %]]/100)</f>
        <v>40651.200000000004</v>
      </c>
      <c r="X1166">
        <f>Table1[[#This Row],[DeliveryDate]]-Table1[[#This Row],[OrderDate]]</f>
        <v>3</v>
      </c>
      <c r="Y1166" t="str">
        <f>TEXT(Table1[[#This Row],[OrderDate]],"MMMM")</f>
        <v>January</v>
      </c>
      <c r="Z1166" s="5">
        <f>YEAR(Table1[[#This Row],[OrderDate]])</f>
        <v>2024</v>
      </c>
    </row>
    <row r="1167" spans="1:26" x14ac:dyDescent="0.3">
      <c r="A1167" s="1" t="s">
        <v>3348</v>
      </c>
      <c r="B1167" t="s">
        <v>235</v>
      </c>
      <c r="C1167" s="3">
        <v>33</v>
      </c>
      <c r="D1167" s="1" t="s">
        <v>24</v>
      </c>
      <c r="E1167" s="1" t="s">
        <v>229</v>
      </c>
      <c r="F1167" s="1" t="s">
        <v>82</v>
      </c>
      <c r="G1167" s="4">
        <v>45163</v>
      </c>
      <c r="H1167" s="4">
        <v>45173</v>
      </c>
      <c r="I1167" s="1" t="s">
        <v>29</v>
      </c>
      <c r="J1167" s="1" t="s">
        <v>44</v>
      </c>
      <c r="K1167" s="3">
        <v>3</v>
      </c>
      <c r="L1167" s="2">
        <v>40410</v>
      </c>
      <c r="M1167" s="3">
        <v>10</v>
      </c>
      <c r="N1167" s="1" t="s">
        <v>56</v>
      </c>
      <c r="O1167" s="1" t="s">
        <v>109</v>
      </c>
      <c r="P1167" s="1" t="s">
        <v>174</v>
      </c>
      <c r="Q1167" s="1" t="s">
        <v>871</v>
      </c>
      <c r="R1167" s="1" t="s">
        <v>3349</v>
      </c>
      <c r="S1167" s="3">
        <v>3</v>
      </c>
      <c r="T1167" s="1" t="s">
        <v>96</v>
      </c>
      <c r="U1167" s="3">
        <v>123</v>
      </c>
      <c r="V1167" s="1" t="s">
        <v>79</v>
      </c>
      <c r="W1167" s="5">
        <f>Table1[[#This Row],[Quantity]]*Table1[[#This Row],[Price]]*(1-Table1[[#This Row],[Discount %]]/100)</f>
        <v>109107</v>
      </c>
      <c r="X1167">
        <f>Table1[[#This Row],[DeliveryDate]]-Table1[[#This Row],[OrderDate]]</f>
        <v>10</v>
      </c>
      <c r="Y1167" t="str">
        <f>TEXT(Table1[[#This Row],[OrderDate]],"MMMM")</f>
        <v>August</v>
      </c>
      <c r="Z1167" s="5">
        <f>YEAR(Table1[[#This Row],[OrderDate]])</f>
        <v>2023</v>
      </c>
    </row>
    <row r="1168" spans="1:26" x14ac:dyDescent="0.3">
      <c r="A1168" s="1" t="s">
        <v>3350</v>
      </c>
      <c r="B1168" t="s">
        <v>344</v>
      </c>
      <c r="C1168" s="3">
        <v>34</v>
      </c>
      <c r="D1168" s="1" t="s">
        <v>51</v>
      </c>
      <c r="E1168" s="1" t="s">
        <v>26</v>
      </c>
      <c r="F1168" s="1" t="s">
        <v>82</v>
      </c>
      <c r="G1168" s="4">
        <v>44959</v>
      </c>
      <c r="H1168" s="4">
        <v>44962</v>
      </c>
      <c r="I1168" s="1" t="s">
        <v>108</v>
      </c>
      <c r="J1168" s="1" t="s">
        <v>30</v>
      </c>
      <c r="K1168" s="3">
        <v>4</v>
      </c>
      <c r="L1168" s="2">
        <v>72385</v>
      </c>
      <c r="M1168" s="3">
        <v>0</v>
      </c>
      <c r="N1168" s="1" t="s">
        <v>166</v>
      </c>
      <c r="O1168" s="1" t="s">
        <v>133</v>
      </c>
      <c r="P1168" s="1" t="s">
        <v>69</v>
      </c>
      <c r="Q1168" s="1" t="s">
        <v>347</v>
      </c>
      <c r="R1168" s="1" t="s">
        <v>3351</v>
      </c>
      <c r="S1168" s="3">
        <v>4</v>
      </c>
      <c r="T1168" s="1" t="s">
        <v>36</v>
      </c>
      <c r="U1168" s="3">
        <v>378</v>
      </c>
      <c r="V1168" s="1" t="s">
        <v>37</v>
      </c>
      <c r="W1168" s="5">
        <f>Table1[[#This Row],[Quantity]]*Table1[[#This Row],[Price]]*(1-Table1[[#This Row],[Discount %]]/100)</f>
        <v>289540</v>
      </c>
      <c r="X1168">
        <f>Table1[[#This Row],[DeliveryDate]]-Table1[[#This Row],[OrderDate]]</f>
        <v>3</v>
      </c>
      <c r="Y1168" t="str">
        <f>TEXT(Table1[[#This Row],[OrderDate]],"MMMM")</f>
        <v>February</v>
      </c>
      <c r="Z1168" s="5">
        <f>YEAR(Table1[[#This Row],[OrderDate]])</f>
        <v>2023</v>
      </c>
    </row>
    <row r="1169" spans="1:26" x14ac:dyDescent="0.3">
      <c r="A1169" s="1" t="s">
        <v>3352</v>
      </c>
      <c r="B1169" t="s">
        <v>1340</v>
      </c>
      <c r="C1169" s="3">
        <v>57</v>
      </c>
      <c r="D1169" s="1" t="s">
        <v>24</v>
      </c>
      <c r="E1169" s="1" t="s">
        <v>99</v>
      </c>
      <c r="F1169" s="1" t="s">
        <v>82</v>
      </c>
      <c r="G1169" s="4">
        <v>45533</v>
      </c>
      <c r="H1169" s="4">
        <v>45537</v>
      </c>
      <c r="I1169" s="1" t="s">
        <v>29</v>
      </c>
      <c r="J1169" s="1" t="s">
        <v>30</v>
      </c>
      <c r="K1169" s="3">
        <v>1</v>
      </c>
      <c r="L1169" s="2">
        <v>53313</v>
      </c>
      <c r="M1169" s="3">
        <v>15</v>
      </c>
      <c r="N1169" s="1" t="s">
        <v>166</v>
      </c>
      <c r="O1169" s="1" t="s">
        <v>32</v>
      </c>
      <c r="P1169" s="1" t="s">
        <v>174</v>
      </c>
      <c r="Q1169" s="1" t="s">
        <v>1342</v>
      </c>
      <c r="R1169" s="1" t="s">
        <v>3353</v>
      </c>
      <c r="S1169" s="3">
        <v>4</v>
      </c>
      <c r="T1169" s="1" t="s">
        <v>61</v>
      </c>
      <c r="U1169" s="3">
        <v>258</v>
      </c>
      <c r="V1169" s="1" t="s">
        <v>62</v>
      </c>
      <c r="W1169" s="5">
        <f>Table1[[#This Row],[Quantity]]*Table1[[#This Row],[Price]]*(1-Table1[[#This Row],[Discount %]]/100)</f>
        <v>45316.049999999996</v>
      </c>
      <c r="X1169">
        <f>Table1[[#This Row],[DeliveryDate]]-Table1[[#This Row],[OrderDate]]</f>
        <v>4</v>
      </c>
      <c r="Y1169" t="str">
        <f>TEXT(Table1[[#This Row],[OrderDate]],"MMMM")</f>
        <v>August</v>
      </c>
      <c r="Z1169" s="5">
        <f>YEAR(Table1[[#This Row],[OrderDate]])</f>
        <v>2024</v>
      </c>
    </row>
    <row r="1170" spans="1:26" x14ac:dyDescent="0.3">
      <c r="A1170" s="1" t="s">
        <v>3354</v>
      </c>
      <c r="B1170" t="s">
        <v>193</v>
      </c>
      <c r="C1170" s="3">
        <v>21</v>
      </c>
      <c r="D1170" s="1" t="s">
        <v>24</v>
      </c>
      <c r="E1170" s="1" t="s">
        <v>25</v>
      </c>
      <c r="F1170" s="1" t="s">
        <v>26</v>
      </c>
      <c r="G1170" s="4">
        <v>45251</v>
      </c>
      <c r="H1170" s="4">
        <v>45258</v>
      </c>
      <c r="I1170" s="1" t="s">
        <v>29</v>
      </c>
      <c r="J1170" s="1" t="s">
        <v>30</v>
      </c>
      <c r="K1170" s="3">
        <v>5</v>
      </c>
      <c r="L1170" s="2">
        <v>24240</v>
      </c>
      <c r="M1170" s="3">
        <v>15</v>
      </c>
      <c r="N1170" s="1" t="s">
        <v>31</v>
      </c>
      <c r="O1170" s="1" t="s">
        <v>133</v>
      </c>
      <c r="P1170" s="1" t="s">
        <v>69</v>
      </c>
      <c r="Q1170" s="1" t="s">
        <v>195</v>
      </c>
      <c r="R1170" s="1" t="s">
        <v>3356</v>
      </c>
      <c r="S1170" s="3">
        <v>1</v>
      </c>
      <c r="T1170" s="1" t="s">
        <v>96</v>
      </c>
      <c r="U1170" s="3">
        <v>155</v>
      </c>
      <c r="V1170" s="1" t="s">
        <v>62</v>
      </c>
      <c r="W1170" s="5">
        <f>Table1[[#This Row],[Quantity]]*Table1[[#This Row],[Price]]*(1-Table1[[#This Row],[Discount %]]/100)</f>
        <v>103020</v>
      </c>
      <c r="X1170">
        <f>Table1[[#This Row],[DeliveryDate]]-Table1[[#This Row],[OrderDate]]</f>
        <v>7</v>
      </c>
      <c r="Y1170" t="str">
        <f>TEXT(Table1[[#This Row],[OrderDate]],"MMMM")</f>
        <v>November</v>
      </c>
      <c r="Z1170" s="5">
        <f>YEAR(Table1[[#This Row],[OrderDate]])</f>
        <v>2023</v>
      </c>
    </row>
    <row r="1171" spans="1:26" x14ac:dyDescent="0.3">
      <c r="A1171" s="1" t="s">
        <v>3357</v>
      </c>
      <c r="B1171" t="s">
        <v>1443</v>
      </c>
      <c r="C1171" s="3">
        <v>32</v>
      </c>
      <c r="D1171" s="1" t="s">
        <v>51</v>
      </c>
      <c r="E1171" s="1" t="s">
        <v>142</v>
      </c>
      <c r="F1171" s="1" t="s">
        <v>53</v>
      </c>
      <c r="G1171" s="4">
        <v>45180</v>
      </c>
      <c r="H1171" s="4">
        <v>45188</v>
      </c>
      <c r="I1171" s="1" t="s">
        <v>77</v>
      </c>
      <c r="J1171" s="1" t="s">
        <v>44</v>
      </c>
      <c r="K1171" s="3">
        <v>5</v>
      </c>
      <c r="L1171" s="2">
        <v>15911</v>
      </c>
      <c r="M1171" s="3">
        <v>5</v>
      </c>
      <c r="N1171" s="1" t="s">
        <v>56</v>
      </c>
      <c r="O1171" s="1" t="s">
        <v>173</v>
      </c>
      <c r="P1171" s="1" t="s">
        <v>33</v>
      </c>
      <c r="Q1171" s="1" t="s">
        <v>1444</v>
      </c>
      <c r="R1171" s="1" t="s">
        <v>3358</v>
      </c>
      <c r="S1171" s="3">
        <v>1</v>
      </c>
      <c r="T1171" s="1" t="s">
        <v>72</v>
      </c>
      <c r="U1171" s="3">
        <v>278</v>
      </c>
      <c r="V1171" s="1" t="s">
        <v>62</v>
      </c>
      <c r="W1171" s="5">
        <f>Table1[[#This Row],[Quantity]]*Table1[[#This Row],[Price]]*(1-Table1[[#This Row],[Discount %]]/100)</f>
        <v>75577.25</v>
      </c>
      <c r="X1171">
        <f>Table1[[#This Row],[DeliveryDate]]-Table1[[#This Row],[OrderDate]]</f>
        <v>8</v>
      </c>
      <c r="Y1171" t="str">
        <f>TEXT(Table1[[#This Row],[OrderDate]],"MMMM")</f>
        <v>September</v>
      </c>
      <c r="Z1171" s="5">
        <f>YEAR(Table1[[#This Row],[OrderDate]])</f>
        <v>2023</v>
      </c>
    </row>
    <row r="1172" spans="1:26" x14ac:dyDescent="0.3">
      <c r="A1172" s="1" t="s">
        <v>3359</v>
      </c>
      <c r="B1172" t="s">
        <v>1876</v>
      </c>
      <c r="C1172" s="3">
        <v>23</v>
      </c>
      <c r="D1172" s="1" t="s">
        <v>24</v>
      </c>
      <c r="E1172" s="1" t="s">
        <v>40</v>
      </c>
      <c r="F1172" s="1" t="s">
        <v>91</v>
      </c>
      <c r="G1172" s="4">
        <v>45326</v>
      </c>
      <c r="H1172" s="4">
        <v>45328</v>
      </c>
      <c r="I1172" s="1" t="s">
        <v>108</v>
      </c>
      <c r="J1172" s="1" t="s">
        <v>44</v>
      </c>
      <c r="K1172" s="3">
        <v>5</v>
      </c>
      <c r="L1172" s="2">
        <v>48876</v>
      </c>
      <c r="M1172" s="3">
        <v>10</v>
      </c>
      <c r="N1172" s="1" t="s">
        <v>31</v>
      </c>
      <c r="O1172" s="1" t="s">
        <v>68</v>
      </c>
      <c r="P1172" s="1" t="s">
        <v>174</v>
      </c>
      <c r="Q1172" s="1" t="s">
        <v>3415</v>
      </c>
      <c r="R1172" s="1" t="s">
        <v>3361</v>
      </c>
      <c r="S1172" s="3">
        <v>3</v>
      </c>
      <c r="T1172" s="1" t="s">
        <v>61</v>
      </c>
      <c r="U1172" s="3">
        <v>481</v>
      </c>
      <c r="V1172" s="1" t="s">
        <v>37</v>
      </c>
      <c r="W1172" s="5">
        <f>Table1[[#This Row],[Quantity]]*Table1[[#This Row],[Price]]*(1-Table1[[#This Row],[Discount %]]/100)</f>
        <v>219942</v>
      </c>
      <c r="X1172">
        <f>Table1[[#This Row],[DeliveryDate]]-Table1[[#This Row],[OrderDate]]</f>
        <v>2</v>
      </c>
      <c r="Y1172" t="str">
        <f>TEXT(Table1[[#This Row],[OrderDate]],"MMMM")</f>
        <v>February</v>
      </c>
      <c r="Z1172" s="5">
        <f>YEAR(Table1[[#This Row],[OrderDate]])</f>
        <v>2024</v>
      </c>
    </row>
    <row r="1173" spans="1:26" x14ac:dyDescent="0.3">
      <c r="A1173" s="1" t="s">
        <v>3362</v>
      </c>
      <c r="B1173" t="s">
        <v>1690</v>
      </c>
      <c r="C1173" s="3">
        <v>37</v>
      </c>
      <c r="D1173" s="1" t="s">
        <v>24</v>
      </c>
      <c r="E1173" s="1" t="s">
        <v>26</v>
      </c>
      <c r="F1173" s="1" t="s">
        <v>82</v>
      </c>
      <c r="G1173" s="4">
        <v>45470</v>
      </c>
      <c r="H1173" s="4">
        <v>45479</v>
      </c>
      <c r="I1173" s="1" t="s">
        <v>43</v>
      </c>
      <c r="J1173" s="1" t="s">
        <v>44</v>
      </c>
      <c r="K1173" s="3">
        <v>5</v>
      </c>
      <c r="L1173" s="2">
        <v>64534</v>
      </c>
      <c r="M1173" s="3">
        <v>15</v>
      </c>
      <c r="N1173" s="1" t="s">
        <v>31</v>
      </c>
      <c r="O1173" s="1" t="s">
        <v>173</v>
      </c>
      <c r="P1173" s="1" t="s">
        <v>58</v>
      </c>
      <c r="Q1173" s="1" t="s">
        <v>87</v>
      </c>
      <c r="R1173" s="1" t="s">
        <v>3415</v>
      </c>
      <c r="S1173" s="3">
        <v>4</v>
      </c>
      <c r="T1173" s="1" t="s">
        <v>96</v>
      </c>
      <c r="U1173" s="3">
        <v>355</v>
      </c>
      <c r="V1173" s="1" t="s">
        <v>37</v>
      </c>
      <c r="W1173" s="5">
        <f>Table1[[#This Row],[Quantity]]*Table1[[#This Row],[Price]]*(1-Table1[[#This Row],[Discount %]]/100)</f>
        <v>274269.5</v>
      </c>
      <c r="X1173">
        <f>Table1[[#This Row],[DeliveryDate]]-Table1[[#This Row],[OrderDate]]</f>
        <v>9</v>
      </c>
      <c r="Y1173" t="str">
        <f>TEXT(Table1[[#This Row],[OrderDate]],"MMMM")</f>
        <v>June</v>
      </c>
      <c r="Z1173" s="5">
        <f>YEAR(Table1[[#This Row],[OrderDate]])</f>
        <v>2024</v>
      </c>
    </row>
    <row r="1174" spans="1:26" x14ac:dyDescent="0.3">
      <c r="A1174" s="1" t="s">
        <v>3363</v>
      </c>
      <c r="B1174" t="s">
        <v>235</v>
      </c>
      <c r="C1174" s="3">
        <v>32</v>
      </c>
      <c r="D1174" s="1" t="s">
        <v>24</v>
      </c>
      <c r="E1174" s="1" t="s">
        <v>142</v>
      </c>
      <c r="F1174" s="1" t="s">
        <v>91</v>
      </c>
      <c r="G1174" s="4">
        <v>45187</v>
      </c>
      <c r="H1174" s="4">
        <v>45196</v>
      </c>
      <c r="I1174" s="1" t="s">
        <v>108</v>
      </c>
      <c r="J1174" s="1" t="s">
        <v>30</v>
      </c>
      <c r="K1174" s="3">
        <v>3</v>
      </c>
      <c r="L1174" s="2">
        <v>35095</v>
      </c>
      <c r="M1174" s="3">
        <v>10</v>
      </c>
      <c r="N1174" s="1" t="s">
        <v>45</v>
      </c>
      <c r="O1174" s="1" t="s">
        <v>109</v>
      </c>
      <c r="P1174" s="1" t="s">
        <v>69</v>
      </c>
      <c r="Q1174" s="1" t="s">
        <v>871</v>
      </c>
      <c r="R1174" s="1" t="s">
        <v>3415</v>
      </c>
      <c r="S1174" s="3">
        <v>3</v>
      </c>
      <c r="T1174" s="1" t="s">
        <v>61</v>
      </c>
      <c r="U1174" s="3">
        <v>62</v>
      </c>
      <c r="V1174" s="1" t="s">
        <v>79</v>
      </c>
      <c r="W1174" s="5">
        <f>Table1[[#This Row],[Quantity]]*Table1[[#This Row],[Price]]*(1-Table1[[#This Row],[Discount %]]/100)</f>
        <v>94756.5</v>
      </c>
      <c r="X1174">
        <f>Table1[[#This Row],[DeliveryDate]]-Table1[[#This Row],[OrderDate]]</f>
        <v>9</v>
      </c>
      <c r="Y1174" t="str">
        <f>TEXT(Table1[[#This Row],[OrderDate]],"MMMM")</f>
        <v>September</v>
      </c>
      <c r="Z1174" s="5">
        <f>YEAR(Table1[[#This Row],[OrderDate]])</f>
        <v>2023</v>
      </c>
    </row>
    <row r="1175" spans="1:26" x14ac:dyDescent="0.3">
      <c r="A1175" s="1" t="s">
        <v>3366</v>
      </c>
      <c r="B1175" t="s">
        <v>293</v>
      </c>
      <c r="C1175" s="3">
        <v>58</v>
      </c>
      <c r="D1175" s="1" t="s">
        <v>51</v>
      </c>
      <c r="E1175" s="1" t="s">
        <v>142</v>
      </c>
      <c r="F1175" s="1" t="s">
        <v>91</v>
      </c>
      <c r="G1175" s="4">
        <v>45055</v>
      </c>
      <c r="H1175" s="4">
        <v>45064</v>
      </c>
      <c r="I1175" s="1" t="s">
        <v>85</v>
      </c>
      <c r="J1175" s="1" t="s">
        <v>30</v>
      </c>
      <c r="K1175" s="3">
        <v>2.9447852760736195</v>
      </c>
      <c r="L1175" s="2">
        <v>42265</v>
      </c>
      <c r="M1175" s="3">
        <v>0</v>
      </c>
      <c r="N1175" s="1" t="s">
        <v>45</v>
      </c>
      <c r="O1175" s="1" t="s">
        <v>102</v>
      </c>
      <c r="P1175" s="1" t="s">
        <v>58</v>
      </c>
      <c r="Q1175" s="1" t="s">
        <v>1231</v>
      </c>
      <c r="R1175" s="1" t="s">
        <v>3367</v>
      </c>
      <c r="S1175" s="3">
        <v>5</v>
      </c>
      <c r="T1175" s="1" t="s">
        <v>72</v>
      </c>
      <c r="U1175" s="3">
        <v>172</v>
      </c>
      <c r="V1175" s="1" t="s">
        <v>79</v>
      </c>
      <c r="W1175" s="5">
        <f>Table1[[#This Row],[Quantity]]*Table1[[#This Row],[Price]]*(1-Table1[[#This Row],[Discount %]]/100)</f>
        <v>124461.34969325153</v>
      </c>
      <c r="X1175">
        <f>Table1[[#This Row],[DeliveryDate]]-Table1[[#This Row],[OrderDate]]</f>
        <v>9</v>
      </c>
      <c r="Y1175" t="str">
        <f>TEXT(Table1[[#This Row],[OrderDate]],"MMMM")</f>
        <v>May</v>
      </c>
      <c r="Z1175" s="5">
        <f>YEAR(Table1[[#This Row],[OrderDate]])</f>
        <v>2023</v>
      </c>
    </row>
    <row r="1176" spans="1:26" x14ac:dyDescent="0.3">
      <c r="A1176" s="1" t="s">
        <v>3368</v>
      </c>
      <c r="B1176" t="s">
        <v>498</v>
      </c>
      <c r="C1176" s="3">
        <v>27</v>
      </c>
      <c r="D1176" s="1" t="s">
        <v>24</v>
      </c>
      <c r="E1176" s="1" t="s">
        <v>25</v>
      </c>
      <c r="F1176" s="1" t="s">
        <v>53</v>
      </c>
      <c r="G1176" s="4">
        <v>45450</v>
      </c>
      <c r="H1176" s="4">
        <v>45452</v>
      </c>
      <c r="I1176" s="1" t="s">
        <v>85</v>
      </c>
      <c r="J1176" s="1" t="s">
        <v>30</v>
      </c>
      <c r="K1176" s="3">
        <v>1</v>
      </c>
      <c r="L1176" s="2">
        <v>24713</v>
      </c>
      <c r="M1176" s="3">
        <v>15</v>
      </c>
      <c r="N1176" s="1" t="s">
        <v>31</v>
      </c>
      <c r="O1176" s="1" t="s">
        <v>133</v>
      </c>
      <c r="P1176" s="1" t="s">
        <v>69</v>
      </c>
      <c r="Q1176" s="1" t="s">
        <v>500</v>
      </c>
      <c r="R1176" s="1" t="s">
        <v>3415</v>
      </c>
      <c r="S1176" s="3">
        <v>3</v>
      </c>
      <c r="T1176" s="1" t="s">
        <v>36</v>
      </c>
      <c r="U1176" s="3">
        <v>356</v>
      </c>
      <c r="V1176" s="1" t="s">
        <v>37</v>
      </c>
      <c r="W1176" s="5">
        <f>Table1[[#This Row],[Quantity]]*Table1[[#This Row],[Price]]*(1-Table1[[#This Row],[Discount %]]/100)</f>
        <v>21006.05</v>
      </c>
      <c r="X1176">
        <f>Table1[[#This Row],[DeliveryDate]]-Table1[[#This Row],[OrderDate]]</f>
        <v>2</v>
      </c>
      <c r="Y1176" t="str">
        <f>TEXT(Table1[[#This Row],[OrderDate]],"MMMM")</f>
        <v>June</v>
      </c>
      <c r="Z1176" s="5">
        <f>YEAR(Table1[[#This Row],[OrderDate]])</f>
        <v>2024</v>
      </c>
    </row>
    <row r="1177" spans="1:26" x14ac:dyDescent="0.3">
      <c r="A1177" s="1" t="s">
        <v>3369</v>
      </c>
      <c r="B1177" t="s">
        <v>547</v>
      </c>
      <c r="C1177" s="3">
        <v>24</v>
      </c>
      <c r="D1177" s="1" t="s">
        <v>24</v>
      </c>
      <c r="E1177" s="1" t="s">
        <v>142</v>
      </c>
      <c r="F1177" s="1" t="s">
        <v>65</v>
      </c>
      <c r="G1177" s="4">
        <v>45087</v>
      </c>
      <c r="H1177" s="4">
        <v>45090</v>
      </c>
      <c r="I1177" s="1" t="s">
        <v>77</v>
      </c>
      <c r="J1177" s="1" t="s">
        <v>44</v>
      </c>
      <c r="K1177" s="3">
        <v>1</v>
      </c>
      <c r="L1177" s="2">
        <v>6452</v>
      </c>
      <c r="M1177" s="3">
        <v>5</v>
      </c>
      <c r="N1177" s="1" t="s">
        <v>31</v>
      </c>
      <c r="O1177" s="1" t="s">
        <v>133</v>
      </c>
      <c r="P1177" s="1" t="s">
        <v>69</v>
      </c>
      <c r="Q1177" s="1" t="s">
        <v>549</v>
      </c>
      <c r="R1177" s="1" t="s">
        <v>3415</v>
      </c>
      <c r="S1177" s="3">
        <v>5</v>
      </c>
      <c r="T1177" s="1" t="s">
        <v>36</v>
      </c>
      <c r="U1177" s="3">
        <v>457</v>
      </c>
      <c r="V1177" s="1" t="s">
        <v>62</v>
      </c>
      <c r="W1177" s="5">
        <f>Table1[[#This Row],[Quantity]]*Table1[[#This Row],[Price]]*(1-Table1[[#This Row],[Discount %]]/100)</f>
        <v>6129.4</v>
      </c>
      <c r="X1177">
        <f>Table1[[#This Row],[DeliveryDate]]-Table1[[#This Row],[OrderDate]]</f>
        <v>3</v>
      </c>
      <c r="Y1177" t="str">
        <f>TEXT(Table1[[#This Row],[OrderDate]],"MMMM")</f>
        <v>June</v>
      </c>
      <c r="Z1177" s="5">
        <f>YEAR(Table1[[#This Row],[OrderDate]])</f>
        <v>2023</v>
      </c>
    </row>
    <row r="1178" spans="1:26" x14ac:dyDescent="0.3">
      <c r="A1178" s="1" t="s">
        <v>3370</v>
      </c>
      <c r="B1178" t="s">
        <v>222</v>
      </c>
      <c r="C1178" s="3">
        <v>48</v>
      </c>
      <c r="D1178" s="1" t="s">
        <v>51</v>
      </c>
      <c r="E1178" s="1" t="s">
        <v>52</v>
      </c>
      <c r="F1178" s="1" t="s">
        <v>91</v>
      </c>
      <c r="G1178" s="4">
        <v>45495</v>
      </c>
      <c r="H1178" s="4">
        <v>45501</v>
      </c>
      <c r="I1178" s="1" t="s">
        <v>93</v>
      </c>
      <c r="J1178" s="1" t="s">
        <v>30</v>
      </c>
      <c r="K1178" s="3">
        <v>1</v>
      </c>
      <c r="L1178" s="2">
        <v>5012</v>
      </c>
      <c r="M1178" s="3">
        <v>10</v>
      </c>
      <c r="N1178" s="1" t="s">
        <v>45</v>
      </c>
      <c r="O1178" s="1" t="s">
        <v>68</v>
      </c>
      <c r="P1178" s="1" t="s">
        <v>58</v>
      </c>
      <c r="Q1178" s="1" t="s">
        <v>3415</v>
      </c>
      <c r="R1178" s="1" t="s">
        <v>3415</v>
      </c>
      <c r="S1178" s="3">
        <v>1</v>
      </c>
      <c r="T1178" s="1" t="s">
        <v>72</v>
      </c>
      <c r="U1178" s="3">
        <v>309</v>
      </c>
      <c r="V1178" s="1" t="s">
        <v>79</v>
      </c>
      <c r="W1178" s="5">
        <f>Table1[[#This Row],[Quantity]]*Table1[[#This Row],[Price]]*(1-Table1[[#This Row],[Discount %]]/100)</f>
        <v>4510.8</v>
      </c>
      <c r="X1178">
        <f>Table1[[#This Row],[DeliveryDate]]-Table1[[#This Row],[OrderDate]]</f>
        <v>6</v>
      </c>
      <c r="Y1178" t="str">
        <f>TEXT(Table1[[#This Row],[OrderDate]],"MMMM")</f>
        <v>July</v>
      </c>
      <c r="Z1178" s="5">
        <f>YEAR(Table1[[#This Row],[OrderDate]])</f>
        <v>2024</v>
      </c>
    </row>
    <row r="1179" spans="1:26" x14ac:dyDescent="0.3">
      <c r="A1179" s="1" t="s">
        <v>3371</v>
      </c>
      <c r="B1179" t="s">
        <v>50</v>
      </c>
      <c r="C1179" s="3">
        <v>28</v>
      </c>
      <c r="D1179" s="1" t="s">
        <v>24</v>
      </c>
      <c r="E1179" s="1" t="s">
        <v>26</v>
      </c>
      <c r="F1179" s="1" t="s">
        <v>91</v>
      </c>
      <c r="G1179" s="4">
        <v>45370</v>
      </c>
      <c r="H1179" s="4">
        <v>45376</v>
      </c>
      <c r="I1179" s="1" t="s">
        <v>93</v>
      </c>
      <c r="J1179" s="1" t="s">
        <v>30</v>
      </c>
      <c r="K1179" s="3">
        <v>5</v>
      </c>
      <c r="L1179" s="2">
        <v>39315</v>
      </c>
      <c r="M1179" s="3">
        <v>10</v>
      </c>
      <c r="N1179" s="1" t="s">
        <v>56</v>
      </c>
      <c r="O1179" s="1" t="s">
        <v>133</v>
      </c>
      <c r="P1179" s="1" t="s">
        <v>58</v>
      </c>
      <c r="Q1179" s="1" t="s">
        <v>59</v>
      </c>
      <c r="R1179" s="1" t="s">
        <v>3372</v>
      </c>
      <c r="S1179" s="3">
        <v>4</v>
      </c>
      <c r="T1179" s="1" t="s">
        <v>72</v>
      </c>
      <c r="U1179" s="3">
        <v>109</v>
      </c>
      <c r="V1179" s="1" t="s">
        <v>37</v>
      </c>
      <c r="W1179" s="5">
        <f>Table1[[#This Row],[Quantity]]*Table1[[#This Row],[Price]]*(1-Table1[[#This Row],[Discount %]]/100)</f>
        <v>176917.5</v>
      </c>
      <c r="X1179">
        <f>Table1[[#This Row],[DeliveryDate]]-Table1[[#This Row],[OrderDate]]</f>
        <v>6</v>
      </c>
      <c r="Y1179" t="str">
        <f>TEXT(Table1[[#This Row],[OrderDate]],"MMMM")</f>
        <v>March</v>
      </c>
      <c r="Z1179" s="5">
        <f>YEAR(Table1[[#This Row],[OrderDate]])</f>
        <v>2024</v>
      </c>
    </row>
    <row r="1180" spans="1:26" x14ac:dyDescent="0.3">
      <c r="A1180" s="1" t="s">
        <v>3373</v>
      </c>
      <c r="B1180" t="s">
        <v>222</v>
      </c>
      <c r="C1180" s="3">
        <v>54</v>
      </c>
      <c r="D1180" s="1" t="s">
        <v>51</v>
      </c>
      <c r="E1180" s="1" t="s">
        <v>40</v>
      </c>
      <c r="F1180" s="1" t="s">
        <v>82</v>
      </c>
      <c r="G1180" s="4">
        <v>45581</v>
      </c>
      <c r="H1180" s="4">
        <v>45590</v>
      </c>
      <c r="I1180" s="1" t="s">
        <v>43</v>
      </c>
      <c r="J1180" s="1" t="s">
        <v>30</v>
      </c>
      <c r="K1180" s="3">
        <v>4</v>
      </c>
      <c r="L1180" s="2">
        <v>16839</v>
      </c>
      <c r="M1180" s="3">
        <v>5</v>
      </c>
      <c r="N1180" s="1" t="s">
        <v>166</v>
      </c>
      <c r="O1180" s="1" t="s">
        <v>102</v>
      </c>
      <c r="P1180" s="1" t="s">
        <v>69</v>
      </c>
      <c r="Q1180" s="1" t="s">
        <v>3415</v>
      </c>
      <c r="R1180" s="1" t="s">
        <v>3375</v>
      </c>
      <c r="S1180" s="3">
        <v>1</v>
      </c>
      <c r="T1180" s="1" t="s">
        <v>96</v>
      </c>
      <c r="U1180" s="3">
        <v>166</v>
      </c>
      <c r="V1180" s="1" t="s">
        <v>37</v>
      </c>
      <c r="W1180" s="5">
        <f>Table1[[#This Row],[Quantity]]*Table1[[#This Row],[Price]]*(1-Table1[[#This Row],[Discount %]]/100)</f>
        <v>63988.2</v>
      </c>
      <c r="X1180">
        <f>Table1[[#This Row],[DeliveryDate]]-Table1[[#This Row],[OrderDate]]</f>
        <v>9</v>
      </c>
      <c r="Y1180" t="str">
        <f>TEXT(Table1[[#This Row],[OrderDate]],"MMMM")</f>
        <v>October</v>
      </c>
      <c r="Z1180" s="5">
        <f>YEAR(Table1[[#This Row],[OrderDate]])</f>
        <v>2024</v>
      </c>
    </row>
    <row r="1181" spans="1:26" x14ac:dyDescent="0.3">
      <c r="A1181" s="1" t="s">
        <v>3376</v>
      </c>
      <c r="B1181" t="s">
        <v>119</v>
      </c>
      <c r="C1181" s="3">
        <v>29</v>
      </c>
      <c r="D1181" s="1" t="s">
        <v>24</v>
      </c>
      <c r="E1181" s="1" t="s">
        <v>229</v>
      </c>
      <c r="F1181" s="1" t="s">
        <v>65</v>
      </c>
      <c r="G1181" s="4">
        <v>45056</v>
      </c>
      <c r="H1181" s="4">
        <v>45062</v>
      </c>
      <c r="I1181" s="1" t="s">
        <v>108</v>
      </c>
      <c r="J1181" s="1" t="s">
        <v>30</v>
      </c>
      <c r="K1181" s="3">
        <v>1</v>
      </c>
      <c r="L1181" s="2">
        <v>12879</v>
      </c>
      <c r="M1181" s="3">
        <v>0</v>
      </c>
      <c r="N1181" s="1" t="s">
        <v>45</v>
      </c>
      <c r="O1181" s="1" t="s">
        <v>133</v>
      </c>
      <c r="P1181" s="1" t="s">
        <v>174</v>
      </c>
      <c r="Q1181" s="1" t="s">
        <v>122</v>
      </c>
      <c r="R1181" s="1" t="s">
        <v>3377</v>
      </c>
      <c r="S1181" s="3">
        <v>4</v>
      </c>
      <c r="T1181" s="1" t="s">
        <v>36</v>
      </c>
      <c r="U1181" s="3">
        <v>187</v>
      </c>
      <c r="V1181" s="1" t="s">
        <v>37</v>
      </c>
      <c r="W1181" s="5">
        <f>Table1[[#This Row],[Quantity]]*Table1[[#This Row],[Price]]*(1-Table1[[#This Row],[Discount %]]/100)</f>
        <v>12879</v>
      </c>
      <c r="X1181">
        <f>Table1[[#This Row],[DeliveryDate]]-Table1[[#This Row],[OrderDate]]</f>
        <v>6</v>
      </c>
      <c r="Y1181" t="str">
        <f>TEXT(Table1[[#This Row],[OrderDate]],"MMMM")</f>
        <v>May</v>
      </c>
      <c r="Z1181" s="5">
        <f>YEAR(Table1[[#This Row],[OrderDate]])</f>
        <v>2023</v>
      </c>
    </row>
    <row r="1182" spans="1:26" x14ac:dyDescent="0.3">
      <c r="A1182" s="1" t="s">
        <v>3378</v>
      </c>
      <c r="B1182" t="s">
        <v>476</v>
      </c>
      <c r="C1182" s="3">
        <v>55</v>
      </c>
      <c r="D1182" s="1" t="s">
        <v>24</v>
      </c>
      <c r="E1182" s="1" t="s">
        <v>229</v>
      </c>
      <c r="F1182" s="1" t="s">
        <v>65</v>
      </c>
      <c r="G1182" s="4">
        <v>45042</v>
      </c>
      <c r="H1182" s="4">
        <v>45044</v>
      </c>
      <c r="I1182" s="1" t="s">
        <v>43</v>
      </c>
      <c r="J1182" s="1" t="s">
        <v>44</v>
      </c>
      <c r="K1182" s="3">
        <v>4</v>
      </c>
      <c r="L1182" s="2">
        <v>65045</v>
      </c>
      <c r="M1182" s="3">
        <v>15</v>
      </c>
      <c r="N1182" s="1" t="s">
        <v>45</v>
      </c>
      <c r="O1182" s="1" t="s">
        <v>46</v>
      </c>
      <c r="P1182" s="1" t="s">
        <v>33</v>
      </c>
      <c r="Q1182" s="1" t="s">
        <v>478</v>
      </c>
      <c r="R1182" s="1" t="s">
        <v>3379</v>
      </c>
      <c r="S1182" s="3">
        <v>4</v>
      </c>
      <c r="T1182" s="1" t="s">
        <v>72</v>
      </c>
      <c r="U1182" s="3">
        <v>462</v>
      </c>
      <c r="V1182" s="1" t="s">
        <v>37</v>
      </c>
      <c r="W1182" s="5">
        <f>Table1[[#This Row],[Quantity]]*Table1[[#This Row],[Price]]*(1-Table1[[#This Row],[Discount %]]/100)</f>
        <v>221153</v>
      </c>
      <c r="X1182">
        <f>Table1[[#This Row],[DeliveryDate]]-Table1[[#This Row],[OrderDate]]</f>
        <v>2</v>
      </c>
      <c r="Y1182" t="str">
        <f>TEXT(Table1[[#This Row],[OrderDate]],"MMMM")</f>
        <v>April</v>
      </c>
      <c r="Z1182" s="5">
        <f>YEAR(Table1[[#This Row],[OrderDate]])</f>
        <v>2023</v>
      </c>
    </row>
    <row r="1183" spans="1:26" x14ac:dyDescent="0.3">
      <c r="A1183" s="1" t="s">
        <v>3380</v>
      </c>
      <c r="B1183" t="s">
        <v>222</v>
      </c>
      <c r="C1183" s="3">
        <v>60</v>
      </c>
      <c r="D1183" s="1" t="s">
        <v>24</v>
      </c>
      <c r="E1183" s="1" t="s">
        <v>99</v>
      </c>
      <c r="F1183" s="1" t="s">
        <v>82</v>
      </c>
      <c r="G1183" s="4">
        <v>45616</v>
      </c>
      <c r="H1183" s="4">
        <v>45617</v>
      </c>
      <c r="I1183" s="1" t="s">
        <v>43</v>
      </c>
      <c r="J1183" s="1" t="s">
        <v>30</v>
      </c>
      <c r="K1183" s="3">
        <v>3</v>
      </c>
      <c r="L1183" s="2">
        <v>36327</v>
      </c>
      <c r="M1183" s="3">
        <v>0</v>
      </c>
      <c r="N1183" s="1" t="s">
        <v>31</v>
      </c>
      <c r="O1183" s="1" t="s">
        <v>133</v>
      </c>
      <c r="P1183" s="1" t="s">
        <v>33</v>
      </c>
      <c r="Q1183" s="1" t="s">
        <v>225</v>
      </c>
      <c r="R1183" s="1" t="s">
        <v>3381</v>
      </c>
      <c r="S1183" s="3">
        <v>3</v>
      </c>
      <c r="T1183" s="1" t="s">
        <v>36</v>
      </c>
      <c r="U1183" s="3">
        <v>59</v>
      </c>
      <c r="V1183" s="1" t="s">
        <v>79</v>
      </c>
      <c r="W1183" s="5">
        <f>Table1[[#This Row],[Quantity]]*Table1[[#This Row],[Price]]*(1-Table1[[#This Row],[Discount %]]/100)</f>
        <v>108981</v>
      </c>
      <c r="X1183">
        <f>Table1[[#This Row],[DeliveryDate]]-Table1[[#This Row],[OrderDate]]</f>
        <v>1</v>
      </c>
      <c r="Y1183" t="str">
        <f>TEXT(Table1[[#This Row],[OrderDate]],"MMMM")</f>
        <v>November</v>
      </c>
      <c r="Z1183" s="5">
        <f>YEAR(Table1[[#This Row],[OrderDate]])</f>
        <v>2024</v>
      </c>
    </row>
    <row r="1184" spans="1:26" x14ac:dyDescent="0.3">
      <c r="A1184" s="1" t="s">
        <v>3382</v>
      </c>
      <c r="B1184" t="s">
        <v>309</v>
      </c>
      <c r="C1184" s="3">
        <v>53</v>
      </c>
      <c r="D1184" s="1" t="s">
        <v>24</v>
      </c>
      <c r="E1184" s="1" t="s">
        <v>131</v>
      </c>
      <c r="F1184" s="1" t="s">
        <v>91</v>
      </c>
      <c r="G1184" s="4">
        <v>45337</v>
      </c>
      <c r="H1184" s="4">
        <v>45343</v>
      </c>
      <c r="I1184" s="1" t="s">
        <v>29</v>
      </c>
      <c r="J1184" s="1" t="s">
        <v>30</v>
      </c>
      <c r="K1184" s="3">
        <v>1</v>
      </c>
      <c r="L1184" s="2">
        <v>63635</v>
      </c>
      <c r="M1184" s="3">
        <v>0</v>
      </c>
      <c r="N1184" s="1" t="s">
        <v>166</v>
      </c>
      <c r="O1184" s="1" t="s">
        <v>46</v>
      </c>
      <c r="P1184" s="1" t="s">
        <v>174</v>
      </c>
      <c r="Q1184" s="1" t="s">
        <v>312</v>
      </c>
      <c r="R1184" s="1" t="s">
        <v>3383</v>
      </c>
      <c r="S1184" s="3">
        <v>5</v>
      </c>
      <c r="T1184" s="1" t="s">
        <v>36</v>
      </c>
      <c r="U1184" s="3">
        <v>56</v>
      </c>
      <c r="V1184" s="1" t="s">
        <v>62</v>
      </c>
      <c r="W1184" s="5">
        <f>Table1[[#This Row],[Quantity]]*Table1[[#This Row],[Price]]*(1-Table1[[#This Row],[Discount %]]/100)</f>
        <v>63635</v>
      </c>
      <c r="X1184">
        <f>Table1[[#This Row],[DeliveryDate]]-Table1[[#This Row],[OrderDate]]</f>
        <v>6</v>
      </c>
      <c r="Y1184" t="str">
        <f>TEXT(Table1[[#This Row],[OrderDate]],"MMMM")</f>
        <v>February</v>
      </c>
      <c r="Z1184" s="5">
        <f>YEAR(Table1[[#This Row],[OrderDate]])</f>
        <v>2024</v>
      </c>
    </row>
    <row r="1185" spans="1:26" x14ac:dyDescent="0.3">
      <c r="A1185" s="1" t="s">
        <v>3384</v>
      </c>
      <c r="B1185" t="s">
        <v>1045</v>
      </c>
      <c r="C1185" s="3">
        <v>49</v>
      </c>
      <c r="D1185" s="1" t="s">
        <v>24</v>
      </c>
      <c r="E1185" s="1" t="s">
        <v>131</v>
      </c>
      <c r="F1185" s="1" t="s">
        <v>53</v>
      </c>
      <c r="G1185" s="4">
        <v>44992</v>
      </c>
      <c r="H1185" s="4">
        <v>45000</v>
      </c>
      <c r="I1185" s="1" t="s">
        <v>108</v>
      </c>
      <c r="J1185" s="1" t="s">
        <v>30</v>
      </c>
      <c r="K1185" s="3">
        <v>4</v>
      </c>
      <c r="L1185" s="2">
        <v>31020</v>
      </c>
      <c r="M1185" s="3">
        <v>5</v>
      </c>
      <c r="N1185" s="1" t="s">
        <v>45</v>
      </c>
      <c r="O1185" s="1" t="s">
        <v>109</v>
      </c>
      <c r="P1185" s="1" t="s">
        <v>58</v>
      </c>
      <c r="Q1185" s="1" t="s">
        <v>1048</v>
      </c>
      <c r="R1185" s="1" t="s">
        <v>3386</v>
      </c>
      <c r="S1185" s="3">
        <v>3</v>
      </c>
      <c r="T1185" s="1" t="s">
        <v>72</v>
      </c>
      <c r="U1185" s="3">
        <v>303</v>
      </c>
      <c r="V1185" s="1" t="s">
        <v>79</v>
      </c>
      <c r="W1185" s="5">
        <f>Table1[[#This Row],[Quantity]]*Table1[[#This Row],[Price]]*(1-Table1[[#This Row],[Discount %]]/100)</f>
        <v>117876</v>
      </c>
      <c r="X1185">
        <f>Table1[[#This Row],[DeliveryDate]]-Table1[[#This Row],[OrderDate]]</f>
        <v>8</v>
      </c>
      <c r="Y1185" t="str">
        <f>TEXT(Table1[[#This Row],[OrderDate]],"MMMM")</f>
        <v>March</v>
      </c>
      <c r="Z1185" s="5">
        <f>YEAR(Table1[[#This Row],[OrderDate]])</f>
        <v>2023</v>
      </c>
    </row>
    <row r="1186" spans="1:26" x14ac:dyDescent="0.3">
      <c r="A1186" s="1" t="s">
        <v>3387</v>
      </c>
      <c r="B1186" t="s">
        <v>541</v>
      </c>
      <c r="C1186" s="3">
        <v>26</v>
      </c>
      <c r="D1186" s="1" t="s">
        <v>24</v>
      </c>
      <c r="E1186" s="1" t="s">
        <v>131</v>
      </c>
      <c r="F1186" s="1" t="s">
        <v>53</v>
      </c>
      <c r="G1186" s="4">
        <v>45089</v>
      </c>
      <c r="H1186" s="4">
        <v>45098</v>
      </c>
      <c r="I1186" s="1" t="s">
        <v>108</v>
      </c>
      <c r="J1186" s="1" t="s">
        <v>30</v>
      </c>
      <c r="K1186" s="3">
        <v>3</v>
      </c>
      <c r="L1186" s="2">
        <v>19133</v>
      </c>
      <c r="M1186" s="3">
        <v>15</v>
      </c>
      <c r="N1186" s="1" t="s">
        <v>166</v>
      </c>
      <c r="O1186" s="1" t="s">
        <v>102</v>
      </c>
      <c r="P1186" s="1" t="s">
        <v>33</v>
      </c>
      <c r="Q1186" s="1" t="s">
        <v>544</v>
      </c>
      <c r="R1186" s="1" t="s">
        <v>3388</v>
      </c>
      <c r="S1186" s="3">
        <v>5</v>
      </c>
      <c r="T1186" s="1" t="s">
        <v>96</v>
      </c>
      <c r="U1186" s="3">
        <v>148</v>
      </c>
      <c r="V1186" s="1" t="s">
        <v>62</v>
      </c>
      <c r="W1186" s="5">
        <f>Table1[[#This Row],[Quantity]]*Table1[[#This Row],[Price]]*(1-Table1[[#This Row],[Discount %]]/100)</f>
        <v>48789.15</v>
      </c>
      <c r="X1186">
        <f>Table1[[#This Row],[DeliveryDate]]-Table1[[#This Row],[OrderDate]]</f>
        <v>9</v>
      </c>
      <c r="Y1186" t="str">
        <f>TEXT(Table1[[#This Row],[OrderDate]],"MMMM")</f>
        <v>June</v>
      </c>
      <c r="Z1186" s="5">
        <f>YEAR(Table1[[#This Row],[OrderDate]])</f>
        <v>2023</v>
      </c>
    </row>
    <row r="1187" spans="1:26" x14ac:dyDescent="0.3">
      <c r="A1187" s="1" t="s">
        <v>3389</v>
      </c>
      <c r="B1187" t="s">
        <v>1686</v>
      </c>
      <c r="C1187" s="3">
        <v>53</v>
      </c>
      <c r="D1187" s="1" t="s">
        <v>24</v>
      </c>
      <c r="E1187" s="1" t="s">
        <v>40</v>
      </c>
      <c r="F1187" s="1" t="s">
        <v>91</v>
      </c>
      <c r="G1187" s="4">
        <v>45387</v>
      </c>
      <c r="H1187" s="4">
        <v>45391</v>
      </c>
      <c r="I1187" s="1" t="s">
        <v>108</v>
      </c>
      <c r="J1187" s="1" t="s">
        <v>30</v>
      </c>
      <c r="K1187" s="3">
        <v>2</v>
      </c>
      <c r="L1187" s="2">
        <v>66421</v>
      </c>
      <c r="M1187" s="3">
        <v>5</v>
      </c>
      <c r="N1187" s="1" t="s">
        <v>56</v>
      </c>
      <c r="O1187" s="1" t="s">
        <v>173</v>
      </c>
      <c r="P1187" s="1" t="s">
        <v>58</v>
      </c>
      <c r="Q1187" s="1" t="s">
        <v>1687</v>
      </c>
      <c r="R1187" s="1" t="s">
        <v>3390</v>
      </c>
      <c r="S1187" s="3">
        <v>5</v>
      </c>
      <c r="T1187" s="1" t="s">
        <v>96</v>
      </c>
      <c r="U1187" s="3">
        <v>253</v>
      </c>
      <c r="V1187" s="1" t="s">
        <v>62</v>
      </c>
      <c r="W1187" s="5">
        <f>Table1[[#This Row],[Quantity]]*Table1[[#This Row],[Price]]*(1-Table1[[#This Row],[Discount %]]/100)</f>
        <v>126199.9</v>
      </c>
      <c r="X1187">
        <f>Table1[[#This Row],[DeliveryDate]]-Table1[[#This Row],[OrderDate]]</f>
        <v>4</v>
      </c>
      <c r="Y1187" t="str">
        <f>TEXT(Table1[[#This Row],[OrderDate]],"MMMM")</f>
        <v>April</v>
      </c>
      <c r="Z1187" s="5">
        <f>YEAR(Table1[[#This Row],[OrderDate]])</f>
        <v>2024</v>
      </c>
    </row>
    <row r="1188" spans="1:26" x14ac:dyDescent="0.3">
      <c r="A1188" s="1" t="s">
        <v>3391</v>
      </c>
      <c r="B1188" t="s">
        <v>74</v>
      </c>
      <c r="C1188" s="3">
        <v>46</v>
      </c>
      <c r="D1188" s="1" t="s">
        <v>24</v>
      </c>
      <c r="E1188" s="1" t="s">
        <v>131</v>
      </c>
      <c r="F1188" s="1" t="s">
        <v>65</v>
      </c>
      <c r="G1188" s="4">
        <v>45600</v>
      </c>
      <c r="H1188" s="4">
        <v>45601</v>
      </c>
      <c r="I1188" s="1" t="s">
        <v>43</v>
      </c>
      <c r="J1188" s="1" t="s">
        <v>30</v>
      </c>
      <c r="K1188" s="3">
        <v>2</v>
      </c>
      <c r="L1188" s="2">
        <v>27291</v>
      </c>
      <c r="M1188" s="3">
        <v>15</v>
      </c>
      <c r="N1188" s="1" t="s">
        <v>45</v>
      </c>
      <c r="O1188" s="1" t="s">
        <v>32</v>
      </c>
      <c r="P1188" s="1" t="s">
        <v>174</v>
      </c>
      <c r="Q1188" s="1" t="s">
        <v>78</v>
      </c>
      <c r="R1188" s="1" t="s">
        <v>3415</v>
      </c>
      <c r="S1188" s="3">
        <v>4</v>
      </c>
      <c r="T1188" s="1" t="s">
        <v>96</v>
      </c>
      <c r="U1188" s="3">
        <v>90</v>
      </c>
      <c r="V1188" s="1" t="s">
        <v>62</v>
      </c>
      <c r="W1188" s="5">
        <f>Table1[[#This Row],[Quantity]]*Table1[[#This Row],[Price]]*(1-Table1[[#This Row],[Discount %]]/100)</f>
        <v>46394.7</v>
      </c>
      <c r="X1188">
        <f>Table1[[#This Row],[DeliveryDate]]-Table1[[#This Row],[OrderDate]]</f>
        <v>1</v>
      </c>
      <c r="Y1188" t="str">
        <f>TEXT(Table1[[#This Row],[OrderDate]],"MMMM")</f>
        <v>November</v>
      </c>
      <c r="Z1188" s="5">
        <f>YEAR(Table1[[#This Row],[OrderDate]])</f>
        <v>2024</v>
      </c>
    </row>
    <row r="1189" spans="1:26" x14ac:dyDescent="0.3">
      <c r="A1189" s="1" t="s">
        <v>3392</v>
      </c>
      <c r="B1189" t="s">
        <v>278</v>
      </c>
      <c r="C1189" s="3">
        <v>24</v>
      </c>
      <c r="D1189" s="1" t="s">
        <v>51</v>
      </c>
      <c r="E1189" s="1" t="s">
        <v>52</v>
      </c>
      <c r="F1189" s="1" t="s">
        <v>91</v>
      </c>
      <c r="G1189" s="4">
        <v>45073</v>
      </c>
      <c r="H1189" s="4">
        <v>45077</v>
      </c>
      <c r="I1189" s="1" t="s">
        <v>108</v>
      </c>
      <c r="J1189" s="1" t="s">
        <v>30</v>
      </c>
      <c r="K1189" s="3">
        <v>4</v>
      </c>
      <c r="L1189" s="2">
        <v>34233</v>
      </c>
      <c r="M1189" s="3">
        <v>15</v>
      </c>
      <c r="N1189" s="1" t="s">
        <v>56</v>
      </c>
      <c r="O1189" s="1" t="s">
        <v>102</v>
      </c>
      <c r="P1189" s="1" t="s">
        <v>174</v>
      </c>
      <c r="Q1189" s="1" t="s">
        <v>282</v>
      </c>
      <c r="R1189" s="1" t="s">
        <v>3393</v>
      </c>
      <c r="S1189" s="3">
        <v>1</v>
      </c>
      <c r="T1189" s="1" t="s">
        <v>61</v>
      </c>
      <c r="U1189" s="3">
        <v>300</v>
      </c>
      <c r="V1189" s="1" t="s">
        <v>37</v>
      </c>
      <c r="W1189" s="5">
        <f>Table1[[#This Row],[Quantity]]*Table1[[#This Row],[Price]]*(1-Table1[[#This Row],[Discount %]]/100)</f>
        <v>116392.2</v>
      </c>
      <c r="X1189">
        <f>Table1[[#This Row],[DeliveryDate]]-Table1[[#This Row],[OrderDate]]</f>
        <v>4</v>
      </c>
      <c r="Y1189" t="str">
        <f>TEXT(Table1[[#This Row],[OrderDate]],"MMMM")</f>
        <v>May</v>
      </c>
      <c r="Z1189" s="5">
        <f>YEAR(Table1[[#This Row],[OrderDate]])</f>
        <v>2023</v>
      </c>
    </row>
    <row r="1190" spans="1:26" x14ac:dyDescent="0.3">
      <c r="A1190" s="1" t="s">
        <v>3394</v>
      </c>
      <c r="B1190" t="s">
        <v>674</v>
      </c>
      <c r="C1190" s="3">
        <v>57</v>
      </c>
      <c r="D1190" s="1" t="s">
        <v>51</v>
      </c>
      <c r="E1190" s="1" t="s">
        <v>229</v>
      </c>
      <c r="F1190" s="1" t="s">
        <v>82</v>
      </c>
      <c r="G1190" s="4">
        <v>45041</v>
      </c>
      <c r="H1190" s="4">
        <v>45043</v>
      </c>
      <c r="I1190" s="1" t="s">
        <v>29</v>
      </c>
      <c r="J1190" s="1" t="s">
        <v>44</v>
      </c>
      <c r="K1190" s="3">
        <v>3</v>
      </c>
      <c r="L1190" s="2">
        <v>79259</v>
      </c>
      <c r="M1190" s="3">
        <v>15</v>
      </c>
      <c r="N1190" s="1" t="s">
        <v>56</v>
      </c>
      <c r="O1190" s="1" t="s">
        <v>173</v>
      </c>
      <c r="P1190" s="1" t="s">
        <v>58</v>
      </c>
      <c r="Q1190" s="1" t="s">
        <v>677</v>
      </c>
      <c r="R1190" s="1" t="s">
        <v>3395</v>
      </c>
      <c r="S1190" s="3">
        <v>4</v>
      </c>
      <c r="T1190" s="1" t="s">
        <v>96</v>
      </c>
      <c r="U1190" s="3">
        <v>368</v>
      </c>
      <c r="V1190" s="1" t="s">
        <v>37</v>
      </c>
      <c r="W1190" s="5">
        <f>Table1[[#This Row],[Quantity]]*Table1[[#This Row],[Price]]*(1-Table1[[#This Row],[Discount %]]/100)</f>
        <v>202110.44999999998</v>
      </c>
      <c r="X1190">
        <f>Table1[[#This Row],[DeliveryDate]]-Table1[[#This Row],[OrderDate]]</f>
        <v>2</v>
      </c>
      <c r="Y1190" t="str">
        <f>TEXT(Table1[[#This Row],[OrderDate]],"MMMM")</f>
        <v>April</v>
      </c>
      <c r="Z1190" s="5">
        <f>YEAR(Table1[[#This Row],[OrderDate]])</f>
        <v>2023</v>
      </c>
    </row>
    <row r="1191" spans="1:26" x14ac:dyDescent="0.3">
      <c r="A1191" s="1" t="s">
        <v>3396</v>
      </c>
      <c r="B1191" t="s">
        <v>660</v>
      </c>
      <c r="C1191" s="3">
        <v>46</v>
      </c>
      <c r="D1191" s="1" t="s">
        <v>51</v>
      </c>
      <c r="E1191" s="1" t="s">
        <v>131</v>
      </c>
      <c r="F1191" s="1" t="s">
        <v>53</v>
      </c>
      <c r="G1191" s="4">
        <v>45156</v>
      </c>
      <c r="H1191" s="4">
        <v>45162</v>
      </c>
      <c r="I1191" s="1" t="s">
        <v>43</v>
      </c>
      <c r="J1191" s="1" t="s">
        <v>30</v>
      </c>
      <c r="K1191" s="3">
        <v>4</v>
      </c>
      <c r="L1191" s="2">
        <v>66507</v>
      </c>
      <c r="M1191" s="3">
        <v>0</v>
      </c>
      <c r="N1191" s="1" t="s">
        <v>56</v>
      </c>
      <c r="O1191" s="1" t="s">
        <v>133</v>
      </c>
      <c r="P1191" s="1" t="s">
        <v>69</v>
      </c>
      <c r="Q1191" s="1" t="s">
        <v>662</v>
      </c>
      <c r="R1191" s="1" t="s">
        <v>3415</v>
      </c>
      <c r="S1191" s="3">
        <v>1</v>
      </c>
      <c r="T1191" s="1" t="s">
        <v>96</v>
      </c>
      <c r="U1191" s="3">
        <v>186</v>
      </c>
      <c r="V1191" s="1" t="s">
        <v>37</v>
      </c>
      <c r="W1191" s="5">
        <f>Table1[[#This Row],[Quantity]]*Table1[[#This Row],[Price]]*(1-Table1[[#This Row],[Discount %]]/100)</f>
        <v>266028</v>
      </c>
      <c r="X1191">
        <f>Table1[[#This Row],[DeliveryDate]]-Table1[[#This Row],[OrderDate]]</f>
        <v>6</v>
      </c>
      <c r="Y1191" t="str">
        <f>TEXT(Table1[[#This Row],[OrderDate]],"MMMM")</f>
        <v>August</v>
      </c>
      <c r="Z1191" s="5">
        <f>YEAR(Table1[[#This Row],[OrderDate]])</f>
        <v>2023</v>
      </c>
    </row>
    <row r="1192" spans="1:26" x14ac:dyDescent="0.3">
      <c r="A1192" s="1" t="s">
        <v>3398</v>
      </c>
      <c r="B1192" t="s">
        <v>471</v>
      </c>
      <c r="C1192" s="3">
        <v>25</v>
      </c>
      <c r="D1192" s="1" t="s">
        <v>24</v>
      </c>
      <c r="E1192" s="1" t="s">
        <v>99</v>
      </c>
      <c r="F1192" s="1" t="s">
        <v>53</v>
      </c>
      <c r="G1192" s="4">
        <v>45310</v>
      </c>
      <c r="H1192" s="4">
        <v>45312</v>
      </c>
      <c r="I1192" s="1" t="s">
        <v>108</v>
      </c>
      <c r="J1192" s="1" t="s">
        <v>44</v>
      </c>
      <c r="K1192" s="3">
        <v>5</v>
      </c>
      <c r="L1192" s="2">
        <v>54576</v>
      </c>
      <c r="M1192" s="3">
        <v>15</v>
      </c>
      <c r="N1192" s="1" t="s">
        <v>31</v>
      </c>
      <c r="O1192" s="1" t="s">
        <v>86</v>
      </c>
      <c r="P1192" s="1" t="s">
        <v>33</v>
      </c>
      <c r="Q1192" s="1" t="s">
        <v>495</v>
      </c>
      <c r="R1192" s="1" t="s">
        <v>3415</v>
      </c>
      <c r="S1192" s="3">
        <v>3</v>
      </c>
      <c r="T1192" s="1" t="s">
        <v>61</v>
      </c>
      <c r="U1192" s="3">
        <v>260</v>
      </c>
      <c r="V1192" s="1" t="s">
        <v>79</v>
      </c>
      <c r="W1192" s="5">
        <f>Table1[[#This Row],[Quantity]]*Table1[[#This Row],[Price]]*(1-Table1[[#This Row],[Discount %]]/100)</f>
        <v>231948</v>
      </c>
      <c r="X1192">
        <f>Table1[[#This Row],[DeliveryDate]]-Table1[[#This Row],[OrderDate]]</f>
        <v>2</v>
      </c>
      <c r="Y1192" t="str">
        <f>TEXT(Table1[[#This Row],[OrderDate]],"MMMM")</f>
        <v>January</v>
      </c>
      <c r="Z1192" s="5">
        <f>YEAR(Table1[[#This Row],[OrderDate]])</f>
        <v>2024</v>
      </c>
    </row>
    <row r="1193" spans="1:26" x14ac:dyDescent="0.3">
      <c r="A1193" s="1" t="s">
        <v>3399</v>
      </c>
      <c r="B1193" t="s">
        <v>424</v>
      </c>
      <c r="C1193" s="3">
        <v>36</v>
      </c>
      <c r="D1193" s="1" t="s">
        <v>51</v>
      </c>
      <c r="E1193" s="1" t="s">
        <v>25</v>
      </c>
      <c r="F1193" s="1" t="s">
        <v>91</v>
      </c>
      <c r="G1193" s="4">
        <v>45118</v>
      </c>
      <c r="H1193" s="4">
        <v>45119</v>
      </c>
      <c r="I1193" s="1" t="s">
        <v>77</v>
      </c>
      <c r="J1193" s="1" t="s">
        <v>30</v>
      </c>
      <c r="K1193" s="3">
        <v>4</v>
      </c>
      <c r="L1193" s="2">
        <v>36750</v>
      </c>
      <c r="M1193" s="3">
        <v>0</v>
      </c>
      <c r="N1193" s="1" t="s">
        <v>56</v>
      </c>
      <c r="O1193" s="1" t="s">
        <v>57</v>
      </c>
      <c r="P1193" s="1" t="s">
        <v>58</v>
      </c>
      <c r="Q1193" s="1" t="s">
        <v>427</v>
      </c>
      <c r="R1193" s="1" t="s">
        <v>3400</v>
      </c>
      <c r="S1193" s="3">
        <v>5</v>
      </c>
      <c r="T1193" s="1" t="s">
        <v>96</v>
      </c>
      <c r="U1193" s="3">
        <v>408</v>
      </c>
      <c r="V1193" s="1" t="s">
        <v>37</v>
      </c>
      <c r="W1193" s="5">
        <f>Table1[[#This Row],[Quantity]]*Table1[[#This Row],[Price]]*(1-Table1[[#This Row],[Discount %]]/100)</f>
        <v>147000</v>
      </c>
      <c r="X1193">
        <f>Table1[[#This Row],[DeliveryDate]]-Table1[[#This Row],[OrderDate]]</f>
        <v>1</v>
      </c>
      <c r="Y1193" t="str">
        <f>TEXT(Table1[[#This Row],[OrderDate]],"MMMM")</f>
        <v>July</v>
      </c>
      <c r="Z1193" s="5">
        <f>YEAR(Table1[[#This Row],[OrderDate]])</f>
        <v>2023</v>
      </c>
    </row>
    <row r="1194" spans="1:26" x14ac:dyDescent="0.3">
      <c r="A1194" s="1" t="s">
        <v>3401</v>
      </c>
      <c r="B1194" t="s">
        <v>617</v>
      </c>
      <c r="C1194" s="3">
        <v>38</v>
      </c>
      <c r="D1194" s="1" t="s">
        <v>24</v>
      </c>
      <c r="E1194" s="1" t="s">
        <v>40</v>
      </c>
      <c r="F1194" s="1" t="s">
        <v>65</v>
      </c>
      <c r="G1194" s="4">
        <v>44979</v>
      </c>
      <c r="H1194" s="4">
        <v>44986</v>
      </c>
      <c r="I1194" s="1" t="s">
        <v>93</v>
      </c>
      <c r="J1194" s="1" t="s">
        <v>44</v>
      </c>
      <c r="K1194" s="3">
        <v>3</v>
      </c>
      <c r="L1194" s="2">
        <v>79613</v>
      </c>
      <c r="M1194" s="3">
        <v>5</v>
      </c>
      <c r="N1194" s="1" t="s">
        <v>45</v>
      </c>
      <c r="O1194" s="1" t="s">
        <v>32</v>
      </c>
      <c r="P1194" s="1" t="s">
        <v>69</v>
      </c>
      <c r="Q1194" s="1" t="s">
        <v>620</v>
      </c>
      <c r="R1194" s="1" t="s">
        <v>3402</v>
      </c>
      <c r="S1194" s="3">
        <v>5</v>
      </c>
      <c r="T1194" s="1" t="s">
        <v>61</v>
      </c>
      <c r="U1194" s="3">
        <v>475</v>
      </c>
      <c r="V1194" s="1" t="s">
        <v>79</v>
      </c>
      <c r="W1194" s="5">
        <f>Table1[[#This Row],[Quantity]]*Table1[[#This Row],[Price]]*(1-Table1[[#This Row],[Discount %]]/100)</f>
        <v>226897.05</v>
      </c>
      <c r="X1194">
        <f>Table1[[#This Row],[DeliveryDate]]-Table1[[#This Row],[OrderDate]]</f>
        <v>7</v>
      </c>
      <c r="Y1194" t="str">
        <f>TEXT(Table1[[#This Row],[OrderDate]],"MMMM")</f>
        <v>February</v>
      </c>
      <c r="Z1194" s="5">
        <f>YEAR(Table1[[#This Row],[OrderDate]])</f>
        <v>2023</v>
      </c>
    </row>
    <row r="1195" spans="1:26" x14ac:dyDescent="0.3">
      <c r="A1195" s="1" t="s">
        <v>3403</v>
      </c>
      <c r="B1195" t="s">
        <v>228</v>
      </c>
      <c r="C1195" s="3">
        <v>60</v>
      </c>
      <c r="D1195" s="1" t="s">
        <v>24</v>
      </c>
      <c r="E1195" s="1" t="s">
        <v>26</v>
      </c>
      <c r="F1195" s="1" t="s">
        <v>26</v>
      </c>
      <c r="G1195" s="4">
        <v>45204</v>
      </c>
      <c r="H1195" s="4">
        <v>45206</v>
      </c>
      <c r="I1195" s="1" t="s">
        <v>85</v>
      </c>
      <c r="J1195" s="1" t="s">
        <v>30</v>
      </c>
      <c r="K1195" s="3">
        <v>4</v>
      </c>
      <c r="L1195" s="2">
        <v>47796</v>
      </c>
      <c r="M1195" s="3">
        <v>0</v>
      </c>
      <c r="N1195" s="1" t="s">
        <v>166</v>
      </c>
      <c r="O1195" s="1" t="s">
        <v>102</v>
      </c>
      <c r="P1195" s="1" t="s">
        <v>58</v>
      </c>
      <c r="Q1195" s="1" t="s">
        <v>232</v>
      </c>
      <c r="R1195" s="1" t="s">
        <v>3404</v>
      </c>
      <c r="S1195" s="3">
        <v>2</v>
      </c>
      <c r="T1195" s="1" t="s">
        <v>72</v>
      </c>
      <c r="U1195" s="3">
        <v>377</v>
      </c>
      <c r="V1195" s="1" t="s">
        <v>37</v>
      </c>
      <c r="W1195" s="5">
        <f>Table1[[#This Row],[Quantity]]*Table1[[#This Row],[Price]]*(1-Table1[[#This Row],[Discount %]]/100)</f>
        <v>191184</v>
      </c>
      <c r="X1195">
        <f>Table1[[#This Row],[DeliveryDate]]-Table1[[#This Row],[OrderDate]]</f>
        <v>2</v>
      </c>
      <c r="Y1195" t="str">
        <f>TEXT(Table1[[#This Row],[OrderDate]],"MMMM")</f>
        <v>October</v>
      </c>
      <c r="Z1195" s="5">
        <f>YEAR(Table1[[#This Row],[OrderDate]])</f>
        <v>2023</v>
      </c>
    </row>
    <row r="1196" spans="1:26" x14ac:dyDescent="0.3">
      <c r="A1196" s="1" t="s">
        <v>3405</v>
      </c>
      <c r="B1196" t="s">
        <v>243</v>
      </c>
      <c r="C1196" s="3">
        <v>29</v>
      </c>
      <c r="D1196" s="1" t="s">
        <v>51</v>
      </c>
      <c r="E1196" s="1" t="s">
        <v>131</v>
      </c>
      <c r="F1196" s="1" t="s">
        <v>26</v>
      </c>
      <c r="G1196" s="4">
        <v>44943</v>
      </c>
      <c r="H1196" s="4">
        <v>44944</v>
      </c>
      <c r="I1196" s="1" t="s">
        <v>93</v>
      </c>
      <c r="J1196" s="1" t="s">
        <v>44</v>
      </c>
      <c r="K1196" s="3">
        <v>4</v>
      </c>
      <c r="L1196" s="2">
        <v>52062</v>
      </c>
      <c r="M1196" s="3">
        <v>5</v>
      </c>
      <c r="N1196" s="1" t="s">
        <v>56</v>
      </c>
      <c r="O1196" s="1" t="s">
        <v>133</v>
      </c>
      <c r="P1196" s="1" t="s">
        <v>58</v>
      </c>
      <c r="Q1196" s="1" t="s">
        <v>246</v>
      </c>
      <c r="R1196" s="1" t="s">
        <v>3406</v>
      </c>
      <c r="S1196" s="3">
        <v>4</v>
      </c>
      <c r="T1196" s="1" t="s">
        <v>72</v>
      </c>
      <c r="U1196" s="3">
        <v>261</v>
      </c>
      <c r="V1196" s="1" t="s">
        <v>37</v>
      </c>
      <c r="W1196" s="5">
        <f>Table1[[#This Row],[Quantity]]*Table1[[#This Row],[Price]]*(1-Table1[[#This Row],[Discount %]]/100)</f>
        <v>197835.59999999998</v>
      </c>
      <c r="X1196">
        <f>Table1[[#This Row],[DeliveryDate]]-Table1[[#This Row],[OrderDate]]</f>
        <v>1</v>
      </c>
      <c r="Y1196" t="str">
        <f>TEXT(Table1[[#This Row],[OrderDate]],"MMMM")</f>
        <v>January</v>
      </c>
      <c r="Z1196" s="5">
        <f>YEAR(Table1[[#This Row],[OrderDate]])</f>
        <v>2023</v>
      </c>
    </row>
    <row r="1197" spans="1:26" x14ac:dyDescent="0.3">
      <c r="A1197" s="1" t="s">
        <v>3407</v>
      </c>
      <c r="B1197" t="s">
        <v>689</v>
      </c>
      <c r="C1197" s="3">
        <v>31</v>
      </c>
      <c r="D1197" s="1" t="s">
        <v>51</v>
      </c>
      <c r="E1197" s="1" t="s">
        <v>131</v>
      </c>
      <c r="F1197" s="1" t="s">
        <v>82</v>
      </c>
      <c r="G1197" s="4">
        <v>45189</v>
      </c>
      <c r="H1197" s="4">
        <v>45190</v>
      </c>
      <c r="I1197" s="1" t="s">
        <v>85</v>
      </c>
      <c r="J1197" s="1" t="s">
        <v>44</v>
      </c>
      <c r="K1197" s="3">
        <v>1</v>
      </c>
      <c r="L1197" s="2">
        <v>53970</v>
      </c>
      <c r="M1197" s="3">
        <v>10</v>
      </c>
      <c r="N1197" s="1" t="s">
        <v>45</v>
      </c>
      <c r="O1197" s="1" t="s">
        <v>133</v>
      </c>
      <c r="P1197" s="1" t="s">
        <v>58</v>
      </c>
      <c r="Q1197" s="1" t="s">
        <v>1105</v>
      </c>
      <c r="R1197" s="1" t="s">
        <v>3415</v>
      </c>
      <c r="S1197" s="3">
        <v>1</v>
      </c>
      <c r="T1197" s="1" t="s">
        <v>72</v>
      </c>
      <c r="U1197" s="3">
        <v>249</v>
      </c>
      <c r="V1197" s="1" t="s">
        <v>62</v>
      </c>
      <c r="W1197" s="5">
        <f>Table1[[#This Row],[Quantity]]*Table1[[#This Row],[Price]]*(1-Table1[[#This Row],[Discount %]]/100)</f>
        <v>48573</v>
      </c>
      <c r="X1197">
        <f>Table1[[#This Row],[DeliveryDate]]-Table1[[#This Row],[OrderDate]]</f>
        <v>1</v>
      </c>
      <c r="Y1197" t="str">
        <f>TEXT(Table1[[#This Row],[OrderDate]],"MMMM")</f>
        <v>September</v>
      </c>
      <c r="Z1197" s="5">
        <f>YEAR(Table1[[#This Row],[OrderDate]])</f>
        <v>2023</v>
      </c>
    </row>
    <row r="1198" spans="1:26" x14ac:dyDescent="0.3">
      <c r="A1198" s="1" t="s">
        <v>3408</v>
      </c>
      <c r="B1198" t="s">
        <v>860</v>
      </c>
      <c r="C1198" s="3">
        <v>58</v>
      </c>
      <c r="D1198" s="1" t="s">
        <v>51</v>
      </c>
      <c r="E1198" s="1" t="s">
        <v>229</v>
      </c>
      <c r="F1198" s="1" t="s">
        <v>91</v>
      </c>
      <c r="G1198" s="4">
        <v>45484</v>
      </c>
      <c r="H1198" s="4">
        <v>45486</v>
      </c>
      <c r="I1198" s="1" t="s">
        <v>43</v>
      </c>
      <c r="J1198" s="1" t="s">
        <v>44</v>
      </c>
      <c r="K1198" s="3">
        <v>1</v>
      </c>
      <c r="L1198" s="2">
        <v>21878</v>
      </c>
      <c r="M1198" s="3">
        <v>15</v>
      </c>
      <c r="N1198" s="1" t="s">
        <v>56</v>
      </c>
      <c r="O1198" s="1" t="s">
        <v>32</v>
      </c>
      <c r="P1198" s="1" t="s">
        <v>174</v>
      </c>
      <c r="Q1198" s="1" t="s">
        <v>862</v>
      </c>
      <c r="R1198" s="1" t="s">
        <v>3409</v>
      </c>
      <c r="S1198" s="3">
        <v>3</v>
      </c>
      <c r="T1198" s="1" t="s">
        <v>72</v>
      </c>
      <c r="U1198" s="3">
        <v>56</v>
      </c>
      <c r="V1198" s="1" t="s">
        <v>62</v>
      </c>
      <c r="W1198" s="5">
        <f>Table1[[#This Row],[Quantity]]*Table1[[#This Row],[Price]]*(1-Table1[[#This Row],[Discount %]]/100)</f>
        <v>18596.3</v>
      </c>
      <c r="X1198">
        <f>Table1[[#This Row],[DeliveryDate]]-Table1[[#This Row],[OrderDate]]</f>
        <v>2</v>
      </c>
      <c r="Y1198" t="str">
        <f>TEXT(Table1[[#This Row],[OrderDate]],"MMMM")</f>
        <v>July</v>
      </c>
      <c r="Z1198" s="5">
        <f>YEAR(Table1[[#This Row],[OrderDate]])</f>
        <v>2024</v>
      </c>
    </row>
    <row r="1199" spans="1:26" x14ac:dyDescent="0.3">
      <c r="A1199" s="1" t="s">
        <v>3410</v>
      </c>
      <c r="B1199" t="s">
        <v>50</v>
      </c>
      <c r="C1199" s="3">
        <v>38</v>
      </c>
      <c r="D1199" s="1" t="s">
        <v>24</v>
      </c>
      <c r="E1199" s="1" t="s">
        <v>142</v>
      </c>
      <c r="F1199" s="1" t="s">
        <v>26</v>
      </c>
      <c r="G1199" s="4">
        <v>45223</v>
      </c>
      <c r="H1199" s="4">
        <v>45225</v>
      </c>
      <c r="I1199" s="1" t="s">
        <v>77</v>
      </c>
      <c r="J1199" s="1" t="s">
        <v>44</v>
      </c>
      <c r="K1199" s="3">
        <v>1</v>
      </c>
      <c r="L1199" s="2">
        <v>74355</v>
      </c>
      <c r="M1199" s="3">
        <v>5</v>
      </c>
      <c r="N1199" s="1" t="s">
        <v>56</v>
      </c>
      <c r="O1199" s="1" t="s">
        <v>57</v>
      </c>
      <c r="P1199" s="1" t="s">
        <v>174</v>
      </c>
      <c r="Q1199" s="1" t="s">
        <v>59</v>
      </c>
      <c r="R1199" s="1" t="s">
        <v>3411</v>
      </c>
      <c r="S1199" s="3">
        <v>3</v>
      </c>
      <c r="T1199" s="1" t="s">
        <v>72</v>
      </c>
      <c r="U1199" s="3">
        <v>331</v>
      </c>
      <c r="V1199" s="1" t="s">
        <v>62</v>
      </c>
      <c r="W1199" s="5">
        <f>Table1[[#This Row],[Quantity]]*Table1[[#This Row],[Price]]*(1-Table1[[#This Row],[Discount %]]/100)</f>
        <v>70637.25</v>
      </c>
      <c r="X1199">
        <f>Table1[[#This Row],[DeliveryDate]]-Table1[[#This Row],[OrderDate]]</f>
        <v>2</v>
      </c>
      <c r="Y1199" t="str">
        <f>TEXT(Table1[[#This Row],[OrderDate]],"MMMM")</f>
        <v>October</v>
      </c>
      <c r="Z1199" s="5">
        <f>YEAR(Table1[[#This Row],[OrderDate]])</f>
        <v>2023</v>
      </c>
    </row>
    <row r="1200" spans="1:26" x14ac:dyDescent="0.3">
      <c r="A1200" s="1" t="s">
        <v>3412</v>
      </c>
      <c r="B1200" t="s">
        <v>411</v>
      </c>
      <c r="C1200" s="3">
        <v>26</v>
      </c>
      <c r="D1200" s="1" t="s">
        <v>51</v>
      </c>
      <c r="E1200" s="1" t="s">
        <v>52</v>
      </c>
      <c r="F1200" s="1" t="s">
        <v>91</v>
      </c>
      <c r="G1200" s="4">
        <v>45511</v>
      </c>
      <c r="H1200" s="4">
        <v>45513</v>
      </c>
      <c r="I1200" s="1" t="s">
        <v>29</v>
      </c>
      <c r="J1200" s="1" t="s">
        <v>44</v>
      </c>
      <c r="K1200" s="3">
        <v>2</v>
      </c>
      <c r="L1200" s="2">
        <v>13180</v>
      </c>
      <c r="M1200" s="3">
        <v>10</v>
      </c>
      <c r="N1200" s="1" t="s">
        <v>56</v>
      </c>
      <c r="O1200" s="1" t="s">
        <v>46</v>
      </c>
      <c r="P1200" s="1" t="s">
        <v>69</v>
      </c>
      <c r="Q1200" s="1" t="s">
        <v>414</v>
      </c>
      <c r="R1200" s="1" t="s">
        <v>3415</v>
      </c>
      <c r="S1200" s="3">
        <v>2</v>
      </c>
      <c r="T1200" s="1" t="s">
        <v>96</v>
      </c>
      <c r="U1200" s="3">
        <v>264</v>
      </c>
      <c r="V1200" s="1" t="s">
        <v>62</v>
      </c>
      <c r="W1200" s="5">
        <f>Table1[[#This Row],[Quantity]]*Table1[[#This Row],[Price]]*(1-Table1[[#This Row],[Discount %]]/100)</f>
        <v>23724</v>
      </c>
      <c r="X1200">
        <f>Table1[[#This Row],[DeliveryDate]]-Table1[[#This Row],[OrderDate]]</f>
        <v>2</v>
      </c>
      <c r="Y1200" t="str">
        <f>TEXT(Table1[[#This Row],[OrderDate]],"MMMM")</f>
        <v>August</v>
      </c>
      <c r="Z1200" s="5">
        <f>YEAR(Table1[[#This Row],[OrderDate]])</f>
        <v>2024</v>
      </c>
    </row>
    <row r="1201" spans="1:26" x14ac:dyDescent="0.3">
      <c r="A1201" s="1" t="s">
        <v>3413</v>
      </c>
      <c r="B1201" t="s">
        <v>361</v>
      </c>
      <c r="C1201" s="3">
        <v>45</v>
      </c>
      <c r="D1201" s="1" t="s">
        <v>24</v>
      </c>
      <c r="E1201" s="1" t="s">
        <v>26</v>
      </c>
      <c r="F1201" s="1" t="s">
        <v>65</v>
      </c>
      <c r="G1201" s="4">
        <v>45611</v>
      </c>
      <c r="H1201" s="4">
        <v>45614</v>
      </c>
      <c r="I1201" s="1" t="s">
        <v>29</v>
      </c>
      <c r="J1201" s="1" t="s">
        <v>44</v>
      </c>
      <c r="K1201" s="3">
        <v>1</v>
      </c>
      <c r="L1201" s="2">
        <v>57248</v>
      </c>
      <c r="M1201" s="3">
        <v>15</v>
      </c>
      <c r="N1201" s="1" t="s">
        <v>45</v>
      </c>
      <c r="O1201" s="1" t="s">
        <v>32</v>
      </c>
      <c r="P1201" s="1" t="s">
        <v>58</v>
      </c>
      <c r="Q1201" s="1" t="s">
        <v>364</v>
      </c>
      <c r="R1201" s="1" t="s">
        <v>3415</v>
      </c>
      <c r="S1201" s="3">
        <v>5</v>
      </c>
      <c r="T1201" s="1" t="s">
        <v>36</v>
      </c>
      <c r="U1201" s="3">
        <v>332</v>
      </c>
      <c r="V1201" s="1" t="s">
        <v>79</v>
      </c>
      <c r="W1201" s="5">
        <f>Table1[[#This Row],[Quantity]]*Table1[[#This Row],[Price]]*(1-Table1[[#This Row],[Discount %]]/100)</f>
        <v>48660.799999999996</v>
      </c>
      <c r="X1201">
        <f>Table1[[#This Row],[DeliveryDate]]-Table1[[#This Row],[OrderDate]]</f>
        <v>3</v>
      </c>
      <c r="Y1201" t="str">
        <f>TEXT(Table1[[#This Row],[OrderDate]],"MMMM")</f>
        <v>November</v>
      </c>
      <c r="Z1201" s="5">
        <f>YEAR(Table1[[#This Row],[OrderDate]])</f>
        <v>2024</v>
      </c>
    </row>
  </sheetData>
  <conditionalFormatting sqref="A1:A1048576">
    <cfRule type="duplicateValues" dxfId="25" priority="1"/>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EF38C-E03C-46C9-97FC-A3D6AA261BEE}">
  <dimension ref="A3:AE31"/>
  <sheetViews>
    <sheetView tabSelected="1" topLeftCell="L1" workbookViewId="0">
      <selection activeCell="C6" sqref="C6"/>
    </sheetView>
  </sheetViews>
  <sheetFormatPr defaultRowHeight="14.4" x14ac:dyDescent="0.3"/>
  <cols>
    <col min="1" max="1" width="10.77734375" bestFit="1" customWidth="1"/>
    <col min="2" max="2" width="12" bestFit="1" customWidth="1"/>
    <col min="3" max="3" width="15.44140625" bestFit="1" customWidth="1"/>
    <col min="4" max="5" width="16" bestFit="1" customWidth="1"/>
    <col min="10" max="10" width="11.109375" bestFit="1" customWidth="1"/>
    <col min="11" max="11" width="12" bestFit="1" customWidth="1"/>
    <col min="17" max="17" width="12.5546875" bestFit="1" customWidth="1"/>
    <col min="18" max="18" width="12" bestFit="1" customWidth="1"/>
    <col min="24" max="24" width="18.6640625" bestFit="1" customWidth="1"/>
    <col min="25" max="25" width="12" bestFit="1" customWidth="1"/>
    <col min="30" max="30" width="12.5546875" bestFit="1" customWidth="1"/>
    <col min="31" max="31" width="11.21875" bestFit="1" customWidth="1"/>
  </cols>
  <sheetData>
    <row r="3" spans="1:31" x14ac:dyDescent="0.3">
      <c r="A3" s="6" t="s">
        <v>15</v>
      </c>
      <c r="B3" t="s">
        <v>3437</v>
      </c>
      <c r="J3" s="6" t="s">
        <v>8</v>
      </c>
      <c r="K3" t="s">
        <v>3439</v>
      </c>
      <c r="Q3" s="6" t="s">
        <v>3440</v>
      </c>
      <c r="R3" t="s">
        <v>3437</v>
      </c>
      <c r="X3" s="6" t="s">
        <v>3441</v>
      </c>
      <c r="Y3" t="s">
        <v>3437</v>
      </c>
      <c r="AD3" s="6" t="s">
        <v>18</v>
      </c>
      <c r="AE3" t="s">
        <v>3438</v>
      </c>
    </row>
    <row r="4" spans="1:31" x14ac:dyDescent="0.3">
      <c r="A4" s="7" t="s">
        <v>174</v>
      </c>
      <c r="B4" s="5">
        <v>34387294.076001622</v>
      </c>
      <c r="J4" s="7" t="s">
        <v>43</v>
      </c>
      <c r="K4" s="5">
        <v>21456522.572155729</v>
      </c>
      <c r="Q4" s="7" t="s">
        <v>3422</v>
      </c>
      <c r="R4" s="5">
        <v>9276990.6842236686</v>
      </c>
      <c r="X4" s="7" t="s">
        <v>45</v>
      </c>
      <c r="Y4" s="5">
        <v>34071935.625594407</v>
      </c>
      <c r="AD4" s="8">
        <v>1</v>
      </c>
      <c r="AE4" s="5">
        <v>227</v>
      </c>
    </row>
    <row r="5" spans="1:31" x14ac:dyDescent="0.3">
      <c r="A5" s="7" t="s">
        <v>69</v>
      </c>
      <c r="B5" s="5">
        <v>34255845.644066475</v>
      </c>
      <c r="J5" s="7" t="s">
        <v>108</v>
      </c>
      <c r="K5" s="5">
        <v>22626937.327364009</v>
      </c>
      <c r="Q5" s="7" t="s">
        <v>3423</v>
      </c>
      <c r="R5" s="5">
        <v>12403377.294511296</v>
      </c>
      <c r="X5" s="7" t="s">
        <v>56</v>
      </c>
      <c r="Y5" s="5">
        <v>36081787.689673699</v>
      </c>
      <c r="AD5" s="8">
        <v>2</v>
      </c>
      <c r="AE5" s="5">
        <v>219</v>
      </c>
    </row>
    <row r="6" spans="1:31" x14ac:dyDescent="0.3">
      <c r="A6" s="7" t="s">
        <v>33</v>
      </c>
      <c r="B6" s="5">
        <v>34940506.026840232</v>
      </c>
      <c r="J6" s="7" t="s">
        <v>77</v>
      </c>
      <c r="K6" s="5">
        <v>22654854.044067558</v>
      </c>
      <c r="Q6" s="7" t="s">
        <v>3424</v>
      </c>
      <c r="R6" s="5">
        <v>13407938.879805638</v>
      </c>
      <c r="X6" s="7" t="s">
        <v>166</v>
      </c>
      <c r="Y6" s="5">
        <v>35055526.103102945</v>
      </c>
      <c r="AD6" s="8">
        <v>3</v>
      </c>
      <c r="AE6" s="5">
        <v>253</v>
      </c>
    </row>
    <row r="7" spans="1:31" x14ac:dyDescent="0.3">
      <c r="A7" s="7" t="s">
        <v>58</v>
      </c>
      <c r="B7" s="5">
        <v>34343425.461556517</v>
      </c>
      <c r="J7" s="7" t="s">
        <v>29</v>
      </c>
      <c r="K7" s="5">
        <v>21780090.502343319</v>
      </c>
      <c r="Q7" s="7" t="s">
        <v>3425</v>
      </c>
      <c r="R7" s="5">
        <v>12544357.542310873</v>
      </c>
      <c r="X7" s="7" t="s">
        <v>31</v>
      </c>
      <c r="Y7" s="5">
        <v>32717821.790093791</v>
      </c>
      <c r="AD7" s="8">
        <v>4</v>
      </c>
      <c r="AE7" s="5">
        <v>265</v>
      </c>
    </row>
    <row r="8" spans="1:31" x14ac:dyDescent="0.3">
      <c r="A8" s="7" t="s">
        <v>3420</v>
      </c>
      <c r="B8" s="5">
        <v>137927071.20846486</v>
      </c>
      <c r="J8" s="7" t="s">
        <v>85</v>
      </c>
      <c r="K8" s="5">
        <v>21764063.096031066</v>
      </c>
      <c r="Q8" s="7" t="s">
        <v>3426</v>
      </c>
      <c r="R8" s="5">
        <v>13545652.396890078</v>
      </c>
      <c r="X8" s="7" t="s">
        <v>3420</v>
      </c>
      <c r="Y8" s="5">
        <v>137927071.20846483</v>
      </c>
      <c r="AD8" s="8">
        <v>5</v>
      </c>
      <c r="AE8" s="5">
        <v>236</v>
      </c>
    </row>
    <row r="9" spans="1:31" x14ac:dyDescent="0.3">
      <c r="J9" s="7" t="s">
        <v>93</v>
      </c>
      <c r="K9" s="5">
        <v>27644603.666503165</v>
      </c>
      <c r="Q9" s="7" t="s">
        <v>3427</v>
      </c>
      <c r="R9" s="5">
        <v>8323608.7158289729</v>
      </c>
      <c r="AD9" s="8" t="s">
        <v>3420</v>
      </c>
      <c r="AE9" s="5">
        <v>1200</v>
      </c>
    </row>
    <row r="10" spans="1:31" x14ac:dyDescent="0.3">
      <c r="J10" s="7" t="s">
        <v>3420</v>
      </c>
      <c r="K10" s="5">
        <v>137927071.20846486</v>
      </c>
      <c r="Q10" s="7" t="s">
        <v>3428</v>
      </c>
      <c r="R10" s="5">
        <v>13306526.326453427</v>
      </c>
    </row>
    <row r="11" spans="1:31" x14ac:dyDescent="0.3">
      <c r="Q11" s="7" t="s">
        <v>3429</v>
      </c>
      <c r="R11" s="5">
        <v>12611359.359096088</v>
      </c>
    </row>
    <row r="12" spans="1:31" x14ac:dyDescent="0.3">
      <c r="Q12" s="7" t="s">
        <v>3430</v>
      </c>
      <c r="R12" s="5">
        <v>14214953.573788321</v>
      </c>
    </row>
    <row r="13" spans="1:31" x14ac:dyDescent="0.3">
      <c r="Q13" s="7" t="s">
        <v>3431</v>
      </c>
      <c r="R13" s="5">
        <v>11816880.435055275</v>
      </c>
    </row>
    <row r="14" spans="1:31" x14ac:dyDescent="0.3">
      <c r="Q14" s="7" t="s">
        <v>3432</v>
      </c>
      <c r="R14" s="5">
        <v>9891294.5428244434</v>
      </c>
    </row>
    <row r="15" spans="1:31" x14ac:dyDescent="0.3">
      <c r="Q15" s="7" t="s">
        <v>3433</v>
      </c>
      <c r="R15" s="5">
        <v>6584131.4576767711</v>
      </c>
    </row>
    <row r="16" spans="1:31" x14ac:dyDescent="0.3">
      <c r="Q16" s="7" t="s">
        <v>3420</v>
      </c>
      <c r="R16" s="5">
        <v>137927071.20846486</v>
      </c>
    </row>
    <row r="30" spans="1:4" x14ac:dyDescent="0.3">
      <c r="A30" t="s">
        <v>3421</v>
      </c>
      <c r="B30" t="s">
        <v>3436</v>
      </c>
      <c r="C30" t="s">
        <v>3434</v>
      </c>
      <c r="D30" t="s">
        <v>3435</v>
      </c>
    </row>
    <row r="31" spans="1:4" x14ac:dyDescent="0.3">
      <c r="A31" s="5">
        <v>137927071.20846486</v>
      </c>
      <c r="B31" s="5">
        <v>5.3425000000000002</v>
      </c>
      <c r="C31" s="5">
        <v>1200</v>
      </c>
      <c r="D31" s="5">
        <v>3.0533333333333332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D2C6-C676-4D9E-9FF5-746385944B4C}">
  <dimension ref="D2:G2"/>
  <sheetViews>
    <sheetView showGridLines="0" showRowColHeaders="0" zoomScaleNormal="100" workbookViewId="0">
      <selection activeCell="U31" sqref="U31"/>
    </sheetView>
  </sheetViews>
  <sheetFormatPr defaultRowHeight="14.4" x14ac:dyDescent="0.3"/>
  <cols>
    <col min="4" max="4" width="16.77734375" bestFit="1" customWidth="1"/>
    <col min="5" max="5" width="11" bestFit="1" customWidth="1"/>
  </cols>
  <sheetData>
    <row r="2" spans="4:7" x14ac:dyDescent="0.3">
      <c r="D2" s="9">
        <f>GETPIVOTDATA("TotalSales",Pivot!$A$30)</f>
        <v>137927071.20846486</v>
      </c>
      <c r="E2" s="3">
        <f>GETPIVOTDATA("Average of DeliveryTime",Pivot!$A$30)</f>
        <v>5.3425000000000002</v>
      </c>
      <c r="F2">
        <f>GETPIVOTDATA("Count of OrderID",Pivot!$A$30)</f>
        <v>1200</v>
      </c>
      <c r="G2" s="3">
        <f>GETPIVOTDATA("Average of Rating",Pivot!$A$30)</f>
        <v>3.0533333333333332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payal girdher</cp:lastModifiedBy>
  <dcterms:created xsi:type="dcterms:W3CDTF">2026-03-18T07:46:04Z</dcterms:created>
  <dcterms:modified xsi:type="dcterms:W3CDTF">2026-04-07T04:01:53Z</dcterms:modified>
</cp:coreProperties>
</file>